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yko\Desktop\Documenotos Pompeyo\"/>
    </mc:Choice>
  </mc:AlternateContent>
  <xr:revisionPtr revIDLastSave="0" documentId="13_ncr:1_{913CA12A-ABAD-4EB5-9047-ED25BDA09211}" xr6:coauthVersionLast="47" xr6:coauthVersionMax="47" xr10:uidLastSave="{00000000-0000-0000-0000-000000000000}"/>
  <bookViews>
    <workbookView xWindow="-120" yWindow="-120" windowWidth="29040" windowHeight="15720" xr2:uid="{289C7549-4164-4F3F-AB59-3856871FC5C5}"/>
  </bookViews>
  <sheets>
    <sheet name="Calculador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10" i="1" l="1"/>
  <c r="F5" i="1"/>
  <c r="G3" i="1"/>
  <c r="O3" i="1"/>
  <c r="L3" i="1"/>
  <c r="K3" i="1"/>
  <c r="G4" i="1"/>
  <c r="M3" i="1" l="1"/>
  <c r="G5" i="1"/>
  <c r="G14" i="1" s="1"/>
  <c r="F11" i="1" l="1"/>
  <c r="N3" i="1"/>
  <c r="P3" i="1" s="1"/>
  <c r="G16" i="1" l="1"/>
  <c r="R3" i="1"/>
  <c r="Q3" i="1"/>
  <c r="S3" i="1" s="1"/>
  <c r="C6" i="1"/>
  <c r="C9" i="1" s="1"/>
  <c r="C10" i="1" l="1"/>
  <c r="C11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MAYKOL ARDILES AVALOS</author>
  </authors>
  <commentList>
    <comment ref="F7" authorId="0" shapeId="0" xr:uid="{F1A96B2D-6282-4366-932F-0165CB38D0E7}">
      <text>
        <r>
          <rPr>
            <b/>
            <sz val="9"/>
            <color indexed="81"/>
            <rFont val="Tahoma"/>
            <family val="2"/>
          </rPr>
          <t>MAYKOL ARDILES AVALOS:</t>
        </r>
        <r>
          <rPr>
            <sz val="9"/>
            <color indexed="81"/>
            <rFont val="Tahoma"/>
            <family val="2"/>
          </rPr>
          <t xml:space="preserve">
EDitable</t>
        </r>
      </text>
    </comment>
    <comment ref="F9" authorId="0" shapeId="0" xr:uid="{BA014C4E-92B7-4EB7-AF71-327D75E572BE}">
      <text>
        <r>
          <rPr>
            <b/>
            <sz val="9"/>
            <color indexed="81"/>
            <rFont val="Tahoma"/>
            <family val="2"/>
          </rPr>
          <t>MAYKOL ARDILES AVALOS:</t>
        </r>
        <r>
          <rPr>
            <sz val="9"/>
            <color indexed="81"/>
            <rFont val="Tahoma"/>
            <family val="2"/>
          </rPr>
          <t xml:space="preserve">
Editable</t>
        </r>
      </text>
    </comment>
    <comment ref="G13" authorId="0" shapeId="0" xr:uid="{C091AC98-CCA4-411B-91FB-07AEE5FAB4B7}">
      <text>
        <r>
          <rPr>
            <b/>
            <sz val="9"/>
            <color indexed="81"/>
            <rFont val="Tahoma"/>
            <family val="2"/>
          </rPr>
          <t>MAYKOL ARDILES AVALOS:</t>
        </r>
        <r>
          <rPr>
            <sz val="9"/>
            <color indexed="81"/>
            <rFont val="Tahoma"/>
            <family val="2"/>
          </rPr>
          <t xml:space="preserve">
Editable</t>
        </r>
      </text>
    </comment>
  </commentList>
</comments>
</file>

<file path=xl/sharedStrings.xml><?xml version="1.0" encoding="utf-8"?>
<sst xmlns="http://schemas.openxmlformats.org/spreadsheetml/2006/main" count="31" uniqueCount="30">
  <si>
    <t>Precio de lista</t>
  </si>
  <si>
    <t>margen total</t>
  </si>
  <si>
    <t xml:space="preserve">Bono de marca </t>
  </si>
  <si>
    <t>Total cero margen</t>
  </si>
  <si>
    <t>Total oferta</t>
  </si>
  <si>
    <t>Bono F&amp;I</t>
  </si>
  <si>
    <t>Bono Stellantis</t>
  </si>
  <si>
    <t>Precio Lista</t>
  </si>
  <si>
    <t>Bono Red</t>
  </si>
  <si>
    <t>Precio U. Neto</t>
  </si>
  <si>
    <t>Precio U. Bruto</t>
  </si>
  <si>
    <t>Total Neto</t>
  </si>
  <si>
    <t>Total Bruto</t>
  </si>
  <si>
    <t>Descuento</t>
  </si>
  <si>
    <t>Año</t>
  </si>
  <si>
    <t>Cant.</t>
  </si>
  <si>
    <t>&lt;</t>
  </si>
  <si>
    <t>Bono Financiamiento</t>
  </si>
  <si>
    <t>%</t>
  </si>
  <si>
    <t>Total Precio Venta</t>
  </si>
  <si>
    <t>Accesorios:</t>
  </si>
  <si>
    <t>Margen Final</t>
  </si>
  <si>
    <t>Item</t>
  </si>
  <si>
    <t>Margen Total Vehiculo</t>
  </si>
  <si>
    <t>$</t>
  </si>
  <si>
    <t>Bono RED</t>
  </si>
  <si>
    <t xml:space="preserve">Utilidad Pompeyo </t>
  </si>
  <si>
    <t xml:space="preserve">Margen Compra Vh. </t>
  </si>
  <si>
    <t>Precio Costo</t>
  </si>
  <si>
    <t>Bono Marca (Aporte Stellantis)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</si>
</sst>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2" formatCode="_ &quot;$&quot;* #,##0_ ;_ &quot;$&quot;* \-#,##0_ ;_ &quot;$&quot;* &quot;-&quot;_ ;_ @_ "/>
    <numFmt numFmtId="41" formatCode="_ * #,##0_ ;_ * \-#,##0_ ;_ * &quot;-&quot;_ ;_ @_ 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</fills>
  <borders count="26">
    <border>
      <left/>
      <right/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41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0" fontId="3" fillId="0" borderId="0"/>
  </cellStyleXfs>
  <cellXfs count="43">
    <xf numFmtId="0" fontId="0" fillId="0" borderId="0" xfId="0"/>
    <xf numFmtId="9" fontId="0" fillId="0" borderId="0" xfId="2" applyFont="1"/>
    <xf numFmtId="41" fontId="0" fillId="0" borderId="0" xfId="1" applyFont="1"/>
    <xf numFmtId="41" fontId="0" fillId="0" borderId="0" xfId="0" applyNumberFormat="1"/>
    <xf numFmtId="0" fontId="0" fillId="0" borderId="0" xfId="0" applyAlignment="1">
      <alignment horizontal="left"/>
    </xf>
    <xf numFmtId="0" fontId="0" fillId="0" borderId="6" xfId="0" applyBorder="1"/>
    <xf numFmtId="42" fontId="0" fillId="0" borderId="7" xfId="3" applyFont="1" applyBorder="1"/>
    <xf numFmtId="0" fontId="0" fillId="0" borderId="7" xfId="0" applyBorder="1"/>
    <xf numFmtId="42" fontId="0" fillId="0" borderId="1" xfId="0" applyNumberFormat="1" applyBorder="1"/>
    <xf numFmtId="42" fontId="0" fillId="0" borderId="2" xfId="3" applyFont="1" applyBorder="1"/>
    <xf numFmtId="0" fontId="0" fillId="0" borderId="8" xfId="0" applyBorder="1"/>
    <xf numFmtId="0" fontId="0" fillId="0" borderId="9" xfId="0" applyBorder="1"/>
    <xf numFmtId="0" fontId="2" fillId="2" borderId="6" xfId="0" applyFont="1" applyFill="1" applyBorder="1"/>
    <xf numFmtId="0" fontId="0" fillId="0" borderId="10" xfId="0" applyBorder="1"/>
    <xf numFmtId="0" fontId="0" fillId="0" borderId="11" xfId="0" applyBorder="1"/>
    <xf numFmtId="42" fontId="0" fillId="0" borderId="14" xfId="0" applyNumberFormat="1" applyBorder="1"/>
    <xf numFmtId="0" fontId="0" fillId="0" borderId="15" xfId="0" applyBorder="1"/>
    <xf numFmtId="0" fontId="0" fillId="0" borderId="16" xfId="0" applyBorder="1"/>
    <xf numFmtId="0" fontId="2" fillId="2" borderId="3" xfId="0" applyFont="1" applyFill="1" applyBorder="1" applyAlignment="1">
      <alignment horizontal="left"/>
    </xf>
    <xf numFmtId="0" fontId="2" fillId="2" borderId="4" xfId="0" applyFont="1" applyFill="1" applyBorder="1" applyAlignment="1">
      <alignment horizontal="left"/>
    </xf>
    <xf numFmtId="0" fontId="2" fillId="2" borderId="5" xfId="0" applyFont="1" applyFill="1" applyBorder="1" applyAlignment="1">
      <alignment horizontal="left"/>
    </xf>
    <xf numFmtId="0" fontId="0" fillId="0" borderId="17" xfId="0" applyBorder="1" applyAlignment="1">
      <alignment horizontal="left"/>
    </xf>
    <xf numFmtId="0" fontId="0" fillId="0" borderId="18" xfId="0" applyBorder="1" applyAlignment="1">
      <alignment horizontal="left"/>
    </xf>
    <xf numFmtId="42" fontId="0" fillId="0" borderId="18" xfId="0" applyNumberFormat="1" applyBorder="1" applyAlignment="1">
      <alignment horizontal="left"/>
    </xf>
    <xf numFmtId="42" fontId="0" fillId="2" borderId="18" xfId="0" applyNumberFormat="1" applyFill="1" applyBorder="1" applyAlignment="1">
      <alignment horizontal="left"/>
    </xf>
    <xf numFmtId="42" fontId="0" fillId="0" borderId="19" xfId="0" applyNumberFormat="1" applyBorder="1" applyAlignment="1">
      <alignment horizontal="left"/>
    </xf>
    <xf numFmtId="9" fontId="2" fillId="2" borderId="6" xfId="0" applyNumberFormat="1" applyFont="1" applyFill="1" applyBorder="1" applyAlignment="1">
      <alignment horizontal="center"/>
    </xf>
    <xf numFmtId="42" fontId="0" fillId="3" borderId="13" xfId="3" applyFont="1" applyFill="1" applyBorder="1"/>
    <xf numFmtId="42" fontId="0" fillId="3" borderId="8" xfId="3" applyFont="1" applyFill="1" applyBorder="1" applyAlignment="1">
      <alignment horizontal="center"/>
    </xf>
    <xf numFmtId="42" fontId="0" fillId="3" borderId="13" xfId="3" applyFont="1" applyFill="1" applyBorder="1" applyAlignment="1">
      <alignment horizontal="center"/>
    </xf>
    <xf numFmtId="42" fontId="0" fillId="3" borderId="10" xfId="3" applyFont="1" applyFill="1" applyBorder="1" applyAlignment="1">
      <alignment horizontal="center"/>
    </xf>
    <xf numFmtId="42" fontId="0" fillId="3" borderId="12" xfId="3" applyFont="1" applyFill="1" applyBorder="1" applyAlignment="1">
      <alignment horizontal="center"/>
    </xf>
    <xf numFmtId="42" fontId="0" fillId="0" borderId="9" xfId="3" applyFont="1" applyBorder="1" applyAlignment="1">
      <alignment horizontal="center"/>
    </xf>
    <xf numFmtId="42" fontId="0" fillId="0" borderId="14" xfId="3" applyFont="1" applyBorder="1" applyAlignment="1">
      <alignment horizontal="center"/>
    </xf>
    <xf numFmtId="42" fontId="0" fillId="0" borderId="6" xfId="0" applyNumberFormat="1" applyBorder="1" applyAlignment="1">
      <alignment horizontal="center"/>
    </xf>
    <xf numFmtId="42" fontId="0" fillId="0" borderId="7" xfId="0" applyNumberFormat="1" applyBorder="1" applyAlignment="1">
      <alignment horizontal="center"/>
    </xf>
    <xf numFmtId="42" fontId="0" fillId="0" borderId="0" xfId="0" applyNumberFormat="1"/>
    <xf numFmtId="42" fontId="0" fillId="0" borderId="21" xfId="0" applyNumberFormat="1" applyBorder="1"/>
    <xf numFmtId="9" fontId="0" fillId="0" borderId="22" xfId="0" applyNumberFormat="1" applyBorder="1"/>
    <xf numFmtId="0" fontId="0" fillId="0" borderId="25" xfId="0" applyBorder="1"/>
    <xf numFmtId="9" fontId="2" fillId="2" borderId="20" xfId="0" applyNumberFormat="1" applyFont="1" applyFill="1" applyBorder="1" applyAlignment="1">
      <alignment horizontal="center"/>
    </xf>
    <xf numFmtId="9" fontId="0" fillId="4" borderId="24" xfId="2" applyNumberFormat="1" applyFont="1" applyFill="1" applyBorder="1"/>
    <xf numFmtId="9" fontId="0" fillId="2" borderId="23" xfId="0" applyNumberFormat="1" applyFill="1" applyBorder="1"/>
  </cellXfs>
  <cellStyles count="5">
    <cellStyle name="AutoFormat-Optionen 2 2" xfId="4" xr:uid="{9D32574E-2CAA-4574-8810-BD8F449E8289}"/>
    <cellStyle name="Millares [0]" xfId="1" builtinId="6"/>
    <cellStyle name="Moneda [0]" xfId="3" builtinId="7"/>
    <cellStyle name="Normal" xfId="0" builtinId="0"/>
    <cellStyle name="Porcentaje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2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F45D85ED-261B-4F79-8A73-E9221C2504E3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9692d967-58c3-44be-924f-b7b6f5ac8fd0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AD1DB5-7F9F-47DC-A50D-31A0F9BD1CC2}">
  <dimension ref="A1:BN20"/>
  <sheetViews>
    <sheetView showGridLines="0" tabSelected="1" topLeftCell="D1" zoomScale="130" zoomScaleNormal="130" workbookViewId="0">
      <selection activeCell="F19" sqref="F19"/>
    </sheetView>
  </sheetViews>
  <sheetFormatPr baseColWidth="10" defaultRowHeight="15" x14ac:dyDescent="0.25"/>
  <cols>
    <col min="1" max="1" width="6.42578125" hidden="1" customWidth="1"/>
    <col min="2" max="2" width="17" hidden="1" customWidth="1"/>
    <col min="3" max="3" width="11" hidden="1" customWidth="1"/>
    <col min="4" max="4" width="2.42578125" customWidth="1"/>
    <col min="5" max="5" width="28.140625" bestFit="1" customWidth="1"/>
    <col min="6" max="6" width="4.5703125" bestFit="1" customWidth="1"/>
    <col min="7" max="7" width="12.85546875" bestFit="1" customWidth="1"/>
    <col min="8" max="8" width="3.5703125" customWidth="1"/>
    <col min="9" max="9" width="5.85546875" bestFit="1" customWidth="1"/>
    <col min="10" max="10" width="5.7109375" customWidth="1"/>
    <col min="11" max="19" width="14.7109375" style="4" customWidth="1"/>
  </cols>
  <sheetData>
    <row r="1" spans="2:19" ht="15.75" thickBot="1" x14ac:dyDescent="0.3"/>
    <row r="2" spans="2:19" ht="15.75" thickBot="1" x14ac:dyDescent="0.3">
      <c r="E2" s="12" t="s">
        <v>22</v>
      </c>
      <c r="F2" s="26" t="s">
        <v>18</v>
      </c>
      <c r="G2" s="40" t="s">
        <v>24</v>
      </c>
      <c r="I2" s="18" t="s">
        <v>15</v>
      </c>
      <c r="J2" s="19" t="s">
        <v>14</v>
      </c>
      <c r="K2" s="19" t="s">
        <v>7</v>
      </c>
      <c r="L2" s="19" t="s">
        <v>6</v>
      </c>
      <c r="M2" s="19" t="s">
        <v>8</v>
      </c>
      <c r="N2" s="19" t="s">
        <v>13</v>
      </c>
      <c r="O2" s="19" t="s">
        <v>5</v>
      </c>
      <c r="P2" s="19" t="s">
        <v>9</v>
      </c>
      <c r="Q2" s="19" t="s">
        <v>10</v>
      </c>
      <c r="R2" s="19" t="s">
        <v>11</v>
      </c>
      <c r="S2" s="20" t="s">
        <v>12</v>
      </c>
    </row>
    <row r="3" spans="2:19" ht="15.75" thickBot="1" x14ac:dyDescent="0.3">
      <c r="E3" s="16" t="s">
        <v>23</v>
      </c>
      <c r="F3" s="38">
        <v>0.1</v>
      </c>
      <c r="G3" s="8">
        <f>F7*F3</f>
        <v>1959000</v>
      </c>
      <c r="I3" s="21">
        <v>1</v>
      </c>
      <c r="J3" s="22">
        <v>2026</v>
      </c>
      <c r="K3" s="23">
        <f>F7</f>
        <v>19590000</v>
      </c>
      <c r="L3" s="24">
        <f>F8</f>
        <v>1210250</v>
      </c>
      <c r="M3" s="24">
        <f>G4</f>
        <v>587700</v>
      </c>
      <c r="N3" s="23">
        <f>L3+M3+O3</f>
        <v>1797950</v>
      </c>
      <c r="O3" s="23">
        <f>F9</f>
        <v>0</v>
      </c>
      <c r="P3" s="23">
        <f>(K3-N3)-O3</f>
        <v>17792050</v>
      </c>
      <c r="Q3" s="23">
        <f>(P3*0.19)+P3</f>
        <v>21172539.5</v>
      </c>
      <c r="R3" s="23">
        <f>P3*I3</f>
        <v>17792050</v>
      </c>
      <c r="S3" s="25">
        <f>Q3*I3</f>
        <v>21172539.5</v>
      </c>
    </row>
    <row r="4" spans="2:19" x14ac:dyDescent="0.25">
      <c r="E4" s="39" t="s">
        <v>25</v>
      </c>
      <c r="F4" s="42">
        <v>0.03</v>
      </c>
      <c r="G4" s="37">
        <f>F7*F4</f>
        <v>587700</v>
      </c>
    </row>
    <row r="5" spans="2:19" ht="15.75" thickBot="1" x14ac:dyDescent="0.3">
      <c r="B5" t="s">
        <v>0</v>
      </c>
      <c r="C5" s="2">
        <v>19590000</v>
      </c>
      <c r="E5" s="17" t="s">
        <v>26</v>
      </c>
      <c r="F5" s="41">
        <f>F3-F4</f>
        <v>7.0000000000000007E-2</v>
      </c>
      <c r="G5" s="9">
        <f>F7*F5</f>
        <v>1371300.0000000002</v>
      </c>
    </row>
    <row r="6" spans="2:19" ht="15.75" thickBot="1" x14ac:dyDescent="0.3">
      <c r="B6" t="s">
        <v>1</v>
      </c>
      <c r="C6" s="2">
        <f>C5*0.1</f>
        <v>1959000</v>
      </c>
    </row>
    <row r="7" spans="2:19" x14ac:dyDescent="0.25">
      <c r="C7" s="2"/>
      <c r="E7" s="10" t="s">
        <v>7</v>
      </c>
      <c r="F7" s="28">
        <v>19590000</v>
      </c>
      <c r="G7" s="29"/>
    </row>
    <row r="8" spans="2:19" x14ac:dyDescent="0.25">
      <c r="B8" t="s">
        <v>2</v>
      </c>
      <c r="C8" s="2">
        <v>1210250</v>
      </c>
      <c r="E8" s="13" t="s">
        <v>29</v>
      </c>
      <c r="F8" s="30">
        <v>1210250</v>
      </c>
      <c r="G8" s="31"/>
    </row>
    <row r="9" spans="2:19" x14ac:dyDescent="0.25">
      <c r="B9" t="s">
        <v>3</v>
      </c>
      <c r="C9" s="2">
        <f>C5-C6-C8</f>
        <v>16420750</v>
      </c>
      <c r="E9" s="13" t="s">
        <v>17</v>
      </c>
      <c r="F9" s="30">
        <v>0</v>
      </c>
      <c r="G9" s="31"/>
    </row>
    <row r="10" spans="2:19" ht="15.75" thickBot="1" x14ac:dyDescent="0.3">
      <c r="B10" s="1">
        <v>0.05</v>
      </c>
      <c r="C10" s="2">
        <f>C5*B10</f>
        <v>979500</v>
      </c>
      <c r="E10" s="14" t="s">
        <v>27</v>
      </c>
      <c r="F10" s="32">
        <f>F7*F3</f>
        <v>1959000</v>
      </c>
      <c r="G10" s="33"/>
    </row>
    <row r="11" spans="2:19" ht="15.75" thickBot="1" x14ac:dyDescent="0.3">
      <c r="B11" t="s">
        <v>4</v>
      </c>
      <c r="C11" s="2">
        <f>C9+C10</f>
        <v>17400250</v>
      </c>
      <c r="E11" s="5" t="s">
        <v>28</v>
      </c>
      <c r="F11" s="34">
        <f>F7-F8-F9-F10</f>
        <v>16420750</v>
      </c>
      <c r="G11" s="35"/>
    </row>
    <row r="12" spans="2:19" ht="15.75" thickBot="1" x14ac:dyDescent="0.3">
      <c r="C12" s="3"/>
    </row>
    <row r="13" spans="2:19" x14ac:dyDescent="0.25">
      <c r="E13" s="10" t="s">
        <v>20</v>
      </c>
      <c r="F13" s="16"/>
      <c r="G13" s="27">
        <v>0</v>
      </c>
    </row>
    <row r="14" spans="2:19" ht="15.75" thickBot="1" x14ac:dyDescent="0.3">
      <c r="E14" s="11" t="s">
        <v>21</v>
      </c>
      <c r="F14" s="17"/>
      <c r="G14" s="15">
        <f>G5-G13</f>
        <v>1371300.0000000002</v>
      </c>
    </row>
    <row r="15" spans="2:19" ht="15.75" thickBot="1" x14ac:dyDescent="0.3"/>
    <row r="16" spans="2:19" ht="15.75" thickBot="1" x14ac:dyDescent="0.3">
      <c r="E16" s="5" t="s">
        <v>19</v>
      </c>
      <c r="F16" s="7"/>
      <c r="G16" s="6">
        <f>F11+G13+G14</f>
        <v>17792050</v>
      </c>
    </row>
    <row r="18" spans="7:66" x14ac:dyDescent="0.25">
      <c r="G18" s="36"/>
    </row>
    <row r="20" spans="7:66" x14ac:dyDescent="0.25">
      <c r="BN20" t="s">
        <v>16</v>
      </c>
    </row>
  </sheetData>
  <mergeCells count="5">
    <mergeCell ref="F11:G11"/>
    <mergeCell ref="F10:G10"/>
    <mergeCell ref="F9:G9"/>
    <mergeCell ref="F8:G8"/>
    <mergeCell ref="F7:G7"/>
  </mergeCells>
  <pageMargins left="0.7" right="0.7" top="0.75" bottom="0.75" header="0.3" footer="0.3"/>
  <pageSetup orientation="portrait" verticalDpi="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Calculadora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Manuel Urzua</dc:creator>
  <cp:lastModifiedBy>MAYKOL ARDILES AVALOS</cp:lastModifiedBy>
  <dcterms:created xsi:type="dcterms:W3CDTF">2026-06-03T19:01:02Z</dcterms:created>
  <dcterms:modified xsi:type="dcterms:W3CDTF">2026-06-12T13:55:50Z</dcterms:modified>
</cp:coreProperties>
</file>