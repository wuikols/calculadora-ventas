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shiftup.sharepoint.com/sites/SALESMANAGEMENT/Shared Documents/General/ACCIONES COMERCIALES/LISTAS DE PRECIO/2026/6. Junio/"/>
    </mc:Choice>
  </mc:AlternateContent>
  <xr:revisionPtr revIDLastSave="33" documentId="8_{61B00488-EB8B-4A50-A5F0-05CFF2846D63}" xr6:coauthVersionLast="47" xr6:coauthVersionMax="47" xr10:uidLastSave="{343D3178-4D4C-42B1-8038-E64706870EC2}"/>
  <bookViews>
    <workbookView xWindow="-120" yWindow="-120" windowWidth="29040" windowHeight="15720" tabRatio="708" xr2:uid="{00000000-000D-0000-FFFF-FFFF00000000}"/>
  </bookViews>
  <sheets>
    <sheet name="PASAJEROS" sheetId="3" r:id="rId1"/>
    <sheet name="COMERCIALES" sheetId="4" r:id="rId2"/>
    <sheet name="Trámites Preinscripciones" sheetId="15" state="hidden" r:id="rId3"/>
    <sheet name="MESES" sheetId="13" state="hidden" r:id="rId4"/>
  </sheets>
  <externalReferences>
    <externalReference r:id="rId5"/>
  </externalReferences>
  <definedNames>
    <definedName name="_xlnm._FilterDatabase" localSheetId="1" hidden="1">COMERCIALES!$C$7:$C$10</definedName>
    <definedName name="_xlnm._FilterDatabase" localSheetId="0" hidden="1">PASAJEROS!$C$8:$C$15</definedName>
    <definedName name="_xlnm._FilterDatabase" localSheetId="2" hidden="1">'Trámites Preinscripciones'!$B$7:$B$10</definedName>
    <definedName name="_xlnm.Print_Area" localSheetId="1">COMERCIALES!$B$1:$AN$29</definedName>
    <definedName name="_xlnm.Print_Area" localSheetId="2">'Trámites Preinscripciones'!$A$1:$K$19</definedName>
    <definedName name="_xlnm.Print_Titles" localSheetId="1">COMERCIALES!$B:$C,COMERCIALES!$1:$4</definedName>
    <definedName name="_xlnm.Print_Titles" localSheetId="0">PASAJEROS!$B:$C,PASAJEROS!$1:$9</definedName>
    <definedName name="_xlnm.Print_Titles" localSheetId="2">'Trámites Preinscripciones'!$A:$B,'Trámites Preinscripciones'!$1:$4</definedName>
    <definedName name="Z_0E8BEAD5_9B9E_4107_ABAB_6D4D362E83D4_.wvu.Cols" localSheetId="1" hidden="1">COMERCIALES!#REF!,COMERCIALES!#REF!,COMERCIALES!#REF!,COMERCIALES!#REF!,COMERCIALES!#REF!,COMERCIALES!#REF!,COMERCIALES!#REF!,COMERCIALES!#REF!</definedName>
    <definedName name="Z_0E8BEAD5_9B9E_4107_ABAB_6D4D362E83D4_.wvu.Cols" localSheetId="0" hidden="1">PASAJEROS!#REF!,PASAJEROS!#REF!,PASAJEROS!#REF!,PASAJEROS!#REF!,PASAJEROS!#REF!,PASAJEROS!#REF!,PASAJEROS!#REF!,PASAJEROS!#REF!</definedName>
    <definedName name="Z_0E8BEAD5_9B9E_4107_ABAB_6D4D362E83D4_.wvu.Cols" localSheetId="2" hidden="1">'Trámites Preinscripciones'!#REF!,'Trámites Preinscripciones'!#REF!,'Trámites Preinscripciones'!#REF!,'Trámites Preinscripciones'!#REF!,'Trámites Preinscripciones'!#REF!,'Trámites Preinscripciones'!#REF!,'Trámites Preinscripciones'!#REF!,'Trámites Preinscripciones'!#REF!</definedName>
    <definedName name="Z_0E8BEAD5_9B9E_4107_ABAB_6D4D362E83D4_.wvu.PrintArea" localSheetId="1" hidden="1">COMERCIALES!#REF!</definedName>
    <definedName name="Z_0E8BEAD5_9B9E_4107_ABAB_6D4D362E83D4_.wvu.PrintArea" localSheetId="0" hidden="1">PASAJEROS!#REF!</definedName>
    <definedName name="Z_0E8BEAD5_9B9E_4107_ABAB_6D4D362E83D4_.wvu.PrintArea" localSheetId="2" hidden="1">'Trámites Preinscripciones'!#REF!</definedName>
    <definedName name="Z_0E8BEAD5_9B9E_4107_ABAB_6D4D362E83D4_.wvu.PrintTitles" localSheetId="1" hidden="1">COMERCIALES!$1:$9</definedName>
    <definedName name="Z_0E8BEAD5_9B9E_4107_ABAB_6D4D362E83D4_.wvu.PrintTitles" localSheetId="0" hidden="1">PASAJEROS!$1:$9</definedName>
    <definedName name="Z_0E8BEAD5_9B9E_4107_ABAB_6D4D362E83D4_.wvu.PrintTitles" localSheetId="2" hidden="1">'Trámites Preinscripciones'!$1:$9</definedName>
    <definedName name="Z_0E8BEAD5_9B9E_4107_ABAB_6D4D362E83D4_.wvu.Rows" localSheetId="1" hidden="1">COMERCIALES!#REF!,COMERCIALES!#REF!,COMERCIALES!#REF!,COMERCIALES!#REF!,COMERCIALES!#REF!,COMERCIALES!#REF!,COMERCIALES!#REF!,COMERCIALES!#REF!,COMERCIALES!#REF!,COMERCIALES!#REF!,COMERCIALES!#REF!,COMERCIALES!#REF!,COMERCIALES!#REF!,COMERCIALES!#REF!,COMERCIALES!#REF!,COMERCIALES!#REF!,COMERCIALES!#REF!,COMERCIALES!#REF!,COMERCIALES!#REF!,COMERCIALES!#REF!</definedName>
    <definedName name="Z_0E8BEAD5_9B9E_4107_ABAB_6D4D362E83D4_.wvu.Rows" localSheetId="0" hidden="1">PASAJEROS!#REF!,PASAJEROS!#REF!,PASAJEROS!#REF!,PASAJEROS!#REF!,PASAJEROS!#REF!,PASAJEROS!#REF!,PASAJEROS!#REF!,PASAJEROS!#REF!,PASAJEROS!#REF!,PASAJEROS!#REF!,PASAJEROS!#REF!,PASAJEROS!#REF!,PASAJEROS!#REF!,PASAJEROS!#REF!,PASAJEROS!#REF!,PASAJEROS!#REF!,PASAJEROS!#REF!,PASAJEROS!#REF!,PASAJEROS!#REF!,PASAJEROS!#REF!</definedName>
    <definedName name="Z_0E8BEAD5_9B9E_4107_ABAB_6D4D362E83D4_.wvu.Rows" localSheetId="2" hidden="1">'Trámites Preinscripciones'!#REF!,'Trámites Preinscripciones'!#REF!,'Trámites Preinscripciones'!#REF!,'Trámites Preinscripciones'!#REF!,'Trámites Preinscripciones'!#REF!,'Trámites Preinscripciones'!#REF!,'Trámites Preinscripciones'!#REF!,'Trámites Preinscripciones'!#REF!,'Trámites Preinscripciones'!#REF!,'Trámites Preinscripciones'!#REF!,'Trámites Preinscripciones'!#REF!,'Trámites Preinscripciones'!#REF!,'Trámites Preinscripciones'!#REF!,'Trámites Preinscripciones'!#REF!,'Trámites Preinscripciones'!#REF!,'Trámites Preinscripciones'!#REF!,'Trámites Preinscripciones'!#REF!,'Trámites Preinscripciones'!#REF!,'Trámites Preinscripciones'!#REF!,'Trámites Preinscripciones'!#REF!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43" i="3" l="1"/>
  <c r="AA42" i="3"/>
  <c r="AA41" i="3"/>
  <c r="AA40" i="3"/>
  <c r="AA37" i="3"/>
  <c r="AA36" i="3"/>
  <c r="AA33" i="3"/>
  <c r="AA32" i="3"/>
  <c r="AA29" i="3"/>
  <c r="AA26" i="3"/>
  <c r="AA25" i="3"/>
  <c r="AA24" i="3"/>
  <c r="AA23" i="3"/>
  <c r="AA20" i="3"/>
  <c r="AA19" i="3"/>
  <c r="AA18" i="3"/>
  <c r="AA17" i="3"/>
  <c r="AA14" i="3"/>
  <c r="AA13" i="3"/>
  <c r="AA12" i="3"/>
  <c r="AG43" i="3" l="1"/>
  <c r="AH43" i="3" s="1"/>
  <c r="H43" i="3"/>
  <c r="O7" i="4" l="1"/>
  <c r="E19" i="3" l="1"/>
  <c r="D4" i="4" l="1"/>
  <c r="D3" i="4" l="1"/>
  <c r="D5" i="4"/>
  <c r="AG25" i="4" l="1"/>
  <c r="AG24" i="4"/>
  <c r="AG23" i="4"/>
  <c r="AG20" i="4"/>
  <c r="AG19" i="4"/>
  <c r="AG16" i="4"/>
  <c r="AG13" i="4"/>
  <c r="AG28" i="4"/>
  <c r="AG12" i="4"/>
  <c r="G25" i="4" l="1"/>
  <c r="G13" i="4"/>
  <c r="G23" i="4"/>
  <c r="G16" i="4"/>
  <c r="G24" i="4"/>
  <c r="G28" i="4"/>
  <c r="G20" i="4"/>
  <c r="G19" i="4"/>
  <c r="AM28" i="4" l="1"/>
  <c r="AN28" i="4" s="1"/>
  <c r="AM23" i="4"/>
  <c r="AN23" i="4" s="1"/>
  <c r="AM25" i="4"/>
  <c r="AN25" i="4" s="1"/>
  <c r="AM24" i="4"/>
  <c r="AN24" i="4" s="1"/>
  <c r="H14" i="3" l="1"/>
  <c r="AG14" i="3"/>
  <c r="AH14" i="3" s="1"/>
  <c r="H41" i="3"/>
  <c r="AG41" i="3"/>
  <c r="AH41" i="3" s="1"/>
  <c r="H42" i="3"/>
  <c r="AG42" i="3"/>
  <c r="AH42" i="3" s="1"/>
  <c r="H19" i="3"/>
  <c r="AG19" i="3"/>
  <c r="AH19" i="3" s="1"/>
  <c r="AG32" i="3"/>
  <c r="AH32" i="3" s="1"/>
  <c r="H32" i="3"/>
  <c r="AG13" i="3"/>
  <c r="AH13" i="3" s="1"/>
  <c r="H13" i="3"/>
  <c r="H25" i="3"/>
  <c r="AG25" i="3"/>
  <c r="AH25" i="3" s="1"/>
  <c r="AG12" i="3"/>
  <c r="AH12" i="3" s="1"/>
  <c r="H12" i="3"/>
  <c r="H20" i="3"/>
  <c r="AG20" i="3"/>
  <c r="AH20" i="3" s="1"/>
  <c r="AG24" i="3"/>
  <c r="AH24" i="3" s="1"/>
  <c r="H24" i="3"/>
  <c r="G12" i="4"/>
  <c r="AG17" i="3"/>
  <c r="AH17" i="3" s="1"/>
  <c r="H17" i="3"/>
  <c r="H29" i="3"/>
  <c r="AG29" i="3"/>
  <c r="AH29" i="3" s="1"/>
  <c r="AG26" i="3"/>
  <c r="AH26" i="3" s="1"/>
  <c r="H26" i="3"/>
  <c r="AG40" i="3"/>
  <c r="AH40" i="3" s="1"/>
  <c r="H40" i="3"/>
  <c r="AG23" i="3"/>
  <c r="AH23" i="3" s="1"/>
  <c r="H23" i="3"/>
  <c r="AG37" i="3"/>
  <c r="AH37" i="3" s="1"/>
  <c r="H37" i="3"/>
  <c r="H33" i="3"/>
  <c r="AG33" i="3"/>
  <c r="AH33" i="3" s="1"/>
  <c r="H36" i="3"/>
  <c r="AG36" i="3"/>
  <c r="AH36" i="3" s="1"/>
  <c r="AG18" i="3"/>
  <c r="AH18" i="3" s="1"/>
  <c r="H18" i="3"/>
  <c r="AM20" i="4" l="1"/>
  <c r="AN20" i="4" s="1"/>
  <c r="AM12" i="4"/>
  <c r="AN12" i="4" s="1"/>
  <c r="AM19" i="4"/>
  <c r="AN19" i="4" s="1"/>
  <c r="AM13" i="4"/>
  <c r="AN13" i="4" s="1"/>
  <c r="AM16" i="4"/>
  <c r="AN16" i="4" s="1"/>
  <c r="K40" i="3" l="1"/>
  <c r="L40" i="3" s="1"/>
  <c r="M40" i="3"/>
  <c r="W40" i="3" l="1"/>
  <c r="Q40" i="3"/>
  <c r="AJ40" i="3"/>
  <c r="AB40" i="3"/>
  <c r="P40" i="3"/>
  <c r="V40" i="3"/>
  <c r="K33" i="3" l="1"/>
  <c r="L33" i="3" s="1"/>
  <c r="M33" i="3"/>
  <c r="W33" i="3" l="1"/>
  <c r="Q33" i="3"/>
  <c r="AJ33" i="3"/>
  <c r="AB33" i="3"/>
  <c r="V33" i="3"/>
  <c r="P33" i="3"/>
  <c r="S40" i="3" l="1"/>
  <c r="R40" i="3"/>
  <c r="AK40" i="3" l="1"/>
  <c r="AC40" i="3"/>
  <c r="Y40" i="3"/>
  <c r="X40" i="3"/>
  <c r="AL40" i="3" l="1"/>
  <c r="AD40" i="3"/>
  <c r="Y19" i="3" l="1"/>
  <c r="S19" i="3"/>
  <c r="AL19" i="3" l="1"/>
  <c r="AD19" i="3"/>
  <c r="AK19" i="3"/>
  <c r="AC19" i="3"/>
  <c r="Y37" i="3" l="1"/>
  <c r="S18" i="3"/>
  <c r="S37" i="3"/>
  <c r="Y32" i="3"/>
  <c r="Y12" i="3"/>
  <c r="AD12" i="3" s="1"/>
  <c r="Y17" i="3"/>
  <c r="AD17" i="3" s="1"/>
  <c r="S17" i="3"/>
  <c r="AC17" i="3" s="1"/>
  <c r="Y18" i="3"/>
  <c r="S43" i="3" l="1"/>
  <c r="Y43" i="3"/>
  <c r="Y29" i="3"/>
  <c r="Y28" i="4"/>
  <c r="AU28" i="4"/>
  <c r="S29" i="3"/>
  <c r="Y20" i="3"/>
  <c r="S13" i="3"/>
  <c r="K24" i="3"/>
  <c r="M24" i="3"/>
  <c r="K23" i="3"/>
  <c r="M23" i="3"/>
  <c r="AQ12" i="4"/>
  <c r="J12" i="4"/>
  <c r="L12" i="4"/>
  <c r="S12" i="4" s="1"/>
  <c r="AQ19" i="4"/>
  <c r="L19" i="4"/>
  <c r="S19" i="4" s="1"/>
  <c r="J19" i="4"/>
  <c r="N19" i="4" s="1"/>
  <c r="O19" i="4" s="1"/>
  <c r="AH19" i="4" s="1"/>
  <c r="S36" i="3"/>
  <c r="Y26" i="3"/>
  <c r="S23" i="3"/>
  <c r="S20" i="3"/>
  <c r="AL37" i="3"/>
  <c r="AD37" i="3"/>
  <c r="Q20" i="4"/>
  <c r="V20" i="4" s="1"/>
  <c r="W20" i="4" s="1"/>
  <c r="AS20" i="4"/>
  <c r="M14" i="3"/>
  <c r="K14" i="3"/>
  <c r="J24" i="4"/>
  <c r="N24" i="4" s="1"/>
  <c r="O24" i="4" s="1"/>
  <c r="AH24" i="4" s="1"/>
  <c r="L24" i="4"/>
  <c r="S24" i="4" s="1"/>
  <c r="AQ24" i="4"/>
  <c r="AD43" i="3"/>
  <c r="AL43" i="3"/>
  <c r="S14" i="3"/>
  <c r="M37" i="3"/>
  <c r="K37" i="3"/>
  <c r="AK37" i="3"/>
  <c r="AC37" i="3"/>
  <c r="K13" i="3"/>
  <c r="M13" i="3"/>
  <c r="K32" i="3"/>
  <c r="M32" i="3"/>
  <c r="Y14" i="3"/>
  <c r="Y24" i="3"/>
  <c r="AS12" i="4"/>
  <c r="Q12" i="4"/>
  <c r="K12" i="3"/>
  <c r="L12" i="3" s="1"/>
  <c r="M12" i="3"/>
  <c r="AB12" i="3" s="1"/>
  <c r="Y13" i="3"/>
  <c r="S41" i="3"/>
  <c r="AS13" i="4"/>
  <c r="Q13" i="4"/>
  <c r="V13" i="4" s="1"/>
  <c r="W13" i="4" s="1"/>
  <c r="AD18" i="3"/>
  <c r="AL18" i="3"/>
  <c r="AS25" i="4"/>
  <c r="Q25" i="4"/>
  <c r="V25" i="4" s="1"/>
  <c r="W25" i="4" s="1"/>
  <c r="S42" i="3"/>
  <c r="S32" i="3"/>
  <c r="M19" i="3"/>
  <c r="K19" i="3"/>
  <c r="J20" i="4"/>
  <c r="N20" i="4" s="1"/>
  <c r="O20" i="4" s="1"/>
  <c r="AH20" i="4" s="1"/>
  <c r="L20" i="4"/>
  <c r="S20" i="4" s="1"/>
  <c r="AQ20" i="4"/>
  <c r="K26" i="3"/>
  <c r="M26" i="3"/>
  <c r="K17" i="3"/>
  <c r="M17" i="3"/>
  <c r="AB17" i="3" s="1"/>
  <c r="M36" i="3"/>
  <c r="K36" i="3"/>
  <c r="K20" i="3"/>
  <c r="L20" i="3" s="1"/>
  <c r="M20" i="3"/>
  <c r="Y36" i="3"/>
  <c r="Y25" i="3"/>
  <c r="Y33" i="3"/>
  <c r="X33" i="3"/>
  <c r="AS23" i="4"/>
  <c r="Q23" i="4"/>
  <c r="V23" i="4" s="1"/>
  <c r="W23" i="4" s="1"/>
  <c r="S12" i="3"/>
  <c r="AC12" i="3" s="1"/>
  <c r="S33" i="3"/>
  <c r="R33" i="3"/>
  <c r="M18" i="3"/>
  <c r="K18" i="3"/>
  <c r="L25" i="4"/>
  <c r="S25" i="4" s="1"/>
  <c r="AQ25" i="4"/>
  <c r="J25" i="4"/>
  <c r="N25" i="4" s="1"/>
  <c r="O25" i="4" s="1"/>
  <c r="AH25" i="4" s="1"/>
  <c r="J16" i="4"/>
  <c r="N16" i="4" s="1"/>
  <c r="O16" i="4" s="1"/>
  <c r="AH16" i="4" s="1"/>
  <c r="L16" i="4"/>
  <c r="S16" i="4" s="1"/>
  <c r="AQ16" i="4"/>
  <c r="L13" i="4"/>
  <c r="S13" i="4" s="1"/>
  <c r="J13" i="4"/>
  <c r="N13" i="4" s="1"/>
  <c r="O13" i="4" s="1"/>
  <c r="AH13" i="4" s="1"/>
  <c r="AQ13" i="4"/>
  <c r="K29" i="3"/>
  <c r="M29" i="3"/>
  <c r="S26" i="3"/>
  <c r="AS19" i="4"/>
  <c r="Q19" i="4"/>
  <c r="V19" i="4" s="1"/>
  <c r="W19" i="4" s="1"/>
  <c r="Q28" i="4"/>
  <c r="V28" i="4" s="1"/>
  <c r="W28" i="4" s="1"/>
  <c r="AS28" i="4"/>
  <c r="L23" i="4"/>
  <c r="S23" i="4" s="1"/>
  <c r="J23" i="4"/>
  <c r="N23" i="4" s="1"/>
  <c r="O23" i="4" s="1"/>
  <c r="AH23" i="4" s="1"/>
  <c r="AQ23" i="4"/>
  <c r="Y41" i="3"/>
  <c r="L28" i="4"/>
  <c r="S28" i="4" s="1"/>
  <c r="AA28" i="4" s="1"/>
  <c r="AQ28" i="4"/>
  <c r="J28" i="4"/>
  <c r="N28" i="4" s="1"/>
  <c r="O28" i="4" s="1"/>
  <c r="AH28" i="4" s="1"/>
  <c r="M25" i="3"/>
  <c r="K25" i="3"/>
  <c r="L25" i="3" s="1"/>
  <c r="Q16" i="4"/>
  <c r="V16" i="4" s="1"/>
  <c r="W16" i="4" s="1"/>
  <c r="AS16" i="4"/>
  <c r="S25" i="3"/>
  <c r="S24" i="3"/>
  <c r="AK43" i="3"/>
  <c r="AC43" i="3"/>
  <c r="AS24" i="4"/>
  <c r="Q24" i="4"/>
  <c r="V24" i="4" s="1"/>
  <c r="W24" i="4" s="1"/>
  <c r="Y23" i="3"/>
  <c r="AC18" i="3"/>
  <c r="AK18" i="3"/>
  <c r="Y42" i="3"/>
  <c r="AD32" i="3"/>
  <c r="AL32" i="3"/>
  <c r="V12" i="4" l="1"/>
  <c r="W12" i="4" s="1"/>
  <c r="AD28" i="4"/>
  <c r="AE28" i="4" s="1"/>
  <c r="N12" i="4"/>
  <c r="O12" i="4" s="1"/>
  <c r="AH12" i="4" s="1"/>
  <c r="M13" i="4"/>
  <c r="T13" i="4" s="1"/>
  <c r="U13" i="4" s="1"/>
  <c r="M25" i="4"/>
  <c r="T25" i="4" s="1"/>
  <c r="U25" i="4" s="1"/>
  <c r="M16" i="4"/>
  <c r="T16" i="4" s="1"/>
  <c r="U16" i="4" s="1"/>
  <c r="M20" i="4"/>
  <c r="T20" i="4" s="1"/>
  <c r="U20" i="4" s="1"/>
  <c r="M24" i="4"/>
  <c r="T24" i="4" s="1"/>
  <c r="U24" i="4" s="1"/>
  <c r="AJ25" i="3"/>
  <c r="AB25" i="3"/>
  <c r="AJ23" i="4"/>
  <c r="AI23" i="4"/>
  <c r="V20" i="3"/>
  <c r="P20" i="3"/>
  <c r="M12" i="4"/>
  <c r="T12" i="4" s="1"/>
  <c r="U12" i="4" s="1"/>
  <c r="AD20" i="3"/>
  <c r="AL20" i="3"/>
  <c r="AL13" i="3"/>
  <c r="AD13" i="3"/>
  <c r="AK24" i="3"/>
  <c r="AC24" i="3"/>
  <c r="AL41" i="3"/>
  <c r="AD41" i="3"/>
  <c r="AC42" i="3"/>
  <c r="AK42" i="3"/>
  <c r="AL24" i="3"/>
  <c r="AD24" i="3"/>
  <c r="AB32" i="3"/>
  <c r="AJ32" i="3"/>
  <c r="AC36" i="3"/>
  <c r="AK36" i="3"/>
  <c r="L19" i="3"/>
  <c r="P19" i="3"/>
  <c r="V19" i="3"/>
  <c r="K43" i="3"/>
  <c r="M43" i="3"/>
  <c r="AK23" i="3"/>
  <c r="AC23" i="3"/>
  <c r="AL23" i="3"/>
  <c r="AD23" i="3"/>
  <c r="AJ24" i="3"/>
  <c r="AB24" i="3"/>
  <c r="K41" i="3"/>
  <c r="L41" i="3" s="1"/>
  <c r="M41" i="3"/>
  <c r="AD42" i="3"/>
  <c r="AL42" i="3"/>
  <c r="M23" i="4"/>
  <c r="T23" i="4" s="1"/>
  <c r="U23" i="4" s="1"/>
  <c r="AJ19" i="4"/>
  <c r="AI19" i="4"/>
  <c r="L36" i="3"/>
  <c r="P36" i="3"/>
  <c r="V36" i="3"/>
  <c r="AB26" i="3"/>
  <c r="AJ26" i="3"/>
  <c r="AJ19" i="3"/>
  <c r="AB19" i="3"/>
  <c r="L32" i="3"/>
  <c r="V32" i="3"/>
  <c r="P32" i="3"/>
  <c r="AJ16" i="4"/>
  <c r="AI16" i="4"/>
  <c r="M28" i="4"/>
  <c r="T28" i="4" s="1"/>
  <c r="AB28" i="4" s="1"/>
  <c r="AC28" i="4" s="1"/>
  <c r="AJ28" i="4"/>
  <c r="AI28" i="4"/>
  <c r="AK33" i="3"/>
  <c r="AC33" i="3"/>
  <c r="AL25" i="3"/>
  <c r="AD25" i="3"/>
  <c r="AJ13" i="4"/>
  <c r="AI13" i="4"/>
  <c r="W12" i="3"/>
  <c r="Q12" i="3"/>
  <c r="AJ24" i="4"/>
  <c r="AI24" i="4"/>
  <c r="AC26" i="3"/>
  <c r="AK26" i="3"/>
  <c r="AD36" i="3"/>
  <c r="AL36" i="3"/>
  <c r="AJ36" i="3"/>
  <c r="AB36" i="3"/>
  <c r="L26" i="3"/>
  <c r="P26" i="3"/>
  <c r="V26" i="3"/>
  <c r="V12" i="3"/>
  <c r="P12" i="3"/>
  <c r="AD14" i="3"/>
  <c r="AL14" i="3"/>
  <c r="AJ13" i="3"/>
  <c r="AB13" i="3"/>
  <c r="L37" i="3"/>
  <c r="V37" i="3"/>
  <c r="P37" i="3"/>
  <c r="L14" i="3"/>
  <c r="V14" i="3"/>
  <c r="P14" i="3"/>
  <c r="AJ20" i="4"/>
  <c r="AI20" i="4"/>
  <c r="M19" i="4"/>
  <c r="T19" i="4" s="1"/>
  <c r="U19" i="4" s="1"/>
  <c r="AB23" i="3"/>
  <c r="AJ23" i="3"/>
  <c r="L24" i="3"/>
  <c r="V24" i="3"/>
  <c r="P24" i="3"/>
  <c r="AD29" i="3"/>
  <c r="AL29" i="3"/>
  <c r="AK41" i="3"/>
  <c r="AC41" i="3"/>
  <c r="L13" i="3"/>
  <c r="V13" i="3"/>
  <c r="P13" i="3"/>
  <c r="AJ37" i="3"/>
  <c r="AB37" i="3"/>
  <c r="AJ14" i="3"/>
  <c r="AB14" i="3"/>
  <c r="L23" i="3"/>
  <c r="V23" i="3"/>
  <c r="P23" i="3"/>
  <c r="AK29" i="3"/>
  <c r="AC29" i="3"/>
  <c r="Q25" i="3"/>
  <c r="W25" i="3"/>
  <c r="AJ29" i="3"/>
  <c r="AB29" i="3"/>
  <c r="AB18" i="3"/>
  <c r="AJ18" i="3"/>
  <c r="Q20" i="3"/>
  <c r="R20" i="3" s="1"/>
  <c r="W20" i="3"/>
  <c r="X20" i="3" s="1"/>
  <c r="L17" i="3"/>
  <c r="P17" i="3"/>
  <c r="V17" i="3"/>
  <c r="AC32" i="3"/>
  <c r="AK32" i="3"/>
  <c r="AJ25" i="4"/>
  <c r="AI25" i="4"/>
  <c r="AJ12" i="4"/>
  <c r="AI12" i="4"/>
  <c r="AC20" i="3"/>
  <c r="AK20" i="3"/>
  <c r="AD26" i="3"/>
  <c r="AL26" i="3"/>
  <c r="AK13" i="3"/>
  <c r="AC13" i="3"/>
  <c r="L18" i="3"/>
  <c r="P18" i="3"/>
  <c r="V18" i="3"/>
  <c r="AK25" i="3"/>
  <c r="AC25" i="3"/>
  <c r="V25" i="3"/>
  <c r="P25" i="3"/>
  <c r="L29" i="3"/>
  <c r="P29" i="3"/>
  <c r="V29" i="3"/>
  <c r="AL33" i="3"/>
  <c r="AD33" i="3"/>
  <c r="AJ20" i="3"/>
  <c r="AB20" i="3"/>
  <c r="M42" i="3"/>
  <c r="K42" i="3"/>
  <c r="AK14" i="3"/>
  <c r="AC14" i="3"/>
  <c r="U28" i="4" l="1"/>
  <c r="X12" i="3"/>
  <c r="Q41" i="3"/>
  <c r="W41" i="3"/>
  <c r="Q29" i="3"/>
  <c r="R29" i="3" s="1"/>
  <c r="W29" i="3"/>
  <c r="X29" i="3" s="1"/>
  <c r="W23" i="3"/>
  <c r="X23" i="3" s="1"/>
  <c r="Q23" i="3"/>
  <c r="L43" i="3"/>
  <c r="P43" i="3"/>
  <c r="V43" i="3"/>
  <c r="W13" i="3"/>
  <c r="X13" i="3" s="1"/>
  <c r="Q13" i="3"/>
  <c r="R13" i="3" s="1"/>
  <c r="W37" i="3"/>
  <c r="X37" i="3" s="1"/>
  <c r="Q37" i="3"/>
  <c r="R37" i="3" s="1"/>
  <c r="W18" i="3"/>
  <c r="X18" i="3" s="1"/>
  <c r="Q18" i="3"/>
  <c r="R18" i="3" s="1"/>
  <c r="Q17" i="3"/>
  <c r="R17" i="3" s="1"/>
  <c r="W17" i="3"/>
  <c r="X17" i="3" s="1"/>
  <c r="X25" i="3"/>
  <c r="AB42" i="3"/>
  <c r="AJ42" i="3"/>
  <c r="R25" i="3"/>
  <c r="Q36" i="3"/>
  <c r="R36" i="3" s="1"/>
  <c r="W36" i="3"/>
  <c r="X36" i="3" s="1"/>
  <c r="L42" i="3"/>
  <c r="V42" i="3"/>
  <c r="P42" i="3"/>
  <c r="R12" i="3"/>
  <c r="Q32" i="3"/>
  <c r="R32" i="3" s="1"/>
  <c r="W32" i="3"/>
  <c r="X32" i="3" s="1"/>
  <c r="Q26" i="3"/>
  <c r="R26" i="3" s="1"/>
  <c r="W26" i="3"/>
  <c r="X26" i="3" s="1"/>
  <c r="AJ41" i="3"/>
  <c r="AB41" i="3"/>
  <c r="R23" i="3"/>
  <c r="Q24" i="3"/>
  <c r="R24" i="3" s="1"/>
  <c r="W24" i="3"/>
  <c r="X24" i="3" s="1"/>
  <c r="W14" i="3"/>
  <c r="X14" i="3" s="1"/>
  <c r="Q14" i="3"/>
  <c r="R14" i="3" s="1"/>
  <c r="P41" i="3"/>
  <c r="V41" i="3"/>
  <c r="AB43" i="3"/>
  <c r="AJ43" i="3"/>
  <c r="W19" i="3"/>
  <c r="X19" i="3" s="1"/>
  <c r="Q19" i="3"/>
  <c r="R19" i="3" s="1"/>
  <c r="W43" i="3" l="1"/>
  <c r="X43" i="3" s="1"/>
  <c r="Q43" i="3"/>
  <c r="R43" i="3" s="1"/>
  <c r="Q42" i="3"/>
  <c r="R42" i="3" s="1"/>
  <c r="W42" i="3"/>
  <c r="X42" i="3" s="1"/>
  <c r="X41" i="3"/>
  <c r="R41" i="3"/>
</calcChain>
</file>

<file path=xl/sharedStrings.xml><?xml version="1.0" encoding="utf-8"?>
<sst xmlns="http://schemas.openxmlformats.org/spreadsheetml/2006/main" count="313" uniqueCount="194">
  <si>
    <t>LISTA DE PRECIOS VEHÍCULOS NUEVOS</t>
  </si>
  <si>
    <t>LCDV</t>
  </si>
  <si>
    <t>CIT</t>
  </si>
  <si>
    <t>APORTE RED</t>
  </si>
  <si>
    <t>Margen Red</t>
  </si>
  <si>
    <t>Costo CE</t>
  </si>
  <si>
    <t>Factura Neta</t>
  </si>
  <si>
    <t>208 MCA</t>
  </si>
  <si>
    <t>1PP1SYUZIFJRA0F2000</t>
  </si>
  <si>
    <t>PG9306EL1023S00-3</t>
  </si>
  <si>
    <t>1PP5A5PNP1J0A0D2000</t>
  </si>
  <si>
    <t>PG8206E60422S00-7</t>
  </si>
  <si>
    <t>1PP5A5TNP1J0A0C2009</t>
  </si>
  <si>
    <t>1PP8SYLNPKJMA0E2132</t>
  </si>
  <si>
    <t>PG8056E60620S00-9</t>
  </si>
  <si>
    <t>N/A</t>
  </si>
  <si>
    <t>LANDTREK</t>
  </si>
  <si>
    <t>2PKPEKHMQ6N08810000</t>
  </si>
  <si>
    <t>2PKPEKHMQGN08810000</t>
  </si>
  <si>
    <t>PG8752E60922M00-K</t>
  </si>
  <si>
    <t>2PKPEKHMQNN08810000</t>
  </si>
  <si>
    <t>PG8750E60922M00-9</t>
  </si>
  <si>
    <t>2PKPEKNMQNN08810000</t>
  </si>
  <si>
    <t>2008 MCA</t>
  </si>
  <si>
    <t>Rifter MCA Allure Puretech 130 EAT8</t>
  </si>
  <si>
    <t>Rifter MCA Allure BlueHDi 130 EAT8</t>
  </si>
  <si>
    <t>1PK9CLTMNKJRA070059</t>
  </si>
  <si>
    <t>1PK9CLTNP1JRA070059</t>
  </si>
  <si>
    <t>1PK9CLTMK1JRA070059</t>
  </si>
  <si>
    <t>PG9514E60524S00-5</t>
  </si>
  <si>
    <t>PG9511E60524S00-9</t>
  </si>
  <si>
    <t>RIFTER MCA</t>
  </si>
  <si>
    <t>2PK91CNMNKJRA070072</t>
  </si>
  <si>
    <t>2PK95CNMNKJRA070069</t>
  </si>
  <si>
    <t>PG9508E60524S00-2</t>
  </si>
  <si>
    <t>PG9508E60524S01-6</t>
  </si>
  <si>
    <t>PARTNER MCA</t>
  </si>
  <si>
    <t>1PP2A5UZIFEEA0F6162</t>
  </si>
  <si>
    <t>PG9495EL0424S00-1</t>
  </si>
  <si>
    <t>PG9562E60724S00-5</t>
  </si>
  <si>
    <t>1PP1SYPJHWJRA0F2065</t>
  </si>
  <si>
    <t>1PP2A5PJHWJRA0G0003</t>
  </si>
  <si>
    <t>PG9496E60524S00-9</t>
  </si>
  <si>
    <t>1PP1SYTJHWJRA0F2000</t>
  </si>
  <si>
    <t>PG9596E60724S00-0</t>
  </si>
  <si>
    <t>1PPDSYTJH7NXA0B0167</t>
  </si>
  <si>
    <t>New 3008</t>
  </si>
  <si>
    <t>New 3008 GT MHEV 136 EDCT6</t>
  </si>
  <si>
    <t>TRAVELLER MCA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</si>
  <si>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</si>
  <si>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</si>
  <si>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</si>
  <si>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</si>
  <si>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</si>
  <si>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</si>
  <si>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</si>
  <si>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</si>
  <si>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</si>
  <si>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</si>
  <si>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</si>
  <si>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</si>
  <si>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PG9589E61224S02-2</t>
  </si>
  <si>
    <t>PG9239E60823S00-7</t>
  </si>
  <si>
    <t>208 MCA Style Puretech 100</t>
  </si>
  <si>
    <t>2008 MCA Allure MHEV 136 eDCT6</t>
  </si>
  <si>
    <t>2008 MCA GT EV</t>
  </si>
  <si>
    <t>2008 MCA Style MHEV 136 eDCT6</t>
  </si>
  <si>
    <t>308 Allure Puretech EAT8</t>
  </si>
  <si>
    <t>T1</t>
  </si>
  <si>
    <t>TMP</t>
  </si>
  <si>
    <t>CC</t>
  </si>
  <si>
    <t>T2</t>
  </si>
  <si>
    <t>1PP1SYHJHWJR2PG0000</t>
  </si>
  <si>
    <t>1PP2A5HL6KJR2PG0003</t>
  </si>
  <si>
    <t>EXPERT MCA</t>
  </si>
  <si>
    <t>Expert MCA L3 BlueHdi 145</t>
  </si>
  <si>
    <t>2PK0F3NWRKJRA0J0088</t>
  </si>
  <si>
    <t>PG9683E61024M00-6</t>
  </si>
  <si>
    <t>VEHICULOS COMERCIALES</t>
  </si>
  <si>
    <t>PRECIO LISTA</t>
  </si>
  <si>
    <t>CRÉDITO CONVENCIONAL</t>
  </si>
  <si>
    <t>COMPRA INTELIGENTE</t>
  </si>
  <si>
    <t>TODO MEDIO DE PAGO</t>
  </si>
  <si>
    <t>1PPDSYRJH7NXA0C0000</t>
  </si>
  <si>
    <t>Tope CE</t>
  </si>
  <si>
    <t>208 MCA ALLURE MHEV 136 EDCT6</t>
  </si>
  <si>
    <t>208 MCA GT EV</t>
  </si>
  <si>
    <t>2008 MCA GT MHEV 136 EDCT6</t>
  </si>
  <si>
    <t>308 GT PURETECH 130 EAT8</t>
  </si>
  <si>
    <t>3008 ACTIVE PACK PURETECH 130</t>
  </si>
  <si>
    <t>PG9589E60724S00-2</t>
  </si>
  <si>
    <t>RIFTER MCA ALLURE BLUEHDI 100</t>
  </si>
  <si>
    <t>KEY MCV</t>
  </si>
  <si>
    <t>PARTNER MCA L2 BLUEHDI 100</t>
  </si>
  <si>
    <t>New 3008 Allure MHEV 136 eDCT6</t>
  </si>
  <si>
    <t>PARTNER MCA L1 BLUEHDI 100</t>
  </si>
  <si>
    <t>Traveller MCA Business L3 8P BlueHDi 180 EAT8</t>
  </si>
  <si>
    <t>PG8752E60922M01-3</t>
  </si>
  <si>
    <t>New 5008</t>
  </si>
  <si>
    <t>New 5008 Allure MHEV 136 EDCT6</t>
  </si>
  <si>
    <t>New 5008 GT MHEV 136 EDCT6</t>
  </si>
  <si>
    <t>1PPFSZRJH7NXA0C2000</t>
  </si>
  <si>
    <t>1PPFSZTJH7NXA0C2167</t>
  </si>
  <si>
    <t>2PKPEKNMQGN08824000</t>
  </si>
  <si>
    <t>Traveller MCA Business L3 9P BlueHDi 180 EAT8</t>
  </si>
  <si>
    <t>PG9610E60824M01-6</t>
  </si>
  <si>
    <t>PG9682E61024S00-2</t>
  </si>
  <si>
    <t>208 MCA Style Gasolina 100hp MT</t>
  </si>
  <si>
    <t>208 MCA Allure Hybrid 136hp AT</t>
  </si>
  <si>
    <t xml:space="preserve">208 MCA GT Electric </t>
  </si>
  <si>
    <t>2008 MCA Style Hybrid 136hp AT</t>
  </si>
  <si>
    <t>2008 MCA Allure Hybrid 136hp AT</t>
  </si>
  <si>
    <t>2008 MCA GT Hybrid 136hp AT</t>
  </si>
  <si>
    <t>2008 MCA GT Electric</t>
  </si>
  <si>
    <t>308 GT Gasolina 130hp AT</t>
  </si>
  <si>
    <t>3008 Active Pack Gasolina 130hp MT</t>
  </si>
  <si>
    <t>New 3008 Allure Hybrid 136hp AT</t>
  </si>
  <si>
    <t>New 3008 GT Hybrid 136hp AT</t>
  </si>
  <si>
    <t>New 5008 Allure Hybrid 136hp AT</t>
  </si>
  <si>
    <t>New 5008 GT Hybrid 136hp AT</t>
  </si>
  <si>
    <t>Rifter MCA Allure Diesel 100hp MT</t>
  </si>
  <si>
    <t>Rifter MCA Allure Gasolina 130hp AT</t>
  </si>
  <si>
    <t>Rifter MCA Allure Diesel 130hp AT</t>
  </si>
  <si>
    <t>Partner MCA L1 Diesel 100hp MT</t>
  </si>
  <si>
    <t>Partner MCA L2 Diesel 100hp MT</t>
  </si>
  <si>
    <t>Expert MCA L3 Diesel 145hp MT</t>
  </si>
  <si>
    <t>Landtrek Active Diesel 180hp 4x2 MT</t>
  </si>
  <si>
    <t>Landtrek Active Diesel 180hp 4x4 MT</t>
  </si>
  <si>
    <t>Landtrek Active Diesel 180hp 4x4 AT</t>
  </si>
  <si>
    <t>Landtrek Action4 Diesel 180hp 4x4 MT</t>
  </si>
  <si>
    <t>Landtrek Action4 Diesel 180hp 4x4 AT</t>
  </si>
  <si>
    <t>308 ALLURE MHEV 136 eDCT6</t>
  </si>
  <si>
    <t>308 GT MHEV 136 EDCT6</t>
  </si>
  <si>
    <t>308 Allure Hybrid 136hp AT</t>
  </si>
  <si>
    <t>308 GT Hybrid 136hp AT</t>
  </si>
  <si>
    <t>1PP5A5PJHWJ0A0E0013</t>
  </si>
  <si>
    <t>PG9717E61124S00-0</t>
  </si>
  <si>
    <t>1PP5A5TJHWJ0A0E0003</t>
  </si>
  <si>
    <t xml:space="preserve">New Traveller MCA L3 8P Diesel 180hp AT	</t>
  </si>
  <si>
    <t>New Traveller MCA L3 9P Diesel 180hp AT</t>
  </si>
  <si>
    <t>1PK0NPQWQ1JRA0K0348</t>
  </si>
  <si>
    <t>1PK0NPQWQ1JRA0K0349</t>
  </si>
  <si>
    <t>PG9610E60824M00-2</t>
  </si>
  <si>
    <t>308 Allure Gasolina 130hp AT</t>
  </si>
  <si>
    <t>BOXER MCA</t>
  </si>
  <si>
    <t>Boxer MCA Furgón  L2H2 BlueHDi</t>
  </si>
  <si>
    <t>Boxer MCA Furgón  L3H2 BlueHDi</t>
  </si>
  <si>
    <t>Boxer MCA Furgón  L4H2 BlueHDi</t>
  </si>
  <si>
    <t>Boxer MCA Furgón  L2H2 Diesel 140hp MT</t>
  </si>
  <si>
    <t>Boxer MCA Furgón  L3H2 Diesel 140hp MT</t>
  </si>
  <si>
    <t>Boxer MCA Furgón  L4H2 Diesel 140hp MT</t>
  </si>
  <si>
    <t>PG9962E60525M00-0</t>
  </si>
  <si>
    <t>PG9962E60525M03-1</t>
  </si>
  <si>
    <t>2PXE3LHOK6NXA010359</t>
  </si>
  <si>
    <t>2PXE5LHOK6NXA010359</t>
  </si>
  <si>
    <t>2PXE7LHOK6NXA010360</t>
  </si>
  <si>
    <t>PG9962E60525M02-8</t>
  </si>
  <si>
    <t>INSCRIPCIÓN</t>
  </si>
  <si>
    <t>IMPUESTO VERDE</t>
  </si>
  <si>
    <t>COSTO DE TRÁMITES PREINSCRIPCIONES</t>
  </si>
  <si>
    <t>SE COBRA A TRAVÉS DE FACTURA EXENTA</t>
  </si>
  <si>
    <t>ICAR              (VALOR + IVA)</t>
  </si>
  <si>
    <t>Landtrek Pro Diesel 180hp 4x2 MT</t>
  </si>
  <si>
    <t>Landtrek Pro Diesel 180hp 4x4 MT</t>
  </si>
  <si>
    <t>2PKPEKCMQ6N08824000</t>
  </si>
  <si>
    <t>2PKPEKCMQGN08824000</t>
  </si>
  <si>
    <t>IMPUESTO TRANSFERENCIA</t>
  </si>
  <si>
    <t>LANDTREK MCA</t>
  </si>
  <si>
    <t>Landtrek Action4 BlueHDi 4x4 AT 6.3</t>
  </si>
  <si>
    <t>Landtrek MCA Action4 Diesel 200hp 4x4 AT</t>
  </si>
  <si>
    <t>PG9878E60325M00-6</t>
  </si>
  <si>
    <t>2PKPEKQO0DNXA030000</t>
  </si>
  <si>
    <t>DESCUENTOS B2B</t>
  </si>
  <si>
    <t>CON IVA</t>
  </si>
  <si>
    <t>SIN IVA</t>
  </si>
  <si>
    <t/>
  </si>
  <si>
    <t>BONO CON IVA</t>
  </si>
  <si>
    <t>APORTE STELLANTIS</t>
  </si>
  <si>
    <t>PRECIO PROMO</t>
  </si>
  <si>
    <t>APORTE FINANCIERA</t>
  </si>
  <si>
    <t>BONO SIN IVA</t>
  </si>
  <si>
    <t>PRECIO CON IVA</t>
  </si>
  <si>
    <t>PRECIO SIN IVA</t>
  </si>
  <si>
    <t>∆ Precio 
CC M-1</t>
  </si>
  <si>
    <t>∆ Precio 
CI M-1</t>
  </si>
  <si>
    <t>VEHÍCULOS PASAJEROS</t>
  </si>
  <si>
    <t>∆ Precio 
Lista M-1</t>
  </si>
  <si>
    <t>∆ Precio 
TMP M-1</t>
  </si>
  <si>
    <t>VEHÍCULOS COMERCIALES</t>
  </si>
  <si>
    <t>Rifter MCA GT Diesel 130hp AT</t>
  </si>
  <si>
    <t>1PK9CLWMK1JRA0B0371</t>
  </si>
  <si>
    <t>CI</t>
  </si>
  <si>
    <t>PG9514E60725S01-8</t>
  </si>
  <si>
    <t>Nº 06 - 2026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</si>
</sst>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 &quot;$&quot;* #,##0_ ;_ &quot;$&quot;* \-#,##0_ ;_ &quot;$&quot;* &quot;-&quot;_ ;_ @_ "/>
    <numFmt numFmtId="43" formatCode="_ * #,##0.00_ ;_ * \-#,##0.00_ ;_ * &quot;-&quot;??_ ;_ @_ "/>
    <numFmt numFmtId="164" formatCode="_-* #,##0.00_-;\-* #,##0.00_-;_-* &quot;-&quot;??_-;_-@_-"/>
    <numFmt numFmtId="165" formatCode="_-* #,##0\ _€_-;\-* #,##0\ _€_-;_-* &quot;-&quot;\ _€_-;_-@_-"/>
    <numFmt numFmtId="166" formatCode="_-* #,##0.00\ _€_-;\-* #,##0.00\ _€_-;_-* &quot;-&quot;??\ _€_-;_-@_-"/>
    <numFmt numFmtId="167" formatCode="0.0%"/>
    <numFmt numFmtId="168" formatCode="[$$-340A]\ #,##0"/>
    <numFmt numFmtId="169" formatCode="[$-340A]d&quot; de &quot;mmmm&quot; de &quot;yyyy;@"/>
    <numFmt numFmtId="170" formatCode="[$-F800]dddd\,\ mmmm\ dd\,\ yyyy"/>
    <numFmt numFmtId="171" formatCode="0.0"/>
    <numFmt numFmtId="172" formatCode="_-* #,##0\ _P_t_s_-;\-* #,##0\ _P_t_s_-;_-* &quot;-&quot;??\ _P_t_s_-;_-@_-"/>
    <numFmt numFmtId="173" formatCode="\+&quot;$&quot;#,##0;\-&quot;$&quot;#,##0"/>
  </numFmts>
  <fonts count="76" x14ac:knownFonts="1">
    <font>
      <sz val="10"/>
      <name val="Arial"/>
    </font>
    <font>
      <sz val="10"/>
      <name val="Arial"/>
      <family val="2"/>
    </font>
    <font>
      <sz val="10"/>
      <name val="MS Sans Serif"/>
      <family val="2"/>
    </font>
    <font>
      <sz val="10"/>
      <name val="Arial"/>
      <family val="2"/>
    </font>
    <font>
      <sz val="11"/>
      <color theme="1"/>
      <name val="Peugeot"/>
    </font>
    <font>
      <sz val="11"/>
      <name val="Peugeot"/>
    </font>
    <font>
      <b/>
      <sz val="14"/>
      <color theme="1"/>
      <name val="Peugeot"/>
    </font>
    <font>
      <b/>
      <sz val="11"/>
      <color theme="1"/>
      <name val="Peugeot"/>
    </font>
    <font>
      <b/>
      <sz val="11"/>
      <name val="Peugeot"/>
    </font>
    <font>
      <b/>
      <sz val="10"/>
      <color theme="1"/>
      <name val="Peugeot"/>
    </font>
    <font>
      <b/>
      <sz val="11"/>
      <color indexed="63"/>
      <name val="Peugeot"/>
    </font>
    <font>
      <b/>
      <sz val="10"/>
      <name val="Peugeot"/>
    </font>
    <font>
      <sz val="11"/>
      <color indexed="63"/>
      <name val="Peugeot"/>
    </font>
    <font>
      <sz val="10"/>
      <color indexed="63"/>
      <name val="Peugeot"/>
    </font>
    <font>
      <b/>
      <sz val="14"/>
      <name val="Peugeot"/>
    </font>
    <font>
      <b/>
      <sz val="14"/>
      <color theme="1"/>
      <name val="Peugeot Light"/>
    </font>
    <font>
      <sz val="10"/>
      <name val="Arial"/>
      <family val="2"/>
    </font>
    <font>
      <sz val="11"/>
      <color theme="1"/>
      <name val="Peugeot New"/>
    </font>
    <font>
      <sz val="11"/>
      <name val="Peugeot New"/>
    </font>
    <font>
      <b/>
      <sz val="14"/>
      <color theme="1"/>
      <name val="Peugeot New"/>
    </font>
    <font>
      <b/>
      <sz val="11"/>
      <color theme="1"/>
      <name val="Peugeot New"/>
    </font>
    <font>
      <b/>
      <sz val="11"/>
      <name val="Peugeot New"/>
    </font>
    <font>
      <b/>
      <sz val="11"/>
      <color indexed="63"/>
      <name val="Peugeot New"/>
    </font>
    <font>
      <b/>
      <sz val="11"/>
      <color theme="0"/>
      <name val="Peugeot New"/>
    </font>
    <font>
      <sz val="10"/>
      <name val="Peugeot New"/>
    </font>
    <font>
      <b/>
      <sz val="14"/>
      <name val="Peugeot New"/>
    </font>
    <font>
      <sz val="11"/>
      <color indexed="63"/>
      <name val="Peugeot New"/>
    </font>
    <font>
      <b/>
      <sz val="11"/>
      <name val="Peugeot New Light"/>
    </font>
    <font>
      <b/>
      <sz val="10"/>
      <name val="Peugeot New Light"/>
    </font>
    <font>
      <sz val="11"/>
      <name val="Peugeot New Light"/>
    </font>
    <font>
      <sz val="10"/>
      <name val="Peugeot New Light"/>
    </font>
    <font>
      <sz val="14"/>
      <name val="Peugeot New Light"/>
    </font>
    <font>
      <b/>
      <sz val="16"/>
      <color theme="0"/>
      <name val="Peugeot New"/>
    </font>
    <font>
      <sz val="14"/>
      <color theme="0"/>
      <name val="Peugeot New Black"/>
    </font>
    <font>
      <sz val="12"/>
      <name val="Peugeot New Light"/>
    </font>
    <font>
      <b/>
      <sz val="12"/>
      <color theme="1"/>
      <name val="Peugeot New Light"/>
    </font>
    <font>
      <b/>
      <sz val="12"/>
      <name val="Peugeot New Light"/>
    </font>
    <font>
      <sz val="12"/>
      <name val="Peugeot New"/>
    </font>
    <font>
      <b/>
      <sz val="12"/>
      <name val="Peugeot New"/>
    </font>
    <font>
      <b/>
      <sz val="18"/>
      <color theme="1"/>
      <name val="Peugeot New Black"/>
    </font>
    <font>
      <b/>
      <sz val="12"/>
      <color rgb="FFFF0000"/>
      <name val="Peugeot New"/>
    </font>
    <font>
      <b/>
      <sz val="11"/>
      <color rgb="FFFF0000"/>
      <name val="Peugeot"/>
    </font>
    <font>
      <sz val="10"/>
      <color theme="1"/>
      <name val="Peugeot New"/>
    </font>
    <font>
      <b/>
      <sz val="10"/>
      <name val="Peugeot New"/>
    </font>
    <font>
      <sz val="8"/>
      <name val="Arial"/>
      <family val="2"/>
    </font>
    <font>
      <sz val="14"/>
      <name val="Peugeot New"/>
    </font>
    <font>
      <sz val="13"/>
      <color theme="0"/>
      <name val="Peugeot New Black"/>
    </font>
    <font>
      <b/>
      <sz val="12"/>
      <color indexed="63"/>
      <name val="Peugeot New"/>
    </font>
    <font>
      <b/>
      <sz val="12"/>
      <color theme="0"/>
      <name val="Peugeot New"/>
    </font>
    <font>
      <b/>
      <sz val="12"/>
      <name val="Peugeot"/>
    </font>
    <font>
      <b/>
      <sz val="12"/>
      <color indexed="63"/>
      <name val="Peugeot"/>
    </font>
    <font>
      <b/>
      <sz val="12"/>
      <color theme="1"/>
      <name val="Peugeot"/>
    </font>
    <font>
      <b/>
      <sz val="13"/>
      <name val="Peugeot"/>
    </font>
    <font>
      <b/>
      <sz val="13"/>
      <color indexed="63"/>
      <name val="Peugeot"/>
    </font>
    <font>
      <b/>
      <sz val="13"/>
      <color theme="1"/>
      <name val="Peugeot"/>
    </font>
    <font>
      <b/>
      <sz val="12"/>
      <color theme="0"/>
      <name val="Peugeot New Black"/>
    </font>
    <font>
      <sz val="10"/>
      <name val="Arial"/>
      <family val="2"/>
    </font>
    <font>
      <b/>
      <sz val="12"/>
      <color theme="1"/>
      <name val="Peugeot New"/>
    </font>
    <font>
      <sz val="12"/>
      <color theme="1"/>
      <name val="Peugeot New"/>
    </font>
    <font>
      <b/>
      <sz val="11.5"/>
      <name val="Peugeot New"/>
    </font>
    <font>
      <b/>
      <sz val="11.5"/>
      <color indexed="63"/>
      <name val="Peugeot New"/>
    </font>
    <font>
      <b/>
      <sz val="11.5"/>
      <color theme="0"/>
      <name val="Peugeot New"/>
    </font>
    <font>
      <b/>
      <sz val="11"/>
      <color rgb="FFFF0000"/>
      <name val="Peugeot New"/>
    </font>
    <font>
      <sz val="11.5"/>
      <name val="Peugeot New"/>
    </font>
    <font>
      <b/>
      <sz val="11.5"/>
      <color rgb="FFFF0000"/>
      <name val="Peugeot New"/>
    </font>
    <font>
      <sz val="11.5"/>
      <color theme="1"/>
      <name val="Peugeot New Light"/>
    </font>
    <font>
      <sz val="11.5"/>
      <name val="Peugeot New Light"/>
    </font>
    <font>
      <b/>
      <sz val="11.5"/>
      <color theme="1"/>
      <name val="Peugeot New Light"/>
    </font>
    <font>
      <b/>
      <sz val="11.5"/>
      <name val="Peugeot New Light"/>
    </font>
    <font>
      <b/>
      <sz val="10"/>
      <color theme="1"/>
      <name val="Peugeot New"/>
    </font>
    <font>
      <sz val="14"/>
      <color theme="1"/>
      <name val="Peugeot New"/>
    </font>
    <font>
      <b/>
      <sz val="18"/>
      <color theme="1"/>
      <name val="Peugeot New"/>
    </font>
    <font>
      <sz val="10"/>
      <color indexed="63"/>
      <name val="Peugeot New"/>
    </font>
    <font>
      <b/>
      <sz val="11.5"/>
      <color rgb="FFFF0000"/>
      <name val="Peugeot New Light"/>
    </font>
    <font>
      <b/>
      <sz val="11"/>
      <color rgb="FFFF0000"/>
      <name val="Peugeot New Light"/>
    </font>
    <font>
      <b/>
      <sz val="11.5"/>
      <color theme="1"/>
      <name val="Peugeot New"/>
    </font>
  </fonts>
  <fills count="14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9BB6F3"/>
        <bgColor indexed="64"/>
      </patternFill>
    </fill>
    <fill>
      <patternFill patternType="solid">
        <fgColor rgb="FF0070C0"/>
        <bgColor auto="1"/>
      </patternFill>
    </fill>
    <fill>
      <patternFill patternType="solid">
        <fgColor rgb="FFE8EEF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00A3E0"/>
        <bgColor indexed="64"/>
      </patternFill>
    </fill>
  </fills>
  <borders count="50">
    <border>
      <left/>
      <right/>
      <top/>
      <bottom/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/>
      <top style="medium">
        <color theme="0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/>
      <bottom/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/>
      <right style="medium">
        <color theme="0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theme="0"/>
      </left>
      <right style="thin">
        <color auto="1"/>
      </right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medium">
        <color theme="0"/>
      </right>
      <top/>
      <bottom style="thin">
        <color indexed="64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medium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medium">
        <color theme="0"/>
      </top>
      <bottom style="medium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medium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/>
      <right/>
      <top style="medium">
        <color theme="0"/>
      </top>
      <bottom style="thin">
        <color theme="0"/>
      </bottom>
      <diagonal/>
    </border>
    <border>
      <left/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/>
      <top style="medium">
        <color theme="0"/>
      </top>
      <bottom/>
      <diagonal/>
    </border>
    <border>
      <left style="thin">
        <color theme="0"/>
      </left>
      <right/>
      <top/>
      <bottom style="thin">
        <color theme="0"/>
      </bottom>
      <diagonal/>
    </border>
  </borders>
  <cellStyleXfs count="24">
    <xf numFmtId="0" fontId="0" fillId="0" borderId="0"/>
    <xf numFmtId="0" fontId="3" fillId="0" borderId="0"/>
    <xf numFmtId="0" fontId="3" fillId="0" borderId="0"/>
    <xf numFmtId="0" fontId="3" fillId="0" borderId="0"/>
    <xf numFmtId="165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0" fontId="3" fillId="0" borderId="0"/>
    <xf numFmtId="9" fontId="1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2" fillId="0" borderId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0" fontId="1" fillId="0" borderId="0"/>
    <xf numFmtId="164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42" fontId="16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56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01">
    <xf numFmtId="0" fontId="0" fillId="0" borderId="0" xfId="0"/>
    <xf numFmtId="168" fontId="8" fillId="0" borderId="0" xfId="2" applyNumberFormat="1" applyFont="1" applyAlignment="1">
      <alignment horizontal="center" vertical="center"/>
    </xf>
    <xf numFmtId="49" fontId="7" fillId="0" borderId="0" xfId="2" applyNumberFormat="1" applyFont="1" applyAlignment="1">
      <alignment horizontal="center" vertical="center" wrapText="1"/>
    </xf>
    <xf numFmtId="168" fontId="7" fillId="0" borderId="0" xfId="2" applyNumberFormat="1" applyFont="1" applyAlignment="1">
      <alignment horizontal="center" vertical="center"/>
    </xf>
    <xf numFmtId="0" fontId="8" fillId="0" borderId="0" xfId="2" applyFont="1" applyAlignment="1">
      <alignment horizontal="center" vertical="center" wrapText="1"/>
    </xf>
    <xf numFmtId="168" fontId="8" fillId="0" borderId="0" xfId="11" applyNumberFormat="1" applyFont="1" applyFill="1" applyBorder="1" applyAlignment="1" applyProtection="1">
      <alignment horizontal="center" vertical="center"/>
    </xf>
    <xf numFmtId="0" fontId="5" fillId="0" borderId="0" xfId="2" applyFont="1" applyAlignment="1">
      <alignment horizontal="center" vertical="center"/>
    </xf>
    <xf numFmtId="3" fontId="4" fillId="0" borderId="4" xfId="2" applyNumberFormat="1" applyFont="1" applyBorder="1" applyAlignment="1">
      <alignment horizontal="center" vertical="center" wrapText="1"/>
    </xf>
    <xf numFmtId="49" fontId="7" fillId="0" borderId="4" xfId="2" applyNumberFormat="1" applyFont="1" applyBorder="1" applyAlignment="1">
      <alignment horizontal="center" vertical="center" wrapText="1"/>
    </xf>
    <xf numFmtId="0" fontId="10" fillId="0" borderId="4" xfId="2" applyFont="1" applyBorder="1" applyAlignment="1">
      <alignment horizontal="center" vertical="center" wrapText="1"/>
    </xf>
    <xf numFmtId="0" fontId="12" fillId="4" borderId="0" xfId="2" applyFont="1" applyFill="1" applyAlignment="1">
      <alignment horizontal="center" vertical="center" wrapText="1"/>
    </xf>
    <xf numFmtId="0" fontId="5" fillId="4" borderId="0" xfId="2" applyFont="1" applyFill="1" applyAlignment="1">
      <alignment vertical="center" wrapText="1"/>
    </xf>
    <xf numFmtId="168" fontId="5" fillId="4" borderId="0" xfId="2" applyNumberFormat="1" applyFont="1" applyFill="1" applyAlignment="1">
      <alignment horizontal="center" vertical="center"/>
    </xf>
    <xf numFmtId="0" fontId="4" fillId="4" borderId="0" xfId="2" applyFont="1" applyFill="1" applyAlignment="1">
      <alignment vertical="center" wrapText="1"/>
    </xf>
    <xf numFmtId="0" fontId="8" fillId="4" borderId="0" xfId="2" applyFont="1" applyFill="1" applyAlignment="1">
      <alignment vertical="center" wrapText="1"/>
    </xf>
    <xf numFmtId="0" fontId="14" fillId="4" borderId="0" xfId="2" applyFont="1" applyFill="1" applyAlignment="1">
      <alignment vertical="center" wrapText="1"/>
    </xf>
    <xf numFmtId="0" fontId="5" fillId="4" borderId="0" xfId="2" applyFont="1" applyFill="1" applyAlignment="1">
      <alignment vertical="center"/>
    </xf>
    <xf numFmtId="0" fontId="13" fillId="4" borderId="0" xfId="2" applyFont="1" applyFill="1" applyAlignment="1">
      <alignment horizontal="left" vertical="center"/>
    </xf>
    <xf numFmtId="0" fontId="17" fillId="4" borderId="0" xfId="2" applyFont="1" applyFill="1" applyAlignment="1">
      <alignment vertical="center" wrapText="1"/>
    </xf>
    <xf numFmtId="3" fontId="17" fillId="0" borderId="4" xfId="2" applyNumberFormat="1" applyFont="1" applyBorder="1" applyAlignment="1">
      <alignment horizontal="center" vertical="center" wrapText="1"/>
    </xf>
    <xf numFmtId="0" fontId="17" fillId="0" borderId="0" xfId="2" applyFont="1" applyAlignment="1">
      <alignment vertical="center" wrapText="1"/>
    </xf>
    <xf numFmtId="3" fontId="17" fillId="0" borderId="0" xfId="2" applyNumberFormat="1" applyFont="1" applyAlignment="1">
      <alignment horizontal="center" vertical="center" wrapText="1"/>
    </xf>
    <xf numFmtId="168" fontId="20" fillId="0" borderId="0" xfId="2" applyNumberFormat="1" applyFont="1" applyAlignment="1">
      <alignment horizontal="left" vertical="center"/>
    </xf>
    <xf numFmtId="168" fontId="18" fillId="0" borderId="0" xfId="2" applyNumberFormat="1" applyFont="1" applyAlignment="1">
      <alignment vertical="center" wrapText="1"/>
    </xf>
    <xf numFmtId="9" fontId="18" fillId="0" borderId="0" xfId="9" applyFont="1" applyFill="1" applyBorder="1" applyAlignment="1" applyProtection="1">
      <alignment vertical="center" wrapText="1"/>
    </xf>
    <xf numFmtId="0" fontId="17" fillId="0" borderId="5" xfId="2" applyFont="1" applyBorder="1" applyAlignment="1">
      <alignment vertical="center" wrapText="1"/>
    </xf>
    <xf numFmtId="49" fontId="20" fillId="0" borderId="4" xfId="2" applyNumberFormat="1" applyFont="1" applyBorder="1" applyAlignment="1">
      <alignment horizontal="center" vertical="center" wrapText="1"/>
    </xf>
    <xf numFmtId="49" fontId="20" fillId="0" borderId="0" xfId="2" applyNumberFormat="1" applyFont="1" applyAlignment="1">
      <alignment horizontal="center" vertical="center" wrapText="1"/>
    </xf>
    <xf numFmtId="168" fontId="17" fillId="0" borderId="0" xfId="2" applyNumberFormat="1" applyFont="1" applyAlignment="1">
      <alignment vertical="center" wrapText="1"/>
    </xf>
    <xf numFmtId="169" fontId="19" fillId="0" borderId="0" xfId="2" applyNumberFormat="1" applyFont="1" applyAlignment="1">
      <alignment horizontal="left" vertical="center"/>
    </xf>
    <xf numFmtId="170" fontId="20" fillId="0" borderId="0" xfId="2" applyNumberFormat="1" applyFont="1" applyAlignment="1">
      <alignment vertical="center"/>
    </xf>
    <xf numFmtId="168" fontId="21" fillId="0" borderId="0" xfId="2" applyNumberFormat="1" applyFont="1" applyAlignment="1">
      <alignment horizontal="center" vertical="center"/>
    </xf>
    <xf numFmtId="168" fontId="20" fillId="0" borderId="0" xfId="2" applyNumberFormat="1" applyFont="1" applyAlignment="1">
      <alignment horizontal="center" vertical="center"/>
    </xf>
    <xf numFmtId="9" fontId="21" fillId="0" borderId="0" xfId="9" applyFont="1" applyFill="1" applyBorder="1" applyAlignment="1" applyProtection="1">
      <alignment horizontal="center" vertical="center"/>
    </xf>
    <xf numFmtId="49" fontId="20" fillId="0" borderId="0" xfId="2" applyNumberFormat="1" applyFont="1" applyAlignment="1">
      <alignment horizontal="left" vertical="center"/>
    </xf>
    <xf numFmtId="0" fontId="22" fillId="0" borderId="4" xfId="2" applyFont="1" applyBorder="1" applyAlignment="1">
      <alignment horizontal="center" vertical="center" wrapText="1"/>
    </xf>
    <xf numFmtId="0" fontId="21" fillId="0" borderId="5" xfId="2" applyFont="1" applyBorder="1" applyAlignment="1">
      <alignment vertical="center" wrapText="1"/>
    </xf>
    <xf numFmtId="0" fontId="21" fillId="4" borderId="0" xfId="2" applyFont="1" applyFill="1" applyAlignment="1">
      <alignment vertical="center" wrapText="1"/>
    </xf>
    <xf numFmtId="168" fontId="18" fillId="0" borderId="0" xfId="11" applyNumberFormat="1" applyFont="1" applyFill="1" applyBorder="1" applyAlignment="1" applyProtection="1">
      <alignment horizontal="center" vertical="center"/>
    </xf>
    <xf numFmtId="0" fontId="18" fillId="0" borderId="5" xfId="15" applyFont="1" applyBorder="1" applyAlignment="1">
      <alignment vertical="center"/>
    </xf>
    <xf numFmtId="0" fontId="18" fillId="4" borderId="0" xfId="15" applyFont="1" applyFill="1" applyAlignment="1">
      <alignment vertical="center" wrapText="1"/>
    </xf>
    <xf numFmtId="0" fontId="18" fillId="4" borderId="0" xfId="2" applyFont="1" applyFill="1" applyAlignment="1">
      <alignment vertical="center" wrapText="1"/>
    </xf>
    <xf numFmtId="0" fontId="26" fillId="0" borderId="6" xfId="2" applyFont="1" applyBorder="1" applyAlignment="1">
      <alignment horizontal="center" vertical="center" wrapText="1"/>
    </xf>
    <xf numFmtId="168" fontId="18" fillId="2" borderId="7" xfId="2" applyNumberFormat="1" applyFont="1" applyFill="1" applyBorder="1" applyAlignment="1">
      <alignment horizontal="center" vertical="center"/>
    </xf>
    <xf numFmtId="0" fontId="26" fillId="0" borderId="7" xfId="2" applyFont="1" applyBorder="1" applyAlignment="1">
      <alignment horizontal="center" vertical="center" wrapText="1"/>
    </xf>
    <xf numFmtId="9" fontId="18" fillId="2" borderId="7" xfId="9" applyFont="1" applyFill="1" applyBorder="1" applyAlignment="1" applyProtection="1">
      <alignment horizontal="center" vertical="center"/>
    </xf>
    <xf numFmtId="0" fontId="18" fillId="0" borderId="8" xfId="2" applyFont="1" applyBorder="1" applyAlignment="1">
      <alignment vertical="center" wrapText="1"/>
    </xf>
    <xf numFmtId="0" fontId="26" fillId="4" borderId="0" xfId="2" applyFont="1" applyFill="1" applyAlignment="1">
      <alignment horizontal="center" vertical="center" wrapText="1"/>
    </xf>
    <xf numFmtId="168" fontId="18" fillId="4" borderId="0" xfId="2" applyNumberFormat="1" applyFont="1" applyFill="1" applyAlignment="1">
      <alignment horizontal="center" vertical="center"/>
    </xf>
    <xf numFmtId="9" fontId="18" fillId="4" borderId="0" xfId="9" applyFont="1" applyFill="1" applyBorder="1" applyAlignment="1" applyProtection="1">
      <alignment horizontal="center" vertical="center"/>
    </xf>
    <xf numFmtId="170" fontId="20" fillId="0" borderId="0" xfId="2" applyNumberFormat="1" applyFont="1" applyAlignment="1">
      <alignment horizontal="center" vertical="center"/>
    </xf>
    <xf numFmtId="42" fontId="24" fillId="0" borderId="9" xfId="20" applyFont="1" applyFill="1" applyBorder="1" applyAlignment="1" applyProtection="1">
      <alignment horizontal="center" vertical="center"/>
    </xf>
    <xf numFmtId="49" fontId="20" fillId="0" borderId="0" xfId="2" applyNumberFormat="1" applyFont="1" applyAlignment="1">
      <alignment horizontal="center" vertical="center"/>
    </xf>
    <xf numFmtId="0" fontId="26" fillId="4" borderId="0" xfId="2" applyFont="1" applyFill="1" applyAlignment="1">
      <alignment horizontal="center" vertical="center"/>
    </xf>
    <xf numFmtId="42" fontId="34" fillId="3" borderId="9" xfId="20" applyFont="1" applyFill="1" applyBorder="1" applyAlignment="1" applyProtection="1">
      <alignment horizontal="center" vertical="center"/>
    </xf>
    <xf numFmtId="9" fontId="34" fillId="3" borderId="1" xfId="20" applyNumberFormat="1" applyFont="1" applyFill="1" applyBorder="1" applyAlignment="1" applyProtection="1">
      <alignment horizontal="center" vertical="center"/>
    </xf>
    <xf numFmtId="0" fontId="37" fillId="4" borderId="0" xfId="15" applyFont="1" applyFill="1" applyAlignment="1">
      <alignment vertical="center" wrapText="1"/>
    </xf>
    <xf numFmtId="0" fontId="38" fillId="4" borderId="0" xfId="15" applyFont="1" applyFill="1" applyAlignment="1">
      <alignment vertical="center" wrapText="1"/>
    </xf>
    <xf numFmtId="0" fontId="37" fillId="4" borderId="0" xfId="2" applyFont="1" applyFill="1" applyAlignment="1">
      <alignment vertical="center" wrapText="1"/>
    </xf>
    <xf numFmtId="0" fontId="30" fillId="0" borderId="9" xfId="15" applyFont="1" applyBorder="1" applyAlignment="1">
      <alignment vertical="center"/>
    </xf>
    <xf numFmtId="0" fontId="28" fillId="0" borderId="9" xfId="15" applyFont="1" applyBorder="1" applyAlignment="1">
      <alignment horizontal="center" vertical="center" wrapText="1"/>
    </xf>
    <xf numFmtId="168" fontId="36" fillId="0" borderId="9" xfId="11" applyNumberFormat="1" applyFont="1" applyFill="1" applyBorder="1" applyAlignment="1" applyProtection="1">
      <alignment horizontal="center" vertical="center"/>
    </xf>
    <xf numFmtId="168" fontId="34" fillId="0" borderId="9" xfId="11" applyNumberFormat="1" applyFont="1" applyFill="1" applyBorder="1" applyAlignment="1" applyProtection="1">
      <alignment horizontal="center" vertical="center"/>
    </xf>
    <xf numFmtId="0" fontId="36" fillId="0" borderId="9" xfId="15" applyFont="1" applyBorder="1" applyAlignment="1">
      <alignment horizontal="center" vertical="center" wrapText="1"/>
    </xf>
    <xf numFmtId="0" fontId="18" fillId="0" borderId="9" xfId="2" applyFont="1" applyBorder="1" applyAlignment="1">
      <alignment horizontal="center" vertical="center"/>
    </xf>
    <xf numFmtId="0" fontId="21" fillId="0" borderId="9" xfId="15" applyFont="1" applyBorder="1" applyAlignment="1">
      <alignment horizontal="center" vertical="center" wrapText="1"/>
    </xf>
    <xf numFmtId="0" fontId="34" fillId="0" borderId="9" xfId="2" applyFont="1" applyBorder="1" applyAlignment="1">
      <alignment horizontal="center" vertical="center"/>
    </xf>
    <xf numFmtId="0" fontId="30" fillId="0" borderId="9" xfId="2" applyFont="1" applyBorder="1" applyAlignment="1">
      <alignment horizontal="center" vertical="center"/>
    </xf>
    <xf numFmtId="168" fontId="28" fillId="0" borderId="9" xfId="11" applyNumberFormat="1" applyFont="1" applyFill="1" applyBorder="1" applyAlignment="1" applyProtection="1">
      <alignment horizontal="center" vertical="center"/>
    </xf>
    <xf numFmtId="9" fontId="24" fillId="0" borderId="9" xfId="9" applyFont="1" applyFill="1" applyBorder="1" applyAlignment="1" applyProtection="1">
      <alignment horizontal="center" vertical="center"/>
    </xf>
    <xf numFmtId="9" fontId="24" fillId="0" borderId="9" xfId="9" applyFont="1" applyFill="1" applyBorder="1" applyAlignment="1" applyProtection="1">
      <alignment horizontal="left" vertical="center"/>
    </xf>
    <xf numFmtId="42" fontId="24" fillId="0" borderId="9" xfId="20" applyFont="1" applyFill="1" applyBorder="1" applyAlignment="1" applyProtection="1">
      <alignment horizontal="left" vertical="center"/>
    </xf>
    <xf numFmtId="42" fontId="37" fillId="0" borderId="5" xfId="15" applyNumberFormat="1" applyFont="1" applyBorder="1" applyAlignment="1">
      <alignment vertical="center"/>
    </xf>
    <xf numFmtId="0" fontId="24" fillId="4" borderId="0" xfId="2" applyFont="1" applyFill="1" applyAlignment="1">
      <alignment horizontal="center" vertical="center" wrapText="1"/>
    </xf>
    <xf numFmtId="0" fontId="18" fillId="4" borderId="0" xfId="15" applyFont="1" applyFill="1" applyAlignment="1">
      <alignment horizontal="center" vertical="center"/>
    </xf>
    <xf numFmtId="0" fontId="17" fillId="4" borderId="0" xfId="2" applyFont="1" applyFill="1" applyAlignment="1">
      <alignment horizontal="center" vertical="center"/>
    </xf>
    <xf numFmtId="42" fontId="37" fillId="4" borderId="0" xfId="15" applyNumberFormat="1" applyFont="1" applyFill="1" applyAlignment="1">
      <alignment horizontal="center" vertical="center"/>
    </xf>
    <xf numFmtId="0" fontId="18" fillId="4" borderId="0" xfId="2" applyFont="1" applyFill="1" applyAlignment="1">
      <alignment horizontal="center" vertical="center"/>
    </xf>
    <xf numFmtId="0" fontId="18" fillId="0" borderId="7" xfId="2" applyFont="1" applyBorder="1" applyAlignment="1">
      <alignment vertical="center" wrapText="1"/>
    </xf>
    <xf numFmtId="0" fontId="26" fillId="0" borderId="7" xfId="2" applyFont="1" applyBorder="1" applyAlignment="1">
      <alignment horizontal="center" vertical="center"/>
    </xf>
    <xf numFmtId="9" fontId="37" fillId="4" borderId="0" xfId="9" applyFont="1" applyFill="1" applyAlignment="1">
      <alignment horizontal="center" vertical="center" wrapText="1"/>
    </xf>
    <xf numFmtId="3" fontId="39" fillId="0" borderId="0" xfId="2" applyNumberFormat="1" applyFont="1" applyAlignment="1">
      <alignment vertical="center"/>
    </xf>
    <xf numFmtId="42" fontId="5" fillId="4" borderId="0" xfId="2" applyNumberFormat="1" applyFont="1" applyFill="1" applyAlignment="1">
      <alignment vertical="center"/>
    </xf>
    <xf numFmtId="0" fontId="0" fillId="0" borderId="0" xfId="0" applyAlignment="1">
      <alignment horizontal="center"/>
    </xf>
    <xf numFmtId="42" fontId="37" fillId="4" borderId="0" xfId="9" applyNumberFormat="1" applyFont="1" applyFill="1" applyAlignment="1">
      <alignment horizontal="center" vertical="center"/>
    </xf>
    <xf numFmtId="0" fontId="18" fillId="0" borderId="10" xfId="15" applyFont="1" applyBorder="1" applyAlignment="1">
      <alignment horizontal="left" vertical="center"/>
    </xf>
    <xf numFmtId="0" fontId="18" fillId="0" borderId="10" xfId="15" applyFont="1" applyBorder="1" applyAlignment="1">
      <alignment horizontal="center" vertical="center"/>
    </xf>
    <xf numFmtId="42" fontId="37" fillId="4" borderId="0" xfId="15" applyNumberFormat="1" applyFont="1" applyFill="1" applyAlignment="1">
      <alignment vertical="center" wrapText="1"/>
    </xf>
    <xf numFmtId="0" fontId="4" fillId="0" borderId="5" xfId="2" applyFont="1" applyBorder="1" applyAlignment="1">
      <alignment vertical="center" wrapText="1"/>
    </xf>
    <xf numFmtId="0" fontId="8" fillId="0" borderId="5" xfId="2" applyFont="1" applyBorder="1" applyAlignment="1">
      <alignment vertical="center" wrapText="1"/>
    </xf>
    <xf numFmtId="0" fontId="14" fillId="0" borderId="5" xfId="2" applyFont="1" applyBorder="1" applyAlignment="1">
      <alignment vertical="center" wrapText="1"/>
    </xf>
    <xf numFmtId="0" fontId="5" fillId="0" borderId="5" xfId="2" applyFont="1" applyBorder="1" applyAlignment="1">
      <alignment vertical="center"/>
    </xf>
    <xf numFmtId="0" fontId="38" fillId="4" borderId="0" xfId="2" applyFont="1" applyFill="1" applyAlignment="1">
      <alignment horizontal="center" vertical="center"/>
    </xf>
    <xf numFmtId="0" fontId="38" fillId="0" borderId="5" xfId="2" applyFont="1" applyBorder="1" applyAlignment="1">
      <alignment vertical="center" wrapText="1"/>
    </xf>
    <xf numFmtId="0" fontId="38" fillId="4" borderId="0" xfId="2" applyFont="1" applyFill="1" applyAlignment="1">
      <alignment vertical="center" wrapText="1"/>
    </xf>
    <xf numFmtId="49" fontId="51" fillId="0" borderId="10" xfId="2" applyNumberFormat="1" applyFont="1" applyBorder="1" applyAlignment="1">
      <alignment horizontal="center" vertical="center" wrapText="1"/>
    </xf>
    <xf numFmtId="0" fontId="49" fillId="0" borderId="5" xfId="2" applyFont="1" applyBorder="1" applyAlignment="1">
      <alignment vertical="center" wrapText="1"/>
    </xf>
    <xf numFmtId="0" fontId="49" fillId="4" borderId="0" xfId="2" applyFont="1" applyFill="1" applyAlignment="1">
      <alignment vertical="center" wrapText="1"/>
    </xf>
    <xf numFmtId="49" fontId="54" fillId="0" borderId="11" xfId="2" applyNumberFormat="1" applyFont="1" applyBorder="1" applyAlignment="1">
      <alignment horizontal="center" vertical="center" wrapText="1"/>
    </xf>
    <xf numFmtId="0" fontId="52" fillId="0" borderId="5" xfId="2" applyFont="1" applyBorder="1" applyAlignment="1">
      <alignment vertical="center" wrapText="1"/>
    </xf>
    <xf numFmtId="0" fontId="52" fillId="4" borderId="0" xfId="2" applyFont="1" applyFill="1" applyAlignment="1">
      <alignment vertical="center" wrapText="1"/>
    </xf>
    <xf numFmtId="168" fontId="8" fillId="4" borderId="0" xfId="2" applyNumberFormat="1" applyFont="1" applyFill="1" applyAlignment="1">
      <alignment horizontal="center" vertical="center"/>
    </xf>
    <xf numFmtId="0" fontId="10" fillId="4" borderId="0" xfId="2" applyFont="1" applyFill="1" applyAlignment="1">
      <alignment horizontal="center" vertical="center" wrapText="1"/>
    </xf>
    <xf numFmtId="49" fontId="48" fillId="0" borderId="1" xfId="2" applyNumberFormat="1" applyFont="1" applyBorder="1" applyAlignment="1">
      <alignment horizontal="center" vertical="center" wrapText="1"/>
    </xf>
    <xf numFmtId="168" fontId="21" fillId="0" borderId="10" xfId="11" applyNumberFormat="1" applyFont="1" applyFill="1" applyBorder="1" applyAlignment="1" applyProtection="1">
      <alignment horizontal="center" vertical="center"/>
    </xf>
    <xf numFmtId="168" fontId="18" fillId="0" borderId="10" xfId="11" applyNumberFormat="1" applyFont="1" applyFill="1" applyBorder="1" applyAlignment="1" applyProtection="1">
      <alignment horizontal="center" vertical="center"/>
    </xf>
    <xf numFmtId="0" fontId="48" fillId="0" borderId="1" xfId="2" applyFont="1" applyBorder="1" applyAlignment="1">
      <alignment horizontal="center" vertical="center" wrapText="1"/>
    </xf>
    <xf numFmtId="0" fontId="30" fillId="0" borderId="10" xfId="15" applyFont="1" applyBorder="1" applyAlignment="1">
      <alignment vertical="center"/>
    </xf>
    <xf numFmtId="0" fontId="30" fillId="0" borderId="10" xfId="2" applyFont="1" applyBorder="1" applyAlignment="1">
      <alignment horizontal="center" vertical="center"/>
    </xf>
    <xf numFmtId="168" fontId="28" fillId="0" borderId="10" xfId="11" applyNumberFormat="1" applyFont="1" applyFill="1" applyBorder="1" applyAlignment="1" applyProtection="1">
      <alignment horizontal="center" vertical="center"/>
    </xf>
    <xf numFmtId="168" fontId="30" fillId="0" borderId="10" xfId="11" applyNumberFormat="1" applyFont="1" applyFill="1" applyBorder="1" applyAlignment="1" applyProtection="1">
      <alignment horizontal="center" vertical="center"/>
    </xf>
    <xf numFmtId="0" fontId="28" fillId="0" borderId="10" xfId="15" applyFont="1" applyBorder="1" applyAlignment="1">
      <alignment horizontal="center" vertical="center" wrapText="1"/>
    </xf>
    <xf numFmtId="9" fontId="24" fillId="0" borderId="10" xfId="9" applyFont="1" applyFill="1" applyBorder="1" applyAlignment="1" applyProtection="1">
      <alignment horizontal="center" vertical="center"/>
    </xf>
    <xf numFmtId="42" fontId="24" fillId="0" borderId="10" xfId="20" applyFont="1" applyFill="1" applyBorder="1" applyAlignment="1" applyProtection="1">
      <alignment horizontal="center" vertical="center"/>
    </xf>
    <xf numFmtId="0" fontId="34" fillId="10" borderId="21" xfId="15" applyFont="1" applyFill="1" applyBorder="1" applyAlignment="1">
      <alignment horizontal="center" vertical="center"/>
    </xf>
    <xf numFmtId="42" fontId="36" fillId="3" borderId="21" xfId="20" applyFont="1" applyFill="1" applyBorder="1" applyAlignment="1" applyProtection="1">
      <alignment horizontal="center" vertical="center"/>
    </xf>
    <xf numFmtId="42" fontId="34" fillId="3" borderId="21" xfId="20" applyFont="1" applyFill="1" applyBorder="1" applyAlignment="1" applyProtection="1">
      <alignment horizontal="center" vertical="center"/>
    </xf>
    <xf numFmtId="168" fontId="52" fillId="0" borderId="21" xfId="2" applyNumberFormat="1" applyFont="1" applyBorder="1" applyAlignment="1">
      <alignment horizontal="center" vertical="center" wrapText="1"/>
    </xf>
    <xf numFmtId="0" fontId="52" fillId="0" borderId="21" xfId="2" applyFont="1" applyBorder="1" applyAlignment="1">
      <alignment horizontal="center" vertical="center" wrapText="1"/>
    </xf>
    <xf numFmtId="168" fontId="49" fillId="0" borderId="21" xfId="2" applyNumberFormat="1" applyFont="1" applyBorder="1" applyAlignment="1">
      <alignment horizontal="center" vertical="center" wrapText="1"/>
    </xf>
    <xf numFmtId="0" fontId="49" fillId="0" borderId="21" xfId="2" applyFont="1" applyBorder="1" applyAlignment="1">
      <alignment horizontal="center" vertical="center" wrapText="1"/>
    </xf>
    <xf numFmtId="0" fontId="5" fillId="0" borderId="21" xfId="2" applyFont="1" applyBorder="1" applyAlignment="1">
      <alignment horizontal="center" vertical="center"/>
    </xf>
    <xf numFmtId="168" fontId="8" fillId="0" borderId="21" xfId="11" applyNumberFormat="1" applyFont="1" applyFill="1" applyBorder="1" applyAlignment="1" applyProtection="1">
      <alignment horizontal="center" vertical="center"/>
    </xf>
    <xf numFmtId="0" fontId="8" fillId="0" borderId="21" xfId="2" applyFont="1" applyBorder="1" applyAlignment="1">
      <alignment horizontal="center" vertical="center" wrapText="1"/>
    </xf>
    <xf numFmtId="0" fontId="18" fillId="0" borderId="12" xfId="15" applyFont="1" applyBorder="1" applyAlignment="1">
      <alignment horizontal="left" vertical="center"/>
    </xf>
    <xf numFmtId="0" fontId="34" fillId="10" borderId="27" xfId="15" applyFont="1" applyFill="1" applyBorder="1" applyAlignment="1">
      <alignment horizontal="left" vertical="center"/>
    </xf>
    <xf numFmtId="0" fontId="30" fillId="0" borderId="12" xfId="15" applyFont="1" applyBorder="1" applyAlignment="1">
      <alignment horizontal="left" vertical="center"/>
    </xf>
    <xf numFmtId="0" fontId="30" fillId="0" borderId="19" xfId="15" applyFont="1" applyBorder="1" applyAlignment="1">
      <alignment horizontal="left" vertical="center"/>
    </xf>
    <xf numFmtId="0" fontId="32" fillId="9" borderId="19" xfId="15" applyFont="1" applyFill="1" applyBorder="1" applyAlignment="1">
      <alignment horizontal="left" vertical="center"/>
    </xf>
    <xf numFmtId="0" fontId="47" fillId="0" borderId="15" xfId="2" applyFont="1" applyBorder="1" applyAlignment="1">
      <alignment horizontal="center" vertical="center" wrapText="1"/>
    </xf>
    <xf numFmtId="0" fontId="23" fillId="0" borderId="15" xfId="15" applyFont="1" applyBorder="1" applyAlignment="1">
      <alignment horizontal="center" vertical="center" wrapText="1"/>
    </xf>
    <xf numFmtId="0" fontId="50" fillId="0" borderId="15" xfId="2" applyFont="1" applyBorder="1" applyAlignment="1">
      <alignment horizontal="center" vertical="center" wrapText="1"/>
    </xf>
    <xf numFmtId="0" fontId="10" fillId="0" borderId="15" xfId="2" applyFont="1" applyBorder="1" applyAlignment="1">
      <alignment horizontal="center" vertical="center" wrapText="1"/>
    </xf>
    <xf numFmtId="0" fontId="42" fillId="4" borderId="5" xfId="2" applyFont="1" applyFill="1" applyBorder="1" applyAlignment="1">
      <alignment horizontal="center" vertical="center" wrapText="1"/>
    </xf>
    <xf numFmtId="0" fontId="22" fillId="0" borderId="15" xfId="2" applyFont="1" applyBorder="1" applyAlignment="1">
      <alignment horizontal="center" vertical="center" wrapText="1"/>
    </xf>
    <xf numFmtId="0" fontId="38" fillId="4" borderId="30" xfId="2" applyFont="1" applyFill="1" applyBorder="1" applyAlignment="1">
      <alignment horizontal="center" vertical="center"/>
    </xf>
    <xf numFmtId="0" fontId="24" fillId="4" borderId="30" xfId="15" applyFont="1" applyFill="1" applyBorder="1" applyAlignment="1">
      <alignment horizontal="center" vertical="center" wrapText="1"/>
    </xf>
    <xf numFmtId="0" fontId="24" fillId="4" borderId="30" xfId="15" applyFont="1" applyFill="1" applyBorder="1" applyAlignment="1">
      <alignment horizontal="center" vertical="center"/>
    </xf>
    <xf numFmtId="0" fontId="40" fillId="0" borderId="15" xfId="15" applyFont="1" applyBorder="1" applyAlignment="1">
      <alignment horizontal="center" vertical="center" wrapText="1"/>
    </xf>
    <xf numFmtId="173" fontId="34" fillId="3" borderId="21" xfId="20" applyNumberFormat="1" applyFont="1" applyFill="1" applyBorder="1" applyAlignment="1" applyProtection="1">
      <alignment horizontal="center" vertical="center"/>
    </xf>
    <xf numFmtId="173" fontId="30" fillId="0" borderId="10" xfId="11" applyNumberFormat="1" applyFont="1" applyFill="1" applyBorder="1" applyAlignment="1" applyProtection="1">
      <alignment horizontal="center" vertical="center"/>
    </xf>
    <xf numFmtId="173" fontId="30" fillId="0" borderId="9" xfId="11" applyNumberFormat="1" applyFont="1" applyFill="1" applyBorder="1" applyAlignment="1" applyProtection="1">
      <alignment horizontal="center" vertical="center"/>
    </xf>
    <xf numFmtId="0" fontId="53" fillId="0" borderId="15" xfId="2" applyFont="1" applyBorder="1" applyAlignment="1">
      <alignment horizontal="center" vertical="center" wrapText="1"/>
    </xf>
    <xf numFmtId="0" fontId="41" fillId="0" borderId="15" xfId="2" applyFont="1" applyBorder="1" applyAlignment="1">
      <alignment horizontal="center" vertical="center" wrapText="1"/>
    </xf>
    <xf numFmtId="0" fontId="41" fillId="0" borderId="15" xfId="15" applyFont="1" applyBorder="1" applyAlignment="1">
      <alignment horizontal="center" vertical="center" wrapText="1"/>
    </xf>
    <xf numFmtId="0" fontId="18" fillId="4" borderId="5" xfId="2" applyFont="1" applyFill="1" applyBorder="1" applyAlignment="1">
      <alignment vertical="center" wrapText="1"/>
    </xf>
    <xf numFmtId="49" fontId="7" fillId="0" borderId="0" xfId="2" applyNumberFormat="1" applyFont="1" applyAlignment="1">
      <alignment horizontal="left" vertical="center"/>
    </xf>
    <xf numFmtId="3" fontId="6" fillId="0" borderId="0" xfId="2" applyNumberFormat="1" applyFont="1" applyAlignment="1">
      <alignment vertical="center"/>
    </xf>
    <xf numFmtId="3" fontId="4" fillId="0" borderId="0" xfId="2" applyNumberFormat="1" applyFont="1" applyAlignment="1">
      <alignment horizontal="center" vertical="center" wrapText="1"/>
    </xf>
    <xf numFmtId="0" fontId="7" fillId="0" borderId="0" xfId="2" applyFont="1" applyAlignment="1">
      <alignment vertical="center" wrapText="1"/>
    </xf>
    <xf numFmtId="168" fontId="7" fillId="0" borderId="0" xfId="2" applyNumberFormat="1" applyFont="1" applyAlignment="1">
      <alignment horizontal="left" vertical="center"/>
    </xf>
    <xf numFmtId="168" fontId="5" fillId="0" borderId="0" xfId="2" applyNumberFormat="1" applyFont="1" applyAlignment="1">
      <alignment vertical="center" wrapText="1"/>
    </xf>
    <xf numFmtId="3" fontId="7" fillId="0" borderId="0" xfId="2" applyNumberFormat="1" applyFont="1" applyAlignment="1">
      <alignment horizontal="center" vertical="center" wrapText="1"/>
    </xf>
    <xf numFmtId="3" fontId="15" fillId="0" borderId="0" xfId="2" applyNumberFormat="1" applyFont="1" applyAlignment="1">
      <alignment vertical="top"/>
    </xf>
    <xf numFmtId="0" fontId="4" fillId="0" borderId="0" xfId="2" applyFont="1" applyAlignment="1">
      <alignment horizontal="right" vertical="center" wrapText="1"/>
    </xf>
    <xf numFmtId="168" fontId="4" fillId="0" borderId="0" xfId="2" applyNumberFormat="1" applyFont="1" applyAlignment="1">
      <alignment vertical="center" wrapText="1"/>
    </xf>
    <xf numFmtId="49" fontId="9" fillId="0" borderId="0" xfId="2" applyNumberFormat="1" applyFont="1" applyAlignment="1">
      <alignment horizontal="left" vertical="center"/>
    </xf>
    <xf numFmtId="0" fontId="11" fillId="0" borderId="0" xfId="2" applyFont="1" applyAlignment="1">
      <alignment horizontal="center" vertical="center" wrapText="1"/>
    </xf>
    <xf numFmtId="168" fontId="8" fillId="0" borderId="0" xfId="2" applyNumberFormat="1" applyFont="1" applyAlignment="1">
      <alignment horizontal="center" vertical="center" wrapText="1"/>
    </xf>
    <xf numFmtId="168" fontId="5" fillId="0" borderId="0" xfId="2" applyNumberFormat="1" applyFont="1" applyAlignment="1">
      <alignment horizontal="center" vertical="center" wrapText="1"/>
    </xf>
    <xf numFmtId="0" fontId="26" fillId="0" borderId="33" xfId="2" applyFont="1" applyBorder="1" applyAlignment="1">
      <alignment horizontal="center" vertical="center" wrapText="1"/>
    </xf>
    <xf numFmtId="0" fontId="5" fillId="0" borderId="8" xfId="2" applyFont="1" applyBorder="1" applyAlignment="1">
      <alignment vertical="center"/>
    </xf>
    <xf numFmtId="0" fontId="24" fillId="4" borderId="13" xfId="2" applyFont="1" applyFill="1" applyBorder="1" applyAlignment="1">
      <alignment horizontal="center" vertical="center" wrapText="1"/>
    </xf>
    <xf numFmtId="0" fontId="43" fillId="4" borderId="0" xfId="2" applyFont="1" applyFill="1" applyAlignment="1">
      <alignment horizontal="center" vertical="center"/>
    </xf>
    <xf numFmtId="0" fontId="34" fillId="3" borderId="21" xfId="15" applyFont="1" applyFill="1" applyBorder="1" applyAlignment="1">
      <alignment horizontal="center" vertical="center"/>
    </xf>
    <xf numFmtId="0" fontId="57" fillId="3" borderId="29" xfId="0" applyFont="1" applyFill="1" applyBorder="1" applyAlignment="1">
      <alignment horizontal="center" vertical="center"/>
    </xf>
    <xf numFmtId="172" fontId="37" fillId="3" borderId="29" xfId="22" applyNumberFormat="1" applyFont="1" applyFill="1" applyBorder="1" applyAlignment="1">
      <alignment horizontal="center" vertical="center"/>
    </xf>
    <xf numFmtId="0" fontId="58" fillId="3" borderId="29" xfId="0" applyFont="1" applyFill="1" applyBorder="1"/>
    <xf numFmtId="167" fontId="57" fillId="3" borderId="29" xfId="0" applyNumberFormat="1" applyFont="1" applyFill="1" applyBorder="1" applyAlignment="1">
      <alignment horizontal="center" vertical="center"/>
    </xf>
    <xf numFmtId="0" fontId="38" fillId="4" borderId="5" xfId="2" applyFont="1" applyFill="1" applyBorder="1" applyAlignment="1">
      <alignment horizontal="center" vertical="center"/>
    </xf>
    <xf numFmtId="168" fontId="38" fillId="0" borderId="21" xfId="2" applyNumberFormat="1" applyFont="1" applyBorder="1" applyAlignment="1">
      <alignment horizontal="center" vertical="center" wrapText="1"/>
    </xf>
    <xf numFmtId="0" fontId="38" fillId="0" borderId="21" xfId="2" applyFont="1" applyBorder="1" applyAlignment="1">
      <alignment horizontal="center" vertical="center" wrapText="1"/>
    </xf>
    <xf numFmtId="0" fontId="38" fillId="0" borderId="0" xfId="2" applyFont="1" applyAlignment="1">
      <alignment horizontal="center" vertical="center" wrapText="1"/>
    </xf>
    <xf numFmtId="0" fontId="34" fillId="3" borderId="27" xfId="15" applyFont="1" applyFill="1" applyBorder="1" applyAlignment="1">
      <alignment horizontal="left" vertical="center" indent="2"/>
    </xf>
    <xf numFmtId="0" fontId="21" fillId="0" borderId="10" xfId="15" applyFont="1" applyBorder="1" applyAlignment="1">
      <alignment horizontal="center" vertical="center" wrapText="1"/>
    </xf>
    <xf numFmtId="168" fontId="20" fillId="0" borderId="40" xfId="2" applyNumberFormat="1" applyFont="1" applyBorder="1" applyAlignment="1">
      <alignment horizontal="center" vertical="center"/>
    </xf>
    <xf numFmtId="49" fontId="20" fillId="0" borderId="42" xfId="2" applyNumberFormat="1" applyFont="1" applyBorder="1" applyAlignment="1">
      <alignment horizontal="center" vertical="center" wrapText="1"/>
    </xf>
    <xf numFmtId="0" fontId="48" fillId="0" borderId="43" xfId="2" applyFont="1" applyBorder="1" applyAlignment="1">
      <alignment horizontal="center" vertical="center" wrapText="1"/>
    </xf>
    <xf numFmtId="0" fontId="59" fillId="4" borderId="30" xfId="2" applyFont="1" applyFill="1" applyBorder="1" applyAlignment="1">
      <alignment horizontal="center" vertical="center"/>
    </xf>
    <xf numFmtId="0" fontId="60" fillId="0" borderId="15" xfId="2" applyFont="1" applyBorder="1" applyAlignment="1">
      <alignment horizontal="center" vertical="center" wrapText="1"/>
    </xf>
    <xf numFmtId="49" fontId="61" fillId="0" borderId="1" xfId="2" applyNumberFormat="1" applyFont="1" applyBorder="1" applyAlignment="1">
      <alignment horizontal="center" vertical="center" wrapText="1"/>
    </xf>
    <xf numFmtId="9" fontId="61" fillId="5" borderId="23" xfId="9" applyFont="1" applyFill="1" applyBorder="1" applyAlignment="1" applyProtection="1">
      <alignment horizontal="center" vertical="center"/>
    </xf>
    <xf numFmtId="9" fontId="61" fillId="5" borderId="37" xfId="9" applyFont="1" applyFill="1" applyBorder="1" applyAlignment="1" applyProtection="1">
      <alignment horizontal="center" vertical="center"/>
    </xf>
    <xf numFmtId="168" fontId="61" fillId="0" borderId="41" xfId="2" applyNumberFormat="1" applyFont="1" applyBorder="1" applyAlignment="1">
      <alignment horizontal="center" vertical="center" wrapText="1"/>
    </xf>
    <xf numFmtId="9" fontId="61" fillId="13" borderId="39" xfId="9" applyFont="1" applyFill="1" applyBorder="1" applyAlignment="1">
      <alignment horizontal="center" vertical="center" wrapText="1"/>
    </xf>
    <xf numFmtId="0" fontId="61" fillId="13" borderId="26" xfId="15" applyFont="1" applyFill="1" applyBorder="1" applyAlignment="1">
      <alignment horizontal="center" vertical="center" wrapText="1"/>
    </xf>
    <xf numFmtId="9" fontId="61" fillId="13" borderId="26" xfId="9" applyFont="1" applyFill="1" applyBorder="1" applyAlignment="1">
      <alignment horizontal="center" vertical="center" wrapText="1"/>
    </xf>
    <xf numFmtId="0" fontId="61" fillId="13" borderId="37" xfId="15" applyFont="1" applyFill="1" applyBorder="1" applyAlignment="1">
      <alignment horizontal="center" vertical="center" wrapText="1"/>
    </xf>
    <xf numFmtId="0" fontId="61" fillId="0" borderId="43" xfId="2" applyFont="1" applyBorder="1" applyAlignment="1">
      <alignment horizontal="center" vertical="center" wrapText="1"/>
    </xf>
    <xf numFmtId="9" fontId="61" fillId="13" borderId="39" xfId="9" applyFont="1" applyFill="1" applyBorder="1" applyAlignment="1" applyProtection="1">
      <alignment horizontal="center" vertical="center" wrapText="1"/>
    </xf>
    <xf numFmtId="9" fontId="61" fillId="13" borderId="26" xfId="9" applyFont="1" applyFill="1" applyBorder="1" applyAlignment="1" applyProtection="1">
      <alignment horizontal="center" vertical="center" wrapText="1"/>
    </xf>
    <xf numFmtId="9" fontId="61" fillId="13" borderId="24" xfId="9" applyFont="1" applyFill="1" applyBorder="1" applyAlignment="1" applyProtection="1">
      <alignment horizontal="center" vertical="center" wrapText="1"/>
    </xf>
    <xf numFmtId="0" fontId="61" fillId="0" borderId="1" xfId="2" applyFont="1" applyBorder="1" applyAlignment="1">
      <alignment horizontal="center" vertical="center" wrapText="1"/>
    </xf>
    <xf numFmtId="9" fontId="61" fillId="13" borderId="21" xfId="9" applyFont="1" applyFill="1" applyBorder="1" applyAlignment="1" applyProtection="1">
      <alignment horizontal="center" vertical="center" wrapText="1"/>
    </xf>
    <xf numFmtId="0" fontId="61" fillId="13" borderId="21" xfId="15" applyFont="1" applyFill="1" applyBorder="1" applyAlignment="1">
      <alignment horizontal="center" vertical="center" wrapText="1"/>
    </xf>
    <xf numFmtId="0" fontId="59" fillId="0" borderId="5" xfId="2" applyFont="1" applyBorder="1" applyAlignment="1">
      <alignment vertical="center" wrapText="1"/>
    </xf>
    <xf numFmtId="0" fontId="59" fillId="4" borderId="0" xfId="2" applyFont="1" applyFill="1" applyAlignment="1">
      <alignment horizontal="center" vertical="center"/>
    </xf>
    <xf numFmtId="0" fontId="59" fillId="4" borderId="0" xfId="2" applyFont="1" applyFill="1" applyAlignment="1">
      <alignment vertical="center" wrapText="1"/>
    </xf>
    <xf numFmtId="0" fontId="63" fillId="4" borderId="30" xfId="15" applyFont="1" applyFill="1" applyBorder="1" applyAlignment="1">
      <alignment horizontal="center" vertical="center"/>
    </xf>
    <xf numFmtId="0" fontId="64" fillId="0" borderId="15" xfId="15" applyFont="1" applyBorder="1" applyAlignment="1">
      <alignment horizontal="center" vertical="center" wrapText="1"/>
    </xf>
    <xf numFmtId="0" fontId="66" fillId="0" borderId="35" xfId="2" applyFont="1" applyBorder="1" applyAlignment="1">
      <alignment horizontal="center" vertical="center"/>
    </xf>
    <xf numFmtId="168" fontId="68" fillId="0" borderId="34" xfId="11" applyNumberFormat="1" applyFont="1" applyFill="1" applyBorder="1" applyAlignment="1" applyProtection="1">
      <alignment horizontal="center" vertical="center"/>
    </xf>
    <xf numFmtId="0" fontId="68" fillId="0" borderId="27" xfId="15" applyFont="1" applyBorder="1" applyAlignment="1">
      <alignment horizontal="center" vertical="center" wrapText="1"/>
    </xf>
    <xf numFmtId="42" fontId="66" fillId="3" borderId="21" xfId="20" applyFont="1" applyFill="1" applyBorder="1" applyAlignment="1" applyProtection="1">
      <alignment horizontal="center" vertical="center"/>
    </xf>
    <xf numFmtId="42" fontId="68" fillId="3" borderId="21" xfId="20" applyFont="1" applyFill="1" applyBorder="1" applyAlignment="1" applyProtection="1">
      <alignment horizontal="center" vertical="center"/>
    </xf>
    <xf numFmtId="0" fontId="68" fillId="0" borderId="21" xfId="15" applyFont="1" applyBorder="1" applyAlignment="1">
      <alignment horizontal="center" vertical="center" wrapText="1"/>
    </xf>
    <xf numFmtId="173" fontId="66" fillId="3" borderId="21" xfId="20" applyNumberFormat="1" applyFont="1" applyFill="1" applyBorder="1" applyAlignment="1" applyProtection="1">
      <alignment horizontal="center" vertical="center"/>
    </xf>
    <xf numFmtId="9" fontId="66" fillId="3" borderId="21" xfId="20" applyNumberFormat="1" applyFont="1" applyFill="1" applyBorder="1" applyAlignment="1" applyProtection="1">
      <alignment horizontal="center" vertical="center"/>
    </xf>
    <xf numFmtId="42" fontId="63" fillId="0" borderId="5" xfId="15" applyNumberFormat="1" applyFont="1" applyBorder="1" applyAlignment="1">
      <alignment vertical="center"/>
    </xf>
    <xf numFmtId="42" fontId="63" fillId="4" borderId="0" xfId="9" applyNumberFormat="1" applyFont="1" applyFill="1" applyAlignment="1">
      <alignment horizontal="center" vertical="center"/>
    </xf>
    <xf numFmtId="42" fontId="63" fillId="4" borderId="0" xfId="15" applyNumberFormat="1" applyFont="1" applyFill="1" applyAlignment="1">
      <alignment vertical="center" wrapText="1"/>
    </xf>
    <xf numFmtId="0" fontId="63" fillId="4" borderId="0" xfId="15" applyFont="1" applyFill="1" applyAlignment="1">
      <alignment vertical="center" wrapText="1"/>
    </xf>
    <xf numFmtId="42" fontId="63" fillId="11" borderId="0" xfId="15" applyNumberFormat="1" applyFont="1" applyFill="1" applyAlignment="1">
      <alignment vertical="center" wrapText="1"/>
    </xf>
    <xf numFmtId="0" fontId="66" fillId="0" borderId="16" xfId="2" applyFont="1" applyBorder="1" applyAlignment="1">
      <alignment horizontal="center" vertical="center"/>
    </xf>
    <xf numFmtId="0" fontId="68" fillId="0" borderId="9" xfId="15" applyFont="1" applyBorder="1" applyAlignment="1">
      <alignment horizontal="center" vertical="center" wrapText="1"/>
    </xf>
    <xf numFmtId="42" fontId="66" fillId="3" borderId="9" xfId="20" applyFont="1" applyFill="1" applyBorder="1" applyAlignment="1" applyProtection="1">
      <alignment horizontal="center" vertical="center"/>
    </xf>
    <xf numFmtId="0" fontId="63" fillId="4" borderId="30" xfId="2" applyFont="1" applyFill="1" applyBorder="1" applyAlignment="1">
      <alignment horizontal="center" vertical="center"/>
    </xf>
    <xf numFmtId="0" fontId="63" fillId="4" borderId="0" xfId="2" applyFont="1" applyFill="1" applyAlignment="1">
      <alignment vertical="center" wrapText="1"/>
    </xf>
    <xf numFmtId="0" fontId="68" fillId="0" borderId="17" xfId="15" applyFont="1" applyBorder="1" applyAlignment="1">
      <alignment horizontal="center" vertical="center" wrapText="1"/>
    </xf>
    <xf numFmtId="0" fontId="68" fillId="0" borderId="34" xfId="15" applyFont="1" applyBorder="1" applyAlignment="1">
      <alignment horizontal="center" vertical="center" wrapText="1"/>
    </xf>
    <xf numFmtId="0" fontId="65" fillId="3" borderId="27" xfId="15" applyFont="1" applyFill="1" applyBorder="1" applyAlignment="1">
      <alignment horizontal="left" vertical="center" indent="2"/>
    </xf>
    <xf numFmtId="0" fontId="65" fillId="3" borderId="21" xfId="15" applyFont="1" applyFill="1" applyBorder="1" applyAlignment="1">
      <alignment horizontal="center" vertical="center"/>
    </xf>
    <xf numFmtId="0" fontId="65" fillId="3" borderId="28" xfId="15" applyFont="1" applyFill="1" applyBorder="1" applyAlignment="1">
      <alignment horizontal="left" vertical="center" indent="2"/>
    </xf>
    <xf numFmtId="0" fontId="65" fillId="3" borderId="20" xfId="15" applyFont="1" applyFill="1" applyBorder="1" applyAlignment="1">
      <alignment horizontal="left" vertical="center" indent="2"/>
    </xf>
    <xf numFmtId="0" fontId="65" fillId="3" borderId="9" xfId="15" applyFont="1" applyFill="1" applyBorder="1" applyAlignment="1">
      <alignment horizontal="center" vertical="center"/>
    </xf>
    <xf numFmtId="0" fontId="65" fillId="3" borderId="17" xfId="15" applyFont="1" applyFill="1" applyBorder="1" applyAlignment="1">
      <alignment horizontal="left" vertical="center" indent="2"/>
    </xf>
    <xf numFmtId="42" fontId="67" fillId="3" borderId="21" xfId="20" applyFont="1" applyFill="1" applyBorder="1" applyAlignment="1" applyProtection="1">
      <alignment horizontal="center" vertical="center"/>
    </xf>
    <xf numFmtId="42" fontId="65" fillId="3" borderId="21" xfId="20" applyFont="1" applyFill="1" applyBorder="1" applyAlignment="1" applyProtection="1">
      <alignment horizontal="center" vertical="center"/>
    </xf>
    <xf numFmtId="0" fontId="38" fillId="4" borderId="30" xfId="2" applyFont="1" applyFill="1" applyBorder="1" applyAlignment="1">
      <alignment horizontal="center" vertical="center" wrapText="1"/>
    </xf>
    <xf numFmtId="168" fontId="48" fillId="0" borderId="41" xfId="2" applyNumberFormat="1" applyFont="1" applyBorder="1" applyAlignment="1">
      <alignment horizontal="center" vertical="center" wrapText="1"/>
    </xf>
    <xf numFmtId="0" fontId="38" fillId="4" borderId="30" xfId="15" applyFont="1" applyFill="1" applyBorder="1" applyAlignment="1">
      <alignment horizontal="center" vertical="center" wrapText="1"/>
    </xf>
    <xf numFmtId="0" fontId="47" fillId="0" borderId="15" xfId="15" applyFont="1" applyBorder="1" applyAlignment="1">
      <alignment horizontal="center" vertical="center" wrapText="1"/>
    </xf>
    <xf numFmtId="0" fontId="34" fillId="0" borderId="11" xfId="2" applyFont="1" applyBorder="1" applyAlignment="1">
      <alignment horizontal="center" vertical="center"/>
    </xf>
    <xf numFmtId="0" fontId="36" fillId="0" borderId="11" xfId="15" applyFont="1" applyBorder="1" applyAlignment="1">
      <alignment horizontal="center" vertical="center" wrapText="1"/>
    </xf>
    <xf numFmtId="0" fontId="34" fillId="0" borderId="11" xfId="15" applyFont="1" applyBorder="1" applyAlignment="1">
      <alignment horizontal="center" vertical="center" wrapText="1"/>
    </xf>
    <xf numFmtId="168" fontId="36" fillId="0" borderId="11" xfId="11" applyNumberFormat="1" applyFont="1" applyFill="1" applyBorder="1" applyAlignment="1" applyProtection="1">
      <alignment horizontal="center" vertical="center"/>
    </xf>
    <xf numFmtId="168" fontId="34" fillId="0" borderId="11" xfId="15" applyNumberFormat="1" applyFont="1" applyBorder="1" applyAlignment="1">
      <alignment horizontal="center" vertical="center" wrapText="1"/>
    </xf>
    <xf numFmtId="168" fontId="36" fillId="0" borderId="11" xfId="15" applyNumberFormat="1" applyFont="1" applyBorder="1" applyAlignment="1">
      <alignment horizontal="center" vertical="center" wrapText="1"/>
    </xf>
    <xf numFmtId="9" fontId="36" fillId="0" borderId="11" xfId="9" applyFont="1" applyFill="1" applyBorder="1" applyAlignment="1" applyProtection="1">
      <alignment horizontal="center" vertical="center" wrapText="1"/>
    </xf>
    <xf numFmtId="0" fontId="38" fillId="0" borderId="5" xfId="15" applyFont="1" applyBorder="1" applyAlignment="1">
      <alignment vertical="center" wrapText="1"/>
    </xf>
    <xf numFmtId="0" fontId="38" fillId="4" borderId="30" xfId="15" applyFont="1" applyFill="1" applyBorder="1" applyAlignment="1">
      <alignment horizontal="center" vertical="center"/>
    </xf>
    <xf numFmtId="168" fontId="34" fillId="0" borderId="11" xfId="11" applyNumberFormat="1" applyFont="1" applyFill="1" applyBorder="1" applyAlignment="1" applyProtection="1">
      <alignment horizontal="center" vertical="center"/>
    </xf>
    <xf numFmtId="173" fontId="34" fillId="0" borderId="11" xfId="11" applyNumberFormat="1" applyFont="1" applyFill="1" applyBorder="1" applyAlignment="1" applyProtection="1">
      <alignment horizontal="center" vertical="center"/>
    </xf>
    <xf numFmtId="173" fontId="34" fillId="0" borderId="9" xfId="15" applyNumberFormat="1" applyFont="1" applyBorder="1" applyAlignment="1">
      <alignment horizontal="center" vertical="center" wrapText="1"/>
    </xf>
    <xf numFmtId="9" fontId="34" fillId="0" borderId="11" xfId="9" applyFont="1" applyFill="1" applyBorder="1" applyAlignment="1" applyProtection="1">
      <alignment horizontal="center" vertical="center" wrapText="1"/>
    </xf>
    <xf numFmtId="173" fontId="34" fillId="0" borderId="11" xfId="15" applyNumberFormat="1" applyFont="1" applyBorder="1" applyAlignment="1">
      <alignment horizontal="center" vertical="center" wrapText="1"/>
    </xf>
    <xf numFmtId="42" fontId="36" fillId="0" borderId="11" xfId="15" applyNumberFormat="1" applyFont="1" applyBorder="1" applyAlignment="1">
      <alignment horizontal="center" vertical="center" wrapText="1"/>
    </xf>
    <xf numFmtId="0" fontId="69" fillId="4" borderId="5" xfId="2" applyFont="1" applyFill="1" applyBorder="1" applyAlignment="1">
      <alignment horizontal="center" vertical="center"/>
    </xf>
    <xf numFmtId="3" fontId="19" fillId="0" borderId="0" xfId="2" applyNumberFormat="1" applyFont="1" applyAlignment="1">
      <alignment vertical="center"/>
    </xf>
    <xf numFmtId="0" fontId="20" fillId="0" borderId="0" xfId="2" applyFont="1" applyAlignment="1">
      <alignment vertical="center" wrapText="1"/>
    </xf>
    <xf numFmtId="3" fontId="20" fillId="0" borderId="0" xfId="2" applyNumberFormat="1" applyFont="1" applyAlignment="1">
      <alignment horizontal="center" vertical="center" wrapText="1"/>
    </xf>
    <xf numFmtId="0" fontId="70" fillId="4" borderId="0" xfId="2" applyFont="1" applyFill="1" applyAlignment="1">
      <alignment horizontal="center" vertical="center" wrapText="1"/>
    </xf>
    <xf numFmtId="3" fontId="19" fillId="0" borderId="0" xfId="2" applyNumberFormat="1" applyFont="1" applyAlignment="1">
      <alignment vertical="top"/>
    </xf>
    <xf numFmtId="0" fontId="17" fillId="0" borderId="0" xfId="2" applyFont="1" applyAlignment="1">
      <alignment horizontal="right" vertical="center" wrapText="1"/>
    </xf>
    <xf numFmtId="3" fontId="71" fillId="0" borderId="0" xfId="2" applyNumberFormat="1" applyFont="1" applyAlignment="1">
      <alignment horizontal="left" vertical="center"/>
    </xf>
    <xf numFmtId="0" fontId="43" fillId="4" borderId="5" xfId="2" applyFont="1" applyFill="1" applyBorder="1" applyAlignment="1">
      <alignment horizontal="center" vertical="center"/>
    </xf>
    <xf numFmtId="49" fontId="69" fillId="0" borderId="0" xfId="2" applyNumberFormat="1" applyFont="1" applyAlignment="1">
      <alignment horizontal="left" vertical="center"/>
    </xf>
    <xf numFmtId="0" fontId="25" fillId="4" borderId="0" xfId="2" applyFont="1" applyFill="1" applyAlignment="1">
      <alignment horizontal="center" vertical="center" wrapText="1"/>
    </xf>
    <xf numFmtId="10" fontId="57" fillId="3" borderId="29" xfId="0" applyNumberFormat="1" applyFont="1" applyFill="1" applyBorder="1" applyAlignment="1">
      <alignment horizontal="center" vertical="center"/>
    </xf>
    <xf numFmtId="0" fontId="21" fillId="0" borderId="0" xfId="2" applyFont="1" applyAlignment="1">
      <alignment horizontal="center" vertical="center" wrapText="1"/>
    </xf>
    <xf numFmtId="0" fontId="43" fillId="0" borderId="0" xfId="2" applyFont="1" applyAlignment="1">
      <alignment horizontal="center" vertical="center" wrapText="1"/>
    </xf>
    <xf numFmtId="168" fontId="21" fillId="0" borderId="0" xfId="2" applyNumberFormat="1" applyFont="1" applyAlignment="1">
      <alignment horizontal="center" vertical="center" wrapText="1"/>
    </xf>
    <xf numFmtId="9" fontId="21" fillId="0" borderId="0" xfId="9" applyFont="1" applyFill="1" applyBorder="1" applyAlignment="1" applyProtection="1">
      <alignment horizontal="center" vertical="center" wrapText="1"/>
    </xf>
    <xf numFmtId="0" fontId="18" fillId="0" borderId="0" xfId="2" applyFont="1" applyAlignment="1">
      <alignment horizontal="center" vertical="center"/>
    </xf>
    <xf numFmtId="168" fontId="21" fillId="0" borderId="0" xfId="11" applyNumberFormat="1" applyFont="1" applyFill="1" applyBorder="1" applyAlignment="1" applyProtection="1">
      <alignment horizontal="center" vertical="center"/>
    </xf>
    <xf numFmtId="167" fontId="45" fillId="4" borderId="0" xfId="9" applyNumberFormat="1" applyFont="1" applyFill="1" applyAlignment="1">
      <alignment horizontal="center" vertical="center"/>
    </xf>
    <xf numFmtId="9" fontId="45" fillId="4" borderId="0" xfId="9" applyFont="1" applyFill="1" applyAlignment="1">
      <alignment horizontal="center" vertical="center" wrapText="1"/>
    </xf>
    <xf numFmtId="167" fontId="45" fillId="4" borderId="0" xfId="9" applyNumberFormat="1" applyFont="1" applyFill="1" applyAlignment="1">
      <alignment horizontal="center" vertical="center" wrapText="1"/>
    </xf>
    <xf numFmtId="0" fontId="24" fillId="4" borderId="5" xfId="2" applyFont="1" applyFill="1" applyBorder="1" applyAlignment="1">
      <alignment horizontal="center" vertical="center"/>
    </xf>
    <xf numFmtId="0" fontId="62" fillId="0" borderId="15" xfId="2" applyFont="1" applyBorder="1" applyAlignment="1">
      <alignment horizontal="center" vertical="center" wrapText="1"/>
    </xf>
    <xf numFmtId="0" fontId="18" fillId="0" borderId="5" xfId="2" applyFont="1" applyBorder="1" applyAlignment="1">
      <alignment vertical="center"/>
    </xf>
    <xf numFmtId="0" fontId="18" fillId="4" borderId="0" xfId="2" applyFont="1" applyFill="1" applyAlignment="1">
      <alignment vertical="center"/>
    </xf>
    <xf numFmtId="0" fontId="18" fillId="0" borderId="20" xfId="2" applyFont="1" applyBorder="1" applyAlignment="1">
      <alignment horizontal="left" vertical="center"/>
    </xf>
    <xf numFmtId="0" fontId="24" fillId="0" borderId="10" xfId="2" applyFont="1" applyBorder="1" applyAlignment="1">
      <alignment horizontal="center" vertical="center"/>
    </xf>
    <xf numFmtId="168" fontId="21" fillId="0" borderId="2" xfId="11" applyNumberFormat="1" applyFont="1" applyFill="1" applyBorder="1" applyAlignment="1" applyProtection="1">
      <alignment horizontal="center" vertical="center"/>
    </xf>
    <xf numFmtId="0" fontId="18" fillId="0" borderId="0" xfId="2" applyFont="1" applyAlignment="1">
      <alignment horizontal="left" vertical="center"/>
    </xf>
    <xf numFmtId="0" fontId="24" fillId="0" borderId="0" xfId="2" applyFont="1" applyAlignment="1">
      <alignment horizontal="center" vertical="center"/>
    </xf>
    <xf numFmtId="9" fontId="18" fillId="0" borderId="0" xfId="9" applyFont="1" applyFill="1" applyBorder="1" applyAlignment="1" applyProtection="1">
      <alignment horizontal="center" vertical="center"/>
    </xf>
    <xf numFmtId="0" fontId="18" fillId="0" borderId="0" xfId="2" applyFont="1" applyAlignment="1">
      <alignment vertical="center" wrapText="1"/>
    </xf>
    <xf numFmtId="0" fontId="26" fillId="0" borderId="0" xfId="2" applyFont="1" applyAlignment="1">
      <alignment horizontal="center" vertical="center" wrapText="1"/>
    </xf>
    <xf numFmtId="168" fontId="21" fillId="2" borderId="0" xfId="2" applyNumberFormat="1" applyFont="1" applyFill="1" applyAlignment="1">
      <alignment horizontal="center" vertical="center"/>
    </xf>
    <xf numFmtId="168" fontId="18" fillId="2" borderId="0" xfId="2" applyNumberFormat="1" applyFont="1" applyFill="1" applyAlignment="1">
      <alignment horizontal="center" vertical="center"/>
    </xf>
    <xf numFmtId="0" fontId="22" fillId="0" borderId="0" xfId="2" applyFont="1" applyAlignment="1">
      <alignment horizontal="center" vertical="center" wrapText="1"/>
    </xf>
    <xf numFmtId="42" fontId="22" fillId="0" borderId="0" xfId="2" applyNumberFormat="1" applyFont="1" applyAlignment="1">
      <alignment horizontal="center" vertical="center" wrapText="1"/>
    </xf>
    <xf numFmtId="9" fontId="18" fillId="2" borderId="0" xfId="9" applyFont="1" applyFill="1" applyBorder="1" applyAlignment="1" applyProtection="1">
      <alignment horizontal="center" vertical="center"/>
    </xf>
    <xf numFmtId="0" fontId="18" fillId="0" borderId="5" xfId="2" applyFont="1" applyBorder="1" applyAlignment="1">
      <alignment vertical="center" wrapText="1"/>
    </xf>
    <xf numFmtId="0" fontId="62" fillId="0" borderId="6" xfId="2" applyFont="1" applyBorder="1" applyAlignment="1">
      <alignment horizontal="center" vertical="center" wrapText="1"/>
    </xf>
    <xf numFmtId="0" fontId="72" fillId="0" borderId="7" xfId="2" applyFont="1" applyBorder="1" applyAlignment="1">
      <alignment horizontal="left" vertical="center"/>
    </xf>
    <xf numFmtId="168" fontId="21" fillId="2" borderId="7" xfId="2" applyNumberFormat="1" applyFont="1" applyFill="1" applyBorder="1" applyAlignment="1">
      <alignment horizontal="center" vertical="center"/>
    </xf>
    <xf numFmtId="0" fontId="22" fillId="0" borderId="7" xfId="2" applyFont="1" applyBorder="1" applyAlignment="1">
      <alignment horizontal="center" vertical="center" wrapText="1"/>
    </xf>
    <xf numFmtId="0" fontId="26" fillId="0" borderId="14" xfId="2" applyFont="1" applyBorder="1" applyAlignment="1">
      <alignment horizontal="center" vertical="center" wrapText="1"/>
    </xf>
    <xf numFmtId="9" fontId="18" fillId="2" borderId="14" xfId="9" applyFont="1" applyFill="1" applyBorder="1" applyAlignment="1" applyProtection="1">
      <alignment horizontal="center" vertical="center"/>
    </xf>
    <xf numFmtId="168" fontId="18" fillId="2" borderId="14" xfId="2" applyNumberFormat="1" applyFont="1" applyFill="1" applyBorder="1" applyAlignment="1">
      <alignment horizontal="center" vertical="center"/>
    </xf>
    <xf numFmtId="0" fontId="26" fillId="4" borderId="3" xfId="2" applyFont="1" applyFill="1" applyBorder="1" applyAlignment="1">
      <alignment horizontal="center" vertical="center" wrapText="1"/>
    </xf>
    <xf numFmtId="0" fontId="72" fillId="4" borderId="0" xfId="2" applyFont="1" applyFill="1" applyAlignment="1">
      <alignment horizontal="left" vertical="center"/>
    </xf>
    <xf numFmtId="168" fontId="21" fillId="4" borderId="0" xfId="2" applyNumberFormat="1" applyFont="1" applyFill="1" applyAlignment="1">
      <alignment horizontal="center" vertical="center"/>
    </xf>
    <xf numFmtId="0" fontId="22" fillId="4" borderId="0" xfId="2" applyFont="1" applyFill="1" applyAlignment="1">
      <alignment horizontal="center" vertical="center" wrapText="1"/>
    </xf>
    <xf numFmtId="0" fontId="45" fillId="4" borderId="0" xfId="2" applyFont="1" applyFill="1" applyAlignment="1">
      <alignment horizontal="center" vertical="center" wrapText="1"/>
    </xf>
    <xf numFmtId="0" fontId="59" fillId="0" borderId="21" xfId="2" applyFont="1" applyBorder="1" applyAlignment="1">
      <alignment horizontal="center" vertical="center" wrapText="1"/>
    </xf>
    <xf numFmtId="0" fontId="59" fillId="0" borderId="1" xfId="2" applyFont="1" applyBorder="1" applyAlignment="1">
      <alignment horizontal="center" vertical="center" wrapText="1"/>
    </xf>
    <xf numFmtId="0" fontId="66" fillId="4" borderId="5" xfId="2" applyFont="1" applyFill="1" applyBorder="1" applyAlignment="1">
      <alignment horizontal="center" vertical="center"/>
    </xf>
    <xf numFmtId="0" fontId="73" fillId="0" borderId="15" xfId="2" applyFont="1" applyBorder="1" applyAlignment="1">
      <alignment horizontal="center" vertical="center" wrapText="1"/>
    </xf>
    <xf numFmtId="0" fontId="66" fillId="3" borderId="27" xfId="15" applyFont="1" applyFill="1" applyBorder="1" applyAlignment="1">
      <alignment horizontal="left" vertical="center" indent="2"/>
    </xf>
    <xf numFmtId="0" fontId="66" fillId="3" borderId="21" xfId="15" applyFont="1" applyFill="1" applyBorder="1" applyAlignment="1">
      <alignment horizontal="center" vertical="center"/>
    </xf>
    <xf numFmtId="0" fontId="66" fillId="0" borderId="21" xfId="2" applyFont="1" applyBorder="1" applyAlignment="1">
      <alignment horizontal="center" vertical="center"/>
    </xf>
    <xf numFmtId="168" fontId="68" fillId="0" borderId="21" xfId="11" applyNumberFormat="1" applyFont="1" applyFill="1" applyBorder="1" applyAlignment="1" applyProtection="1">
      <alignment horizontal="center" vertical="center"/>
    </xf>
    <xf numFmtId="0" fontId="68" fillId="0" borderId="21" xfId="2" applyFont="1" applyBorder="1" applyAlignment="1">
      <alignment horizontal="center" vertical="center" wrapText="1"/>
    </xf>
    <xf numFmtId="0" fontId="68" fillId="0" borderId="1" xfId="2" applyFont="1" applyBorder="1" applyAlignment="1">
      <alignment horizontal="center" vertical="center" wrapText="1"/>
    </xf>
    <xf numFmtId="9" fontId="66" fillId="3" borderId="1" xfId="20" applyNumberFormat="1" applyFont="1" applyFill="1" applyBorder="1" applyAlignment="1" applyProtection="1">
      <alignment horizontal="center" vertical="center"/>
    </xf>
    <xf numFmtId="0" fontId="66" fillId="0" borderId="5" xfId="2" applyFont="1" applyBorder="1" applyAlignment="1">
      <alignment vertical="center"/>
    </xf>
    <xf numFmtId="0" fontId="66" fillId="4" borderId="0" xfId="2" applyFont="1" applyFill="1" applyAlignment="1">
      <alignment vertical="center"/>
    </xf>
    <xf numFmtId="0" fontId="66" fillId="4" borderId="0" xfId="2" applyFont="1" applyFill="1" applyAlignment="1">
      <alignment vertical="center" wrapText="1"/>
    </xf>
    <xf numFmtId="0" fontId="30" fillId="4" borderId="5" xfId="2" applyFont="1" applyFill="1" applyBorder="1" applyAlignment="1">
      <alignment horizontal="center" vertical="center"/>
    </xf>
    <xf numFmtId="0" fontId="74" fillId="0" borderId="15" xfId="2" applyFont="1" applyBorder="1" applyAlignment="1">
      <alignment horizontal="center" vertical="center" wrapText="1"/>
    </xf>
    <xf numFmtId="0" fontId="29" fillId="0" borderId="21" xfId="2" applyFont="1" applyBorder="1" applyAlignment="1">
      <alignment horizontal="center" vertical="center"/>
    </xf>
    <xf numFmtId="168" fontId="27" fillId="0" borderId="21" xfId="11" applyNumberFormat="1" applyFont="1" applyFill="1" applyBorder="1" applyAlignment="1" applyProtection="1">
      <alignment horizontal="center" vertical="center"/>
    </xf>
    <xf numFmtId="0" fontId="27" fillId="0" borderId="21" xfId="2" applyFont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0" fontId="29" fillId="0" borderId="5" xfId="2" applyFont="1" applyBorder="1" applyAlignment="1">
      <alignment vertical="center"/>
    </xf>
    <xf numFmtId="0" fontId="29" fillId="4" borderId="0" xfId="2" applyFont="1" applyFill="1" applyAlignment="1">
      <alignment vertical="center"/>
    </xf>
    <xf numFmtId="167" fontId="31" fillId="4" borderId="0" xfId="9" applyNumberFormat="1" applyFont="1" applyFill="1" applyAlignment="1">
      <alignment horizontal="center" vertical="center"/>
    </xf>
    <xf numFmtId="167" fontId="31" fillId="4" borderId="0" xfId="9" applyNumberFormat="1" applyFont="1" applyFill="1" applyAlignment="1">
      <alignment horizontal="center" vertical="center" wrapText="1"/>
    </xf>
    <xf numFmtId="0" fontId="29" fillId="4" borderId="0" xfId="2" applyFont="1" applyFill="1" applyAlignment="1">
      <alignment vertical="center" wrapText="1"/>
    </xf>
    <xf numFmtId="168" fontId="27" fillId="0" borderId="21" xfId="2" applyNumberFormat="1" applyFont="1" applyBorder="1" applyAlignment="1">
      <alignment horizontal="center" vertical="center" wrapText="1"/>
    </xf>
    <xf numFmtId="168" fontId="27" fillId="0" borderId="1" xfId="2" applyNumberFormat="1" applyFont="1" applyBorder="1" applyAlignment="1">
      <alignment horizontal="center" vertical="center" wrapText="1"/>
    </xf>
    <xf numFmtId="42" fontId="29" fillId="4" borderId="0" xfId="9" applyNumberFormat="1" applyFont="1" applyFill="1" applyAlignment="1">
      <alignment vertical="center" wrapText="1"/>
    </xf>
    <xf numFmtId="42" fontId="29" fillId="4" borderId="0" xfId="2" applyNumberFormat="1" applyFont="1" applyFill="1" applyAlignment="1">
      <alignment vertical="center" wrapText="1"/>
    </xf>
    <xf numFmtId="42" fontId="29" fillId="4" borderId="0" xfId="2" applyNumberFormat="1" applyFont="1" applyFill="1" applyAlignment="1">
      <alignment vertical="center"/>
    </xf>
    <xf numFmtId="0" fontId="59" fillId="4" borderId="5" xfId="2" applyFont="1" applyFill="1" applyBorder="1" applyAlignment="1">
      <alignment horizontal="center" vertical="center"/>
    </xf>
    <xf numFmtId="49" fontId="75" fillId="0" borderId="10" xfId="2" applyNumberFormat="1" applyFont="1" applyBorder="1" applyAlignment="1">
      <alignment horizontal="center" vertical="center" wrapText="1"/>
    </xf>
    <xf numFmtId="9" fontId="61" fillId="5" borderId="27" xfId="9" applyFont="1" applyFill="1" applyBorder="1" applyAlignment="1" applyProtection="1">
      <alignment horizontal="center" vertical="center" wrapText="1"/>
    </xf>
    <xf numFmtId="168" fontId="59" fillId="0" borderId="21" xfId="2" applyNumberFormat="1" applyFont="1" applyBorder="1" applyAlignment="1">
      <alignment horizontal="center" vertical="center" wrapText="1"/>
    </xf>
    <xf numFmtId="0" fontId="59" fillId="0" borderId="0" xfId="2" applyFont="1" applyAlignment="1">
      <alignment horizontal="center" vertical="center" wrapText="1"/>
    </xf>
    <xf numFmtId="49" fontId="57" fillId="0" borderId="11" xfId="2" applyNumberFormat="1" applyFont="1" applyBorder="1" applyAlignment="1">
      <alignment horizontal="center" vertical="center" wrapText="1"/>
    </xf>
    <xf numFmtId="0" fontId="37" fillId="0" borderId="0" xfId="2" applyFont="1" applyAlignment="1">
      <alignment horizontal="center" vertical="center"/>
    </xf>
    <xf numFmtId="168" fontId="38" fillId="0" borderId="0" xfId="11" applyNumberFormat="1" applyFont="1" applyFill="1" applyBorder="1" applyAlignment="1" applyProtection="1">
      <alignment horizontal="center" vertical="center"/>
    </xf>
    <xf numFmtId="168" fontId="37" fillId="0" borderId="0" xfId="2" applyNumberFormat="1" applyFont="1" applyAlignment="1">
      <alignment horizontal="center" vertical="center" wrapText="1"/>
    </xf>
    <xf numFmtId="167" fontId="37" fillId="0" borderId="0" xfId="9" applyNumberFormat="1" applyFont="1" applyAlignment="1">
      <alignment horizontal="center" vertical="center" wrapText="1"/>
    </xf>
    <xf numFmtId="168" fontId="38" fillId="0" borderId="0" xfId="2" applyNumberFormat="1" applyFont="1" applyAlignment="1">
      <alignment horizontal="center" vertical="center" wrapText="1"/>
    </xf>
    <xf numFmtId="9" fontId="38" fillId="0" borderId="0" xfId="9" applyFont="1" applyFill="1" applyBorder="1" applyAlignment="1" applyProtection="1">
      <alignment horizontal="center" vertical="center" wrapText="1"/>
    </xf>
    <xf numFmtId="167" fontId="37" fillId="4" borderId="0" xfId="9" applyNumberFormat="1" applyFont="1" applyFill="1" applyAlignment="1">
      <alignment horizontal="center" vertical="center"/>
    </xf>
    <xf numFmtId="167" fontId="37" fillId="4" borderId="0" xfId="9" applyNumberFormat="1" applyFont="1" applyFill="1" applyAlignment="1">
      <alignment horizontal="center" vertical="center" wrapText="1"/>
    </xf>
    <xf numFmtId="0" fontId="40" fillId="0" borderId="15" xfId="2" applyFont="1" applyBorder="1" applyAlignment="1">
      <alignment horizontal="center" vertical="center" wrapText="1"/>
    </xf>
    <xf numFmtId="168" fontId="38" fillId="0" borderId="18" xfId="11" applyNumberFormat="1" applyFont="1" applyFill="1" applyBorder="1" applyAlignment="1" applyProtection="1">
      <alignment horizontal="center" vertical="center"/>
    </xf>
    <xf numFmtId="0" fontId="37" fillId="4" borderId="0" xfId="2" applyFont="1" applyFill="1" applyAlignment="1">
      <alignment vertical="center"/>
    </xf>
    <xf numFmtId="42" fontId="38" fillId="0" borderId="0" xfId="2" applyNumberFormat="1" applyFont="1" applyAlignment="1">
      <alignment horizontal="center" vertical="center" wrapText="1"/>
    </xf>
    <xf numFmtId="0" fontId="61" fillId="13" borderId="21" xfId="0" applyFont="1" applyFill="1" applyBorder="1" applyAlignment="1">
      <alignment horizontal="center" vertical="center" wrapText="1"/>
    </xf>
    <xf numFmtId="167" fontId="66" fillId="4" borderId="21" xfId="9" applyNumberFormat="1" applyFont="1" applyFill="1" applyBorder="1" applyAlignment="1">
      <alignment horizontal="center" vertical="center"/>
    </xf>
    <xf numFmtId="167" fontId="66" fillId="4" borderId="21" xfId="9" applyNumberFormat="1" applyFont="1" applyFill="1" applyBorder="1" applyAlignment="1">
      <alignment horizontal="center" vertical="center" wrapText="1"/>
    </xf>
    <xf numFmtId="167" fontId="31" fillId="4" borderId="21" xfId="9" applyNumberFormat="1" applyFont="1" applyFill="1" applyBorder="1" applyAlignment="1">
      <alignment horizontal="center" vertical="center"/>
    </xf>
    <xf numFmtId="167" fontId="31" fillId="4" borderId="21" xfId="9" applyNumberFormat="1" applyFont="1" applyFill="1" applyBorder="1" applyAlignment="1">
      <alignment horizontal="center" vertical="center" wrapText="1"/>
    </xf>
    <xf numFmtId="0" fontId="38" fillId="0" borderId="35" xfId="2" applyFont="1" applyBorder="1" applyAlignment="1">
      <alignment horizontal="center" vertical="center" wrapText="1"/>
    </xf>
    <xf numFmtId="0" fontId="59" fillId="0" borderId="35" xfId="2" applyFont="1" applyBorder="1" applyAlignment="1">
      <alignment horizontal="center" vertical="center" wrapText="1"/>
    </xf>
    <xf numFmtId="0" fontId="38" fillId="0" borderId="34" xfId="2" applyFont="1" applyBorder="1" applyAlignment="1">
      <alignment horizontal="center" vertical="center" wrapText="1"/>
    </xf>
    <xf numFmtId="0" fontId="59" fillId="0" borderId="34" xfId="2" applyFont="1" applyBorder="1" applyAlignment="1">
      <alignment horizontal="center" vertical="center" wrapText="1"/>
    </xf>
    <xf numFmtId="0" fontId="38" fillId="0" borderId="1" xfId="2" applyFont="1" applyBorder="1" applyAlignment="1">
      <alignment horizontal="center" vertical="center" wrapText="1"/>
    </xf>
    <xf numFmtId="9" fontId="21" fillId="0" borderId="10" xfId="9" applyFont="1" applyFill="1" applyBorder="1" applyAlignment="1" applyProtection="1">
      <alignment horizontal="center" vertical="center"/>
    </xf>
    <xf numFmtId="9" fontId="61" fillId="13" borderId="35" xfId="9" applyFont="1" applyFill="1" applyBorder="1" applyAlignment="1" applyProtection="1">
      <alignment horizontal="center" vertical="center" wrapText="1"/>
    </xf>
    <xf numFmtId="9" fontId="61" fillId="13" borderId="27" xfId="9" applyFont="1" applyFill="1" applyBorder="1" applyAlignment="1" applyProtection="1">
      <alignment horizontal="center" vertical="center" wrapText="1"/>
    </xf>
    <xf numFmtId="9" fontId="61" fillId="5" borderId="35" xfId="9" applyFont="1" applyFill="1" applyBorder="1" applyAlignment="1" applyProtection="1">
      <alignment horizontal="center" vertical="center" wrapText="1"/>
    </xf>
    <xf numFmtId="168" fontId="48" fillId="5" borderId="21" xfId="2" applyNumberFormat="1" applyFont="1" applyFill="1" applyBorder="1" applyAlignment="1">
      <alignment horizontal="center" vertical="center" wrapText="1"/>
    </xf>
    <xf numFmtId="171" fontId="48" fillId="5" borderId="9" xfId="9" applyNumberFormat="1" applyFont="1" applyFill="1" applyBorder="1" applyAlignment="1" applyProtection="1">
      <alignment horizontal="center" vertical="center" wrapText="1"/>
    </xf>
    <xf numFmtId="0" fontId="48" fillId="5" borderId="49" xfId="0" applyFont="1" applyFill="1" applyBorder="1" applyAlignment="1">
      <alignment horizontal="center" vertical="center" wrapText="1"/>
    </xf>
    <xf numFmtId="3" fontId="19" fillId="0" borderId="0" xfId="2" applyNumberFormat="1" applyFont="1" applyAlignment="1">
      <alignment horizontal="left" vertical="center"/>
    </xf>
    <xf numFmtId="169" fontId="35" fillId="0" borderId="0" xfId="2" applyNumberFormat="1" applyFont="1" applyAlignment="1">
      <alignment horizontal="left" vertical="center"/>
    </xf>
    <xf numFmtId="9" fontId="48" fillId="5" borderId="21" xfId="9" applyFont="1" applyFill="1" applyBorder="1" applyAlignment="1" applyProtection="1">
      <alignment horizontal="center" vertical="center" wrapText="1"/>
    </xf>
    <xf numFmtId="171" fontId="48" fillId="5" borderId="17" xfId="9" applyNumberFormat="1" applyFont="1" applyFill="1" applyBorder="1" applyAlignment="1" applyProtection="1">
      <alignment horizontal="center" vertical="center"/>
    </xf>
    <xf numFmtId="9" fontId="48" fillId="5" borderId="27" xfId="9" applyFont="1" applyFill="1" applyBorder="1" applyAlignment="1" applyProtection="1">
      <alignment horizontal="center" vertical="center"/>
    </xf>
    <xf numFmtId="9" fontId="48" fillId="13" borderId="27" xfId="9" applyFont="1" applyFill="1" applyBorder="1" applyAlignment="1" applyProtection="1">
      <alignment horizontal="center" vertical="center"/>
    </xf>
    <xf numFmtId="9" fontId="48" fillId="13" borderId="35" xfId="9" applyFont="1" applyFill="1" applyBorder="1" applyAlignment="1" applyProtection="1">
      <alignment horizontal="center" vertical="center"/>
    </xf>
    <xf numFmtId="0" fontId="48" fillId="13" borderId="48" xfId="15" applyFont="1" applyFill="1" applyBorder="1" applyAlignment="1">
      <alignment horizontal="left" vertical="center" indent="1"/>
    </xf>
    <xf numFmtId="49" fontId="35" fillId="0" borderId="0" xfId="2" applyNumberFormat="1" applyFont="1" applyAlignment="1">
      <alignment horizontal="left" vertical="center"/>
    </xf>
    <xf numFmtId="171" fontId="48" fillId="5" borderId="18" xfId="9" applyNumberFormat="1" applyFont="1" applyFill="1" applyBorder="1" applyAlignment="1" applyProtection="1">
      <alignment horizontal="center" vertical="center"/>
    </xf>
    <xf numFmtId="171" fontId="48" fillId="5" borderId="2" xfId="9" applyNumberFormat="1" applyFont="1" applyFill="1" applyBorder="1" applyAlignment="1" applyProtection="1">
      <alignment horizontal="center" vertical="center"/>
    </xf>
    <xf numFmtId="171" fontId="48" fillId="5" borderId="44" xfId="15" applyNumberFormat="1" applyFont="1" applyFill="1" applyBorder="1" applyAlignment="1">
      <alignment horizontal="center" vertical="center" wrapText="1"/>
    </xf>
    <xf numFmtId="171" fontId="48" fillId="5" borderId="45" xfId="15" applyNumberFormat="1" applyFont="1" applyFill="1" applyBorder="1" applyAlignment="1">
      <alignment horizontal="center" vertical="center"/>
    </xf>
    <xf numFmtId="171" fontId="48" fillId="5" borderId="19" xfId="9" applyNumberFormat="1" applyFont="1" applyFill="1" applyBorder="1" applyAlignment="1" applyProtection="1">
      <alignment horizontal="center" vertical="center" wrapText="1"/>
    </xf>
    <xf numFmtId="171" fontId="48" fillId="5" borderId="20" xfId="9" applyNumberFormat="1" applyFont="1" applyFill="1" applyBorder="1" applyAlignment="1" applyProtection="1">
      <alignment horizontal="center" vertical="center"/>
    </xf>
    <xf numFmtId="9" fontId="48" fillId="13" borderId="46" xfId="9" applyFont="1" applyFill="1" applyBorder="1" applyAlignment="1" applyProtection="1">
      <alignment horizontal="center" vertical="center"/>
    </xf>
    <xf numFmtId="9" fontId="48" fillId="13" borderId="47" xfId="9" applyFont="1" applyFill="1" applyBorder="1" applyAlignment="1" applyProtection="1">
      <alignment horizontal="center" vertical="center"/>
    </xf>
    <xf numFmtId="168" fontId="48" fillId="13" borderId="35" xfId="2" applyNumberFormat="1" applyFont="1" applyFill="1" applyBorder="1" applyAlignment="1">
      <alignment horizontal="center" vertical="center"/>
    </xf>
    <xf numFmtId="168" fontId="48" fillId="13" borderId="34" xfId="2" applyNumberFormat="1" applyFont="1" applyFill="1" applyBorder="1" applyAlignment="1">
      <alignment horizontal="center" vertical="center"/>
    </xf>
    <xf numFmtId="168" fontId="48" fillId="13" borderId="27" xfId="2" applyNumberFormat="1" applyFont="1" applyFill="1" applyBorder="1" applyAlignment="1">
      <alignment horizontal="center" vertical="center"/>
    </xf>
    <xf numFmtId="9" fontId="48" fillId="13" borderId="38" xfId="9" applyFont="1" applyFill="1" applyBorder="1" applyAlignment="1">
      <alignment horizontal="center" vertical="center"/>
    </xf>
    <xf numFmtId="9" fontId="48" fillId="13" borderId="25" xfId="9" applyFont="1" applyFill="1" applyBorder="1" applyAlignment="1">
      <alignment horizontal="center" vertical="center"/>
    </xf>
    <xf numFmtId="9" fontId="48" fillId="13" borderId="36" xfId="9" applyFont="1" applyFill="1" applyBorder="1" applyAlignment="1">
      <alignment horizontal="center" vertical="center"/>
    </xf>
    <xf numFmtId="9" fontId="48" fillId="5" borderId="22" xfId="9" applyFont="1" applyFill="1" applyBorder="1" applyAlignment="1" applyProtection="1">
      <alignment horizontal="center" vertical="center"/>
    </xf>
    <xf numFmtId="9" fontId="48" fillId="5" borderId="36" xfId="9" applyFont="1" applyFill="1" applyBorder="1" applyAlignment="1" applyProtection="1">
      <alignment horizontal="center" vertical="center"/>
    </xf>
    <xf numFmtId="0" fontId="48" fillId="13" borderId="18" xfId="15" applyFont="1" applyFill="1" applyBorder="1" applyAlignment="1">
      <alignment horizontal="left" vertical="center" indent="1"/>
    </xf>
    <xf numFmtId="0" fontId="48" fillId="13" borderId="19" xfId="15" applyFont="1" applyFill="1" applyBorder="1" applyAlignment="1">
      <alignment horizontal="left" vertical="center" indent="1"/>
    </xf>
    <xf numFmtId="9" fontId="55" fillId="6" borderId="31" xfId="9" applyFont="1" applyFill="1" applyBorder="1" applyAlignment="1" applyProtection="1">
      <alignment horizontal="center" vertical="center" wrapText="1"/>
    </xf>
    <xf numFmtId="9" fontId="55" fillId="6" borderId="32" xfId="9" applyFont="1" applyFill="1" applyBorder="1" applyAlignment="1" applyProtection="1">
      <alignment horizontal="center" vertical="center" wrapText="1"/>
    </xf>
    <xf numFmtId="3" fontId="39" fillId="0" borderId="0" xfId="2" applyNumberFormat="1" applyFont="1" applyAlignment="1">
      <alignment horizontal="left" vertical="center"/>
    </xf>
    <xf numFmtId="171" fontId="33" fillId="9" borderId="17" xfId="9" applyNumberFormat="1" applyFont="1" applyFill="1" applyBorder="1" applyAlignment="1" applyProtection="1">
      <alignment horizontal="center" vertical="center"/>
    </xf>
    <xf numFmtId="171" fontId="33" fillId="9" borderId="9" xfId="9" applyNumberFormat="1" applyFont="1" applyFill="1" applyBorder="1" applyAlignment="1" applyProtection="1">
      <alignment horizontal="center" vertical="center" wrapText="1"/>
    </xf>
    <xf numFmtId="171" fontId="33" fillId="9" borderId="9" xfId="9" applyNumberFormat="1" applyFont="1" applyFill="1" applyBorder="1" applyAlignment="1" applyProtection="1">
      <alignment horizontal="center" vertical="center"/>
    </xf>
    <xf numFmtId="168" fontId="7" fillId="12" borderId="29" xfId="2" applyNumberFormat="1" applyFont="1" applyFill="1" applyBorder="1" applyAlignment="1">
      <alignment horizontal="center" vertical="center"/>
    </xf>
    <xf numFmtId="9" fontId="46" fillId="8" borderId="31" xfId="9" applyFont="1" applyFill="1" applyBorder="1" applyAlignment="1" applyProtection="1">
      <alignment horizontal="center" vertical="center" wrapText="1"/>
    </xf>
    <xf numFmtId="9" fontId="46" fillId="8" borderId="32" xfId="9" applyFont="1" applyFill="1" applyBorder="1" applyAlignment="1" applyProtection="1">
      <alignment horizontal="center" vertical="center" wrapText="1"/>
    </xf>
    <xf numFmtId="9" fontId="55" fillId="7" borderId="31" xfId="9" applyFont="1" applyFill="1" applyBorder="1" applyAlignment="1" applyProtection="1">
      <alignment horizontal="center" vertical="center" wrapText="1"/>
    </xf>
    <xf numFmtId="9" fontId="55" fillId="7" borderId="32" xfId="9" applyFont="1" applyFill="1" applyBorder="1" applyAlignment="1" applyProtection="1">
      <alignment horizontal="center" vertical="center" wrapText="1"/>
    </xf>
  </cellXfs>
  <cellStyles count="24">
    <cellStyle name="%" xfId="1" xr:uid="{00000000-0005-0000-0000-000000000000}"/>
    <cellStyle name="% 2" xfId="14" xr:uid="{00000000-0005-0000-0000-000001000000}"/>
    <cellStyle name="AutoFormat-Optionen" xfId="2" xr:uid="{00000000-0005-0000-0000-000002000000}"/>
    <cellStyle name="AutoFormat-Optionen 2" xfId="3" xr:uid="{00000000-0005-0000-0000-000003000000}"/>
    <cellStyle name="AutoFormat-Optionen 2 2" xfId="15" xr:uid="{00000000-0005-0000-0000-000004000000}"/>
    <cellStyle name="AutoFormat-Optionen 3" xfId="12" xr:uid="{00000000-0005-0000-0000-000005000000}"/>
    <cellStyle name="Millares" xfId="22" builtinId="3"/>
    <cellStyle name="Millares [0] 2" xfId="4" xr:uid="{00000000-0005-0000-0000-000006000000}"/>
    <cellStyle name="Millares [0] 2 2" xfId="16" xr:uid="{00000000-0005-0000-0000-000007000000}"/>
    <cellStyle name="Millares 2" xfId="5" xr:uid="{00000000-0005-0000-0000-000008000000}"/>
    <cellStyle name="Millares 2 2" xfId="18" xr:uid="{00000000-0005-0000-0000-000009000000}"/>
    <cellStyle name="Millares 3" xfId="6" xr:uid="{00000000-0005-0000-0000-00000A000000}"/>
    <cellStyle name="Millares 4" xfId="13" xr:uid="{00000000-0005-0000-0000-00000B000000}"/>
    <cellStyle name="Millares 5" xfId="19" xr:uid="{00000000-0005-0000-0000-00000C000000}"/>
    <cellStyle name="Millares 6" xfId="23" xr:uid="{9C7122CE-4824-4748-9DB3-B03CBD7784A5}"/>
    <cellStyle name="Moneda [0]" xfId="20" builtinId="7"/>
    <cellStyle name="Moneda [0] 2" xfId="21" xr:uid="{E876C123-EE6C-442D-A9A9-8A1987C41589}"/>
    <cellStyle name="Normal" xfId="0" builtinId="0"/>
    <cellStyle name="Normal 2" xfId="7" xr:uid="{00000000-0005-0000-0000-00000F000000}"/>
    <cellStyle name="Normal 2 2" xfId="17" xr:uid="{00000000-0005-0000-0000-000010000000}"/>
    <cellStyle name="Normal 3" xfId="8" xr:uid="{00000000-0005-0000-0000-000011000000}"/>
    <cellStyle name="Porcentaje" xfId="9" builtinId="5"/>
    <cellStyle name="Porcentaje 2" xfId="10" xr:uid="{00000000-0005-0000-0000-000013000000}"/>
    <cellStyle name="Porcentual 2" xfId="11" xr:uid="{00000000-0005-0000-0000-000014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0" tint="-4.9989318521683403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9BB6F3"/>
      <color rgb="FF002AA2"/>
      <color rgb="FF0070C0"/>
      <color rgb="FFE8EEFC"/>
      <color rgb="FFD6E1FA"/>
      <color rgb="FFEEF3F8"/>
      <color rgb="FFFFFFCC"/>
      <color rgb="FF0033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544280</xdr:colOff>
      <xdr:row>1</xdr:row>
      <xdr:rowOff>27215</xdr:rowOff>
    </xdr:from>
    <xdr:to>
      <xdr:col>2</xdr:col>
      <xdr:colOff>3891639</xdr:colOff>
      <xdr:row>6</xdr:row>
      <xdr:rowOff>285615</xdr:rowOff>
    </xdr:to>
    <xdr:pic>
      <xdr:nvPicPr>
        <xdr:cNvPr id="4" name="Imagen 1">
          <a:extLst>
            <a:ext uri="{FF2B5EF4-FFF2-40B4-BE49-F238E27FC236}">
              <a16:creationId xmlns:a16="http://schemas.microsoft.com/office/drawing/2014/main" id="{19FD46BE-9152-4866-854D-08786AE34F6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973" t="32976" r="52587" b="43517"/>
        <a:stretch/>
      </xdr:blipFill>
      <xdr:spPr>
        <a:xfrm>
          <a:off x="721173" y="340179"/>
          <a:ext cx="3347359" cy="182322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544286</xdr:colOff>
      <xdr:row>1</xdr:row>
      <xdr:rowOff>27214</xdr:rowOff>
    </xdr:from>
    <xdr:to>
      <xdr:col>2</xdr:col>
      <xdr:colOff>3891645</xdr:colOff>
      <xdr:row>6</xdr:row>
      <xdr:rowOff>285614</xdr:rowOff>
    </xdr:to>
    <xdr:pic>
      <xdr:nvPicPr>
        <xdr:cNvPr id="6" name="Imagen 3">
          <a:extLst>
            <a:ext uri="{FF2B5EF4-FFF2-40B4-BE49-F238E27FC236}">
              <a16:creationId xmlns:a16="http://schemas.microsoft.com/office/drawing/2014/main" id="{32189C6C-122D-40A7-BD39-823717A0D76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973" t="32976" r="52587" b="43517"/>
        <a:stretch/>
      </xdr:blipFill>
      <xdr:spPr>
        <a:xfrm>
          <a:off x="721179" y="340178"/>
          <a:ext cx="3347359" cy="18232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190498</xdr:colOff>
      <xdr:row>0</xdr:row>
      <xdr:rowOff>13605</xdr:rowOff>
    </xdr:from>
    <xdr:to>
      <xdr:col>1</xdr:col>
      <xdr:colOff>3878034</xdr:colOff>
      <xdr:row>6</xdr:row>
      <xdr:rowOff>151821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DF42B-DD79-4B13-9373-7A9DD02D9D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22973" t="32976" r="52587" b="43517"/>
        <a:stretch/>
      </xdr:blipFill>
      <xdr:spPr>
        <a:xfrm>
          <a:off x="371473" y="13605"/>
          <a:ext cx="3687536" cy="2024166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5.%20Mayo/Lista%20de%20Precios%20Peugeot%20Mayo%202026.xlsx" TargetMode="External"/><Relationship Id="rId2" Type="http://schemas.openxmlformats.org/officeDocument/2006/relationships/externalLinkPath" Target="https://shiftup.sharepoint.com/sites/SALESMANAGEMENT/Shared%20Documents/General/ACCIONES%20COMERCIALES/LISTAS%20DE%20PRECIO/2026/5.%20Mayo/Lista%20de%20Precios%20Peugeot%20Mayo%202026.xlsx" TargetMode="External"/><Relationship Id="rId1" Type="http://schemas.openxmlformats.org/officeDocument/2006/relationships/externalLinkPath" Target="/sites/SALESMANAGEMENT/Shared%20Documents/General/ACCIONES%20COMERCIALES/LISTAS%20DE%20PRECIO/2026/5.%20Mayo/Lista%20de%20Precios%20Peugeot%20Mayo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PASAJEROS"/>
      <sheetName val="COMERCIALES"/>
      <sheetName val="Trámites Preinscripciones"/>
      <sheetName val="MESES"/>
      <sheetName val="PASAJEROS ZONA FRANCA"/>
      <sheetName val="COMERCIAL ZONA FRANCA"/>
      <sheetName val="TASA 0%"/>
      <sheetName val="BONO O GIFT CARD"/>
    </sheetNames>
    <sheetDataSet>
      <sheetData sheetId="0">
        <row r="1"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</row>
        <row r="2">
          <cell r="D2">
            <v>1</v>
          </cell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</row>
        <row r="3">
          <cell r="D3" t="str">
            <v>LISTA DE PRECIOS VEHÍCULOS NUEVOS</v>
          </cell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</row>
        <row r="4">
          <cell r="D4" t="str">
            <v>Nº 05 - 2026</v>
          </cell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</row>
        <row r="5">
          <cell r="D5">
            <v>46143</v>
          </cell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</row>
        <row r="6"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</row>
        <row r="7">
          <cell r="D7"/>
          <cell r="E7"/>
          <cell r="F7"/>
          <cell r="G7"/>
          <cell r="H7"/>
          <cell r="I7"/>
          <cell r="J7" t="str">
            <v>Tope CE</v>
          </cell>
          <cell r="K7"/>
          <cell r="L7"/>
          <cell r="M7">
            <v>2.5000000000000001E-2</v>
          </cell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</row>
        <row r="8">
          <cell r="D8" t="str">
            <v>LCDV</v>
          </cell>
          <cell r="E8" t="str">
            <v>CIT</v>
          </cell>
          <cell r="F8"/>
          <cell r="G8" t="str">
            <v>PRECIO LISTA</v>
          </cell>
          <cell r="H8"/>
          <cell r="I8"/>
          <cell r="J8" t="str">
            <v>TODO MEDIO DE PAGO</v>
          </cell>
          <cell r="K8"/>
          <cell r="L8"/>
          <cell r="M8"/>
          <cell r="N8"/>
          <cell r="O8" t="str">
            <v>CRÉDITO CONVENCIONAL</v>
          </cell>
          <cell r="P8"/>
          <cell r="Q8"/>
          <cell r="R8"/>
          <cell r="S8"/>
          <cell r="T8"/>
          <cell r="U8" t="str">
            <v>COMPRA INTELIGENTE</v>
          </cell>
          <cell r="V8"/>
          <cell r="W8"/>
          <cell r="X8"/>
          <cell r="Y8"/>
          <cell r="Z8"/>
          <cell r="AA8" t="str">
            <v>∆ Precio 
Lista M-1</v>
          </cell>
        </row>
        <row r="9">
          <cell r="D9"/>
          <cell r="E9"/>
          <cell r="F9"/>
          <cell r="G9" t="str">
            <v>CON IVA</v>
          </cell>
          <cell r="H9" t="str">
            <v>SIN IVA</v>
          </cell>
          <cell r="I9" t="str">
            <v/>
          </cell>
          <cell r="J9" t="str">
            <v>BONO CON IVA</v>
          </cell>
          <cell r="K9" t="str">
            <v>APORTE RED</v>
          </cell>
          <cell r="L9" t="str">
            <v>APORTE STELLANTIS</v>
          </cell>
          <cell r="M9" t="str">
            <v>PRECIO PROMO</v>
          </cell>
          <cell r="N9" t="str">
            <v/>
          </cell>
          <cell r="O9" t="str">
            <v>BONO CON IVA</v>
          </cell>
          <cell r="P9" t="str">
            <v>APORTE RED</v>
          </cell>
          <cell r="Q9" t="str">
            <v>APORTE STELLANTIS</v>
          </cell>
          <cell r="R9" t="str">
            <v>APORTE FINANCIERA</v>
          </cell>
          <cell r="S9" t="str">
            <v>PRECIO PROMO</v>
          </cell>
          <cell r="T9" t="str">
            <v/>
          </cell>
          <cell r="U9" t="str">
            <v>BONO CON IVA</v>
          </cell>
          <cell r="V9" t="str">
            <v>APORTE RED</v>
          </cell>
          <cell r="W9" t="str">
            <v>APORTE STELLANTIS</v>
          </cell>
          <cell r="X9" t="str">
            <v>APORTE FINANCIERA</v>
          </cell>
          <cell r="Y9" t="str">
            <v>PRECIO PROMO</v>
          </cell>
          <cell r="Z9"/>
          <cell r="AA9"/>
        </row>
        <row r="10"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</row>
        <row r="11"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</row>
        <row r="12">
          <cell r="D12" t="str">
            <v>1PP2A5HL6KJR2PG0003</v>
          </cell>
          <cell r="E12" t="str">
            <v>PG9239E60823S00-7</v>
          </cell>
          <cell r="F12"/>
          <cell r="G12">
            <v>18490000</v>
          </cell>
          <cell r="H12">
            <v>15537815.12605042</v>
          </cell>
          <cell r="I12"/>
          <cell r="J12">
            <v>1400000</v>
          </cell>
          <cell r="K12">
            <v>462250</v>
          </cell>
          <cell r="L12">
            <v>937750</v>
          </cell>
          <cell r="M12">
            <v>17090000</v>
          </cell>
          <cell r="N12"/>
          <cell r="O12">
            <v>1700000</v>
          </cell>
          <cell r="P12">
            <v>462250</v>
          </cell>
          <cell r="Q12">
            <v>937750</v>
          </cell>
          <cell r="R12">
            <v>300000</v>
          </cell>
          <cell r="S12">
            <v>16790000</v>
          </cell>
          <cell r="T12"/>
          <cell r="U12">
            <v>5500000</v>
          </cell>
          <cell r="V12">
            <v>462250</v>
          </cell>
          <cell r="W12">
            <v>937750</v>
          </cell>
          <cell r="X12">
            <v>4100000</v>
          </cell>
          <cell r="Y12">
            <v>12990000</v>
          </cell>
          <cell r="Z12"/>
          <cell r="AA12" t="str">
            <v>ISO</v>
          </cell>
        </row>
        <row r="13">
          <cell r="D13" t="str">
            <v>1PP2A5PJHWJRA0G0003</v>
          </cell>
          <cell r="E13" t="str">
            <v>PG9496E60524S00-9</v>
          </cell>
          <cell r="F13"/>
          <cell r="G13">
            <v>23990000</v>
          </cell>
          <cell r="H13">
            <v>20159663.865546219</v>
          </cell>
          <cell r="I13"/>
          <cell r="J13">
            <v>2400000</v>
          </cell>
          <cell r="K13">
            <v>599750</v>
          </cell>
          <cell r="L13">
            <v>1800250</v>
          </cell>
          <cell r="M13">
            <v>21590000</v>
          </cell>
          <cell r="N13"/>
          <cell r="O13">
            <v>2700000</v>
          </cell>
          <cell r="P13">
            <v>599750</v>
          </cell>
          <cell r="Q13">
            <v>1800250</v>
          </cell>
          <cell r="R13">
            <v>300000</v>
          </cell>
          <cell r="S13">
            <v>21290000</v>
          </cell>
          <cell r="T13"/>
          <cell r="U13">
            <v>5000000</v>
          </cell>
          <cell r="V13">
            <v>599750</v>
          </cell>
          <cell r="W13">
            <v>1800250</v>
          </cell>
          <cell r="X13">
            <v>2600000</v>
          </cell>
          <cell r="Y13">
            <v>18990000</v>
          </cell>
          <cell r="Z13"/>
          <cell r="AA13" t="str">
            <v>ISO</v>
          </cell>
        </row>
        <row r="14">
          <cell r="D14" t="str">
            <v>1PP2A5UZIFEEA0F6162</v>
          </cell>
          <cell r="E14" t="str">
            <v>PG9495EL0424S00-1</v>
          </cell>
          <cell r="F14"/>
          <cell r="G14">
            <v>26590000</v>
          </cell>
          <cell r="H14">
            <v>22344537.81512605</v>
          </cell>
          <cell r="I14"/>
          <cell r="J14">
            <v>1900000</v>
          </cell>
          <cell r="K14">
            <v>664750</v>
          </cell>
          <cell r="L14">
            <v>1235250</v>
          </cell>
          <cell r="M14">
            <v>24690000</v>
          </cell>
          <cell r="N14"/>
          <cell r="O14">
            <v>2800000</v>
          </cell>
          <cell r="P14">
            <v>664750</v>
          </cell>
          <cell r="Q14">
            <v>1235250</v>
          </cell>
          <cell r="R14">
            <v>900000</v>
          </cell>
          <cell r="S14">
            <v>23790000</v>
          </cell>
          <cell r="T14"/>
          <cell r="U14">
            <v>4000000</v>
          </cell>
          <cell r="V14">
            <v>664750</v>
          </cell>
          <cell r="W14">
            <v>1235250</v>
          </cell>
          <cell r="X14">
            <v>2100000</v>
          </cell>
          <cell r="Y14">
            <v>22590000</v>
          </cell>
          <cell r="Z14"/>
          <cell r="AA14" t="str">
            <v>ISO</v>
          </cell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</row>
        <row r="16">
          <cell r="D16"/>
          <cell r="E16"/>
          <cell r="F16"/>
          <cell r="G16"/>
          <cell r="H16"/>
          <cell r="I16"/>
          <cell r="J16"/>
          <cell r="K16"/>
          <cell r="L16"/>
          <cell r="M16"/>
          <cell r="N16"/>
          <cell r="O16"/>
          <cell r="P16"/>
          <cell r="Q16"/>
          <cell r="R16"/>
          <cell r="S16"/>
          <cell r="T16"/>
          <cell r="U16"/>
          <cell r="V16"/>
          <cell r="W16"/>
          <cell r="X16"/>
          <cell r="Y16"/>
          <cell r="Z16"/>
          <cell r="AA16"/>
        </row>
        <row r="17">
          <cell r="D17" t="str">
            <v>1PP1SYHJHWJR2PG0000</v>
          </cell>
          <cell r="E17" t="str">
            <v>PG9562E60724S00-5</v>
          </cell>
          <cell r="F17"/>
          <cell r="G17">
            <v>23190000</v>
          </cell>
          <cell r="H17">
            <v>19487394.957983196</v>
          </cell>
          <cell r="I17"/>
          <cell r="J17">
            <v>3400000</v>
          </cell>
          <cell r="K17">
            <v>579750</v>
          </cell>
          <cell r="L17">
            <v>2820250</v>
          </cell>
          <cell r="M17">
            <v>19790000</v>
          </cell>
          <cell r="N17"/>
          <cell r="O17">
            <v>5300000</v>
          </cell>
          <cell r="P17">
            <v>579750</v>
          </cell>
          <cell r="Q17">
            <v>2820250</v>
          </cell>
          <cell r="R17">
            <v>1900000</v>
          </cell>
          <cell r="S17">
            <v>17890000</v>
          </cell>
          <cell r="T17"/>
          <cell r="U17">
            <v>6200000</v>
          </cell>
          <cell r="V17">
            <v>579750</v>
          </cell>
          <cell r="W17">
            <v>2820250</v>
          </cell>
          <cell r="X17">
            <v>2800000</v>
          </cell>
          <cell r="Y17">
            <v>16990000</v>
          </cell>
          <cell r="Z17"/>
          <cell r="AA17" t="str">
            <v>ISO</v>
          </cell>
        </row>
        <row r="18">
          <cell r="D18" t="str">
            <v>1PP1SYPJHWJRA0F2065</v>
          </cell>
          <cell r="E18" t="str">
            <v>PG9562E60724S00-5</v>
          </cell>
          <cell r="F18"/>
          <cell r="G18">
            <v>25290000</v>
          </cell>
          <cell r="H18">
            <v>21252100.840336137</v>
          </cell>
          <cell r="I18"/>
          <cell r="J18">
            <v>4000000</v>
          </cell>
          <cell r="K18">
            <v>632250</v>
          </cell>
          <cell r="L18">
            <v>3367750</v>
          </cell>
          <cell r="M18">
            <v>21290000</v>
          </cell>
          <cell r="N18"/>
          <cell r="O18">
            <v>5400000</v>
          </cell>
          <cell r="P18">
            <v>632250</v>
          </cell>
          <cell r="Q18">
            <v>3367750</v>
          </cell>
          <cell r="R18">
            <v>1400000</v>
          </cell>
          <cell r="S18">
            <v>19890000</v>
          </cell>
          <cell r="T18"/>
          <cell r="U18">
            <v>6300000</v>
          </cell>
          <cell r="V18">
            <v>632250</v>
          </cell>
          <cell r="W18">
            <v>3367750</v>
          </cell>
          <cell r="X18">
            <v>2300000</v>
          </cell>
          <cell r="Y18">
            <v>18990000</v>
          </cell>
          <cell r="Z18"/>
          <cell r="AA18" t="str">
            <v>ISO</v>
          </cell>
        </row>
        <row r="19">
          <cell r="D19" t="str">
            <v>1PP1SYTJHWJRA0F2000</v>
          </cell>
          <cell r="E19" t="str">
            <v>PG9562E60724S00-5</v>
          </cell>
          <cell r="F19"/>
          <cell r="G19">
            <v>28590000</v>
          </cell>
          <cell r="H19">
            <v>24025210.084033616</v>
          </cell>
          <cell r="I19"/>
          <cell r="J19">
            <v>3800000</v>
          </cell>
          <cell r="K19">
            <v>714750</v>
          </cell>
          <cell r="L19">
            <v>3085250</v>
          </cell>
          <cell r="M19">
            <v>24790000</v>
          </cell>
          <cell r="N19"/>
          <cell r="O19">
            <v>5700000</v>
          </cell>
          <cell r="P19">
            <v>714750</v>
          </cell>
          <cell r="Q19">
            <v>3085250</v>
          </cell>
          <cell r="R19">
            <v>1900000</v>
          </cell>
          <cell r="S19">
            <v>22890000</v>
          </cell>
          <cell r="T19"/>
          <cell r="U19">
            <v>6600000</v>
          </cell>
          <cell r="V19">
            <v>714750</v>
          </cell>
          <cell r="W19">
            <v>3085250</v>
          </cell>
          <cell r="X19">
            <v>2800000</v>
          </cell>
          <cell r="Y19">
            <v>21990000</v>
          </cell>
          <cell r="Z19"/>
          <cell r="AA19" t="str">
            <v>ISO</v>
          </cell>
        </row>
        <row r="20">
          <cell r="D20" t="str">
            <v>1PP1SYUZIFJRA0F2000</v>
          </cell>
          <cell r="E20" t="str">
            <v>PG9306EL1023S00-3</v>
          </cell>
          <cell r="F20"/>
          <cell r="G20">
            <v>29590000</v>
          </cell>
          <cell r="H20">
            <v>24865546.218487397</v>
          </cell>
          <cell r="I20"/>
          <cell r="J20">
            <v>1900000</v>
          </cell>
          <cell r="K20">
            <v>739750</v>
          </cell>
          <cell r="L20">
            <v>1160250</v>
          </cell>
          <cell r="M20">
            <v>27690000</v>
          </cell>
          <cell r="N20"/>
          <cell r="O20">
            <v>2800000</v>
          </cell>
          <cell r="P20">
            <v>739750</v>
          </cell>
          <cell r="Q20">
            <v>1160250</v>
          </cell>
          <cell r="R20">
            <v>900000</v>
          </cell>
          <cell r="S20">
            <v>26790000</v>
          </cell>
          <cell r="T20"/>
          <cell r="U20">
            <v>4000000</v>
          </cell>
          <cell r="V20">
            <v>739750</v>
          </cell>
          <cell r="W20">
            <v>1160250</v>
          </cell>
          <cell r="X20">
            <v>2100000</v>
          </cell>
          <cell r="Y20">
            <v>25590000</v>
          </cell>
          <cell r="Z20"/>
          <cell r="AA20" t="str">
            <v>ISO</v>
          </cell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</row>
        <row r="23">
          <cell r="D23" t="str">
            <v>1PP5A5PNP1J0A0D2000</v>
          </cell>
          <cell r="E23" t="str">
            <v>PG8206E60422S00-7</v>
          </cell>
          <cell r="F23"/>
          <cell r="G23">
            <v>23790000</v>
          </cell>
          <cell r="H23">
            <v>19991596.638655461</v>
          </cell>
          <cell r="I23"/>
          <cell r="J23">
            <v>2500000</v>
          </cell>
          <cell r="K23">
            <v>594750</v>
          </cell>
          <cell r="L23">
            <v>1905250</v>
          </cell>
          <cell r="M23">
            <v>21290000</v>
          </cell>
          <cell r="N23"/>
          <cell r="O23">
            <v>2900000</v>
          </cell>
          <cell r="P23">
            <v>594750</v>
          </cell>
          <cell r="Q23">
            <v>1905250</v>
          </cell>
          <cell r="R23">
            <v>400000</v>
          </cell>
          <cell r="S23">
            <v>20890000</v>
          </cell>
          <cell r="T23"/>
          <cell r="U23">
            <v>3800000</v>
          </cell>
          <cell r="V23">
            <v>594750</v>
          </cell>
          <cell r="W23">
            <v>1905250</v>
          </cell>
          <cell r="X23">
            <v>1300000</v>
          </cell>
          <cell r="Y23">
            <v>19990000</v>
          </cell>
          <cell r="Z23"/>
          <cell r="AA23" t="str">
            <v>ISO</v>
          </cell>
        </row>
        <row r="24">
          <cell r="D24" t="str">
            <v>1PP5A5PJHWJ0A0E0013</v>
          </cell>
          <cell r="E24" t="str">
            <v>PG9717E61124S00-0</v>
          </cell>
          <cell r="F24"/>
          <cell r="G24">
            <v>28290000</v>
          </cell>
          <cell r="H24">
            <v>23773109.243697479</v>
          </cell>
          <cell r="I24"/>
          <cell r="J24">
            <v>2300000</v>
          </cell>
          <cell r="K24">
            <v>707250</v>
          </cell>
          <cell r="L24">
            <v>1592750</v>
          </cell>
          <cell r="M24">
            <v>25990000</v>
          </cell>
          <cell r="N24"/>
          <cell r="O24">
            <v>2700000</v>
          </cell>
          <cell r="P24">
            <v>707250</v>
          </cell>
          <cell r="Q24">
            <v>1592750</v>
          </cell>
          <cell r="R24">
            <v>400000</v>
          </cell>
          <cell r="S24">
            <v>25590000</v>
          </cell>
          <cell r="T24"/>
          <cell r="U24">
            <v>3600000</v>
          </cell>
          <cell r="V24">
            <v>707250</v>
          </cell>
          <cell r="W24">
            <v>1592750</v>
          </cell>
          <cell r="X24">
            <v>1300000</v>
          </cell>
          <cell r="Y24">
            <v>24690000</v>
          </cell>
          <cell r="Z24"/>
          <cell r="AA24" t="str">
            <v>ISO</v>
          </cell>
        </row>
        <row r="25">
          <cell r="D25" t="str">
            <v>1PP5A5TNP1J0A0C2009</v>
          </cell>
          <cell r="E25" t="str">
            <v>PG8206E60422S00-7</v>
          </cell>
          <cell r="F25"/>
          <cell r="G25">
            <v>27290000</v>
          </cell>
          <cell r="H25">
            <v>22932773.109243698</v>
          </cell>
          <cell r="I25"/>
          <cell r="J25">
            <v>2300000</v>
          </cell>
          <cell r="K25">
            <v>682250</v>
          </cell>
          <cell r="L25">
            <v>1617750</v>
          </cell>
          <cell r="M25">
            <v>24990000</v>
          </cell>
          <cell r="N25"/>
          <cell r="O25">
            <v>2700000</v>
          </cell>
          <cell r="P25">
            <v>682250</v>
          </cell>
          <cell r="Q25">
            <v>1617750</v>
          </cell>
          <cell r="R25">
            <v>400000</v>
          </cell>
          <cell r="S25">
            <v>24590000</v>
          </cell>
          <cell r="T25"/>
          <cell r="U25">
            <v>3600000</v>
          </cell>
          <cell r="V25">
            <v>682250</v>
          </cell>
          <cell r="W25">
            <v>1617750</v>
          </cell>
          <cell r="X25">
            <v>1300000</v>
          </cell>
          <cell r="Y25">
            <v>23690000</v>
          </cell>
          <cell r="Z25"/>
          <cell r="AA25" t="str">
            <v>ISO</v>
          </cell>
        </row>
        <row r="26">
          <cell r="D26" t="str">
            <v>1PP5A5TJHWJ0A0E0003</v>
          </cell>
          <cell r="E26" t="str">
            <v>PG9717E61124S00-0</v>
          </cell>
          <cell r="F26"/>
          <cell r="G26">
            <v>31790000</v>
          </cell>
          <cell r="H26">
            <v>26714285.714285716</v>
          </cell>
          <cell r="I26"/>
          <cell r="J26">
            <v>2300000</v>
          </cell>
          <cell r="K26">
            <v>794750</v>
          </cell>
          <cell r="L26">
            <v>1505250</v>
          </cell>
          <cell r="M26">
            <v>29490000</v>
          </cell>
          <cell r="N26"/>
          <cell r="O26">
            <v>2700000</v>
          </cell>
          <cell r="P26">
            <v>794750</v>
          </cell>
          <cell r="Q26">
            <v>1505250</v>
          </cell>
          <cell r="R26">
            <v>400000</v>
          </cell>
          <cell r="S26">
            <v>29090000</v>
          </cell>
          <cell r="T26"/>
          <cell r="U26">
            <v>3600000</v>
          </cell>
          <cell r="V26">
            <v>794750</v>
          </cell>
          <cell r="W26">
            <v>1505250</v>
          </cell>
          <cell r="X26">
            <v>1300000</v>
          </cell>
          <cell r="Y26">
            <v>28190000</v>
          </cell>
          <cell r="Z26"/>
          <cell r="AA26" t="str">
            <v>ISO</v>
          </cell>
        </row>
        <row r="27"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</row>
        <row r="28"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  <cell r="Z28"/>
          <cell r="AA28"/>
        </row>
        <row r="29">
          <cell r="D29" t="str">
            <v>1PP8SYLNPKJMA0E2132</v>
          </cell>
          <cell r="E29" t="str">
            <v>PG8056E60620S00-9</v>
          </cell>
          <cell r="F29"/>
          <cell r="G29">
            <v>25290000</v>
          </cell>
          <cell r="H29">
            <v>21252100.840336137</v>
          </cell>
          <cell r="I29"/>
          <cell r="J29">
            <v>4300000</v>
          </cell>
          <cell r="K29">
            <v>632250</v>
          </cell>
          <cell r="L29">
            <v>3667750</v>
          </cell>
          <cell r="M29">
            <v>20990000</v>
          </cell>
          <cell r="N29"/>
          <cell r="O29">
            <v>4700000</v>
          </cell>
          <cell r="P29">
            <v>632250</v>
          </cell>
          <cell r="Q29">
            <v>3667750</v>
          </cell>
          <cell r="R29">
            <v>400000</v>
          </cell>
          <cell r="S29">
            <v>20590000</v>
          </cell>
          <cell r="T29"/>
          <cell r="U29">
            <v>5600000</v>
          </cell>
          <cell r="V29">
            <v>632250</v>
          </cell>
          <cell r="W29">
            <v>3667750</v>
          </cell>
          <cell r="X29">
            <v>1300000</v>
          </cell>
          <cell r="Y29">
            <v>19690000</v>
          </cell>
          <cell r="Z29"/>
          <cell r="AA29" t="str">
            <v>ISO</v>
          </cell>
        </row>
        <row r="30">
          <cell r="D30"/>
          <cell r="E30"/>
          <cell r="F30"/>
          <cell r="G30"/>
          <cell r="H30"/>
          <cell r="I30"/>
          <cell r="J30"/>
          <cell r="K30"/>
          <cell r="L30"/>
          <cell r="M30"/>
          <cell r="N30"/>
          <cell r="O30"/>
          <cell r="P30"/>
          <cell r="Q30"/>
          <cell r="R30"/>
          <cell r="S30"/>
          <cell r="T30"/>
          <cell r="U30"/>
          <cell r="V30"/>
          <cell r="W30"/>
          <cell r="X30"/>
          <cell r="Y30"/>
          <cell r="Z30"/>
          <cell r="AA30"/>
        </row>
        <row r="31">
          <cell r="D31"/>
          <cell r="E31"/>
          <cell r="F31"/>
          <cell r="G31"/>
          <cell r="H31"/>
          <cell r="I31"/>
          <cell r="J31"/>
          <cell r="K31"/>
          <cell r="L31"/>
          <cell r="M31"/>
          <cell r="N31"/>
          <cell r="O31"/>
          <cell r="P31"/>
          <cell r="Q31"/>
          <cell r="R31"/>
          <cell r="S31"/>
          <cell r="T31"/>
          <cell r="U31"/>
          <cell r="V31"/>
          <cell r="W31"/>
          <cell r="X31"/>
          <cell r="Y31"/>
          <cell r="Z31"/>
          <cell r="AA31"/>
        </row>
        <row r="32">
          <cell r="D32" t="str">
            <v>1PPDSYRJH7NXA0C0000</v>
          </cell>
          <cell r="E32" t="str">
            <v>PG9589E60724S00-2</v>
          </cell>
          <cell r="F32"/>
          <cell r="G32">
            <v>30790000</v>
          </cell>
          <cell r="H32">
            <v>25873949.579831935</v>
          </cell>
          <cell r="I32"/>
          <cell r="J32">
            <v>3300000</v>
          </cell>
          <cell r="K32">
            <v>769750</v>
          </cell>
          <cell r="L32">
            <v>2530250</v>
          </cell>
          <cell r="M32">
            <v>27490000</v>
          </cell>
          <cell r="N32"/>
          <cell r="O32">
            <v>4800000</v>
          </cell>
          <cell r="P32">
            <v>769750</v>
          </cell>
          <cell r="Q32">
            <v>2530250</v>
          </cell>
          <cell r="R32">
            <v>1500000</v>
          </cell>
          <cell r="S32">
            <v>25990000</v>
          </cell>
          <cell r="T32"/>
          <cell r="U32">
            <v>5800000</v>
          </cell>
          <cell r="V32">
            <v>769750</v>
          </cell>
          <cell r="W32">
            <v>2530250</v>
          </cell>
          <cell r="X32">
            <v>2500000</v>
          </cell>
          <cell r="Y32">
            <v>24990000</v>
          </cell>
          <cell r="Z32"/>
          <cell r="AA32" t="str">
            <v>ISO</v>
          </cell>
        </row>
        <row r="33">
          <cell r="D33" t="str">
            <v>1PPDSYTJH7NXA0B0167</v>
          </cell>
          <cell r="E33" t="str">
            <v>PG9589E61224S02-2</v>
          </cell>
          <cell r="F33"/>
          <cell r="G33">
            <v>37290000</v>
          </cell>
          <cell r="H33">
            <v>31336134.453781515</v>
          </cell>
          <cell r="I33"/>
          <cell r="J33">
            <v>4800000</v>
          </cell>
          <cell r="K33">
            <v>932250</v>
          </cell>
          <cell r="L33">
            <v>3867750</v>
          </cell>
          <cell r="M33">
            <v>32490000</v>
          </cell>
          <cell r="N33"/>
          <cell r="O33">
            <v>6300000</v>
          </cell>
          <cell r="P33">
            <v>932250</v>
          </cell>
          <cell r="Q33">
            <v>3867750</v>
          </cell>
          <cell r="R33">
            <v>1500000</v>
          </cell>
          <cell r="S33">
            <v>30990000</v>
          </cell>
          <cell r="T33"/>
          <cell r="U33">
            <v>7300000</v>
          </cell>
          <cell r="V33">
            <v>932250</v>
          </cell>
          <cell r="W33">
            <v>3867750</v>
          </cell>
          <cell r="X33">
            <v>2500000</v>
          </cell>
          <cell r="Y33">
            <v>29990000</v>
          </cell>
          <cell r="Z33"/>
          <cell r="AA33" t="str">
            <v>ISO</v>
          </cell>
        </row>
        <row r="34"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  <cell r="Z34"/>
          <cell r="AA34"/>
        </row>
        <row r="35"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  <cell r="Z35"/>
          <cell r="AA35"/>
        </row>
        <row r="36">
          <cell r="D36" t="str">
            <v>1PPFSZRJH7NXA0C2000</v>
          </cell>
          <cell r="E36" t="str">
            <v>PG9682E61024S00-2</v>
          </cell>
          <cell r="F36"/>
          <cell r="G36">
            <v>33290000</v>
          </cell>
          <cell r="H36">
            <v>27974789.915966388</v>
          </cell>
          <cell r="I36"/>
          <cell r="J36">
            <v>3800000</v>
          </cell>
          <cell r="K36">
            <v>832250</v>
          </cell>
          <cell r="L36">
            <v>2967750</v>
          </cell>
          <cell r="M36">
            <v>29490000</v>
          </cell>
          <cell r="N36"/>
          <cell r="O36">
            <v>5300000</v>
          </cell>
          <cell r="P36">
            <v>832250</v>
          </cell>
          <cell r="Q36">
            <v>2967750</v>
          </cell>
          <cell r="R36">
            <v>1500000</v>
          </cell>
          <cell r="S36">
            <v>27990000</v>
          </cell>
          <cell r="T36"/>
          <cell r="U36">
            <v>6300000</v>
          </cell>
          <cell r="V36">
            <v>832250</v>
          </cell>
          <cell r="W36">
            <v>2967750</v>
          </cell>
          <cell r="X36">
            <v>2500000</v>
          </cell>
          <cell r="Y36">
            <v>26990000</v>
          </cell>
          <cell r="Z36"/>
          <cell r="AA36" t="str">
            <v>ISO</v>
          </cell>
        </row>
        <row r="37">
          <cell r="D37" t="str">
            <v>1PPFSZTJH7NXA0C2167</v>
          </cell>
          <cell r="E37" t="str">
            <v>PG9682E61024S00-2</v>
          </cell>
          <cell r="F37"/>
          <cell r="G37">
            <v>39790000</v>
          </cell>
          <cell r="H37">
            <v>33436974.789915968</v>
          </cell>
          <cell r="I37"/>
          <cell r="J37">
            <v>5300000</v>
          </cell>
          <cell r="K37">
            <v>994750</v>
          </cell>
          <cell r="L37">
            <v>4305250</v>
          </cell>
          <cell r="M37">
            <v>34490000</v>
          </cell>
          <cell r="N37"/>
          <cell r="O37">
            <v>6800000</v>
          </cell>
          <cell r="P37">
            <v>994750</v>
          </cell>
          <cell r="Q37">
            <v>4305250</v>
          </cell>
          <cell r="R37">
            <v>1500000</v>
          </cell>
          <cell r="S37">
            <v>32990000</v>
          </cell>
          <cell r="T37"/>
          <cell r="U37">
            <v>7800000</v>
          </cell>
          <cell r="V37">
            <v>994750</v>
          </cell>
          <cell r="W37">
            <v>4305250</v>
          </cell>
          <cell r="X37">
            <v>2500000</v>
          </cell>
          <cell r="Y37">
            <v>31990000</v>
          </cell>
          <cell r="Z37"/>
          <cell r="AA37" t="str">
            <v>ISO</v>
          </cell>
        </row>
        <row r="38">
          <cell r="D38"/>
          <cell r="E38"/>
          <cell r="F38"/>
          <cell r="G38"/>
          <cell r="H38"/>
          <cell r="I38"/>
          <cell r="J38"/>
          <cell r="K38"/>
          <cell r="L38"/>
          <cell r="M38"/>
          <cell r="N38"/>
          <cell r="O38"/>
          <cell r="P38"/>
          <cell r="Q38"/>
          <cell r="R38"/>
          <cell r="S38"/>
          <cell r="T38"/>
          <cell r="U38"/>
          <cell r="V38"/>
          <cell r="W38"/>
          <cell r="X38"/>
          <cell r="Y38"/>
          <cell r="Z38"/>
          <cell r="AA38"/>
        </row>
        <row r="39">
          <cell r="D39"/>
          <cell r="E39"/>
          <cell r="F39"/>
          <cell r="G39"/>
          <cell r="H39"/>
          <cell r="I39"/>
          <cell r="J39"/>
          <cell r="K39"/>
          <cell r="L39"/>
          <cell r="M39"/>
          <cell r="N39"/>
          <cell r="O39"/>
          <cell r="P39"/>
          <cell r="Q39"/>
          <cell r="R39"/>
          <cell r="S39"/>
          <cell r="T39"/>
          <cell r="U39"/>
          <cell r="V39"/>
          <cell r="W39"/>
          <cell r="X39"/>
          <cell r="Y39"/>
          <cell r="Z39"/>
          <cell r="AA39"/>
        </row>
        <row r="40">
          <cell r="D40" t="str">
            <v>1PK9CLTMNKJRA070059</v>
          </cell>
          <cell r="E40" t="str">
            <v>PG9511E60524S00-9</v>
          </cell>
          <cell r="F40"/>
          <cell r="G40">
            <v>24590000</v>
          </cell>
          <cell r="H40">
            <v>20663865.546218488</v>
          </cell>
          <cell r="I40"/>
          <cell r="J40">
            <v>1300000</v>
          </cell>
          <cell r="K40">
            <v>614750</v>
          </cell>
          <cell r="L40">
            <v>685250</v>
          </cell>
          <cell r="M40">
            <v>23290000</v>
          </cell>
          <cell r="N40"/>
          <cell r="O40">
            <v>1600000</v>
          </cell>
          <cell r="P40">
            <v>614750</v>
          </cell>
          <cell r="Q40">
            <v>685250</v>
          </cell>
          <cell r="R40">
            <v>300000</v>
          </cell>
          <cell r="S40">
            <v>22990000</v>
          </cell>
          <cell r="T40"/>
          <cell r="U40">
            <v>1900000</v>
          </cell>
          <cell r="V40">
            <v>614750</v>
          </cell>
          <cell r="W40">
            <v>685250</v>
          </cell>
          <cell r="X40">
            <v>600000</v>
          </cell>
          <cell r="Y40">
            <v>22690000</v>
          </cell>
          <cell r="Z40"/>
          <cell r="AA40" t="str">
            <v>ISO</v>
          </cell>
        </row>
        <row r="41">
          <cell r="D41" t="str">
            <v>1PK9CLTNP1JRA070059</v>
          </cell>
          <cell r="E41" t="str">
            <v>PG9596E60724S00-0</v>
          </cell>
          <cell r="F41"/>
          <cell r="G41">
            <v>22090000</v>
          </cell>
          <cell r="H41">
            <v>18563025.210084036</v>
          </cell>
          <cell r="I41"/>
          <cell r="J41">
            <v>1300000</v>
          </cell>
          <cell r="K41">
            <v>552250</v>
          </cell>
          <cell r="L41">
            <v>747750</v>
          </cell>
          <cell r="M41">
            <v>20790000</v>
          </cell>
          <cell r="N41"/>
          <cell r="O41">
            <v>1600000</v>
          </cell>
          <cell r="P41">
            <v>552250</v>
          </cell>
          <cell r="Q41">
            <v>747750</v>
          </cell>
          <cell r="R41">
            <v>300000</v>
          </cell>
          <cell r="S41">
            <v>20490000</v>
          </cell>
          <cell r="T41"/>
          <cell r="U41">
            <v>1900000</v>
          </cell>
          <cell r="V41">
            <v>552250</v>
          </cell>
          <cell r="W41">
            <v>747750</v>
          </cell>
          <cell r="X41">
            <v>600000</v>
          </cell>
          <cell r="Y41">
            <v>20190000</v>
          </cell>
          <cell r="Z41"/>
          <cell r="AA41" t="str">
            <v>ISO</v>
          </cell>
        </row>
        <row r="42">
          <cell r="D42" t="str">
            <v>1PK9CLTMK1JRA070059</v>
          </cell>
          <cell r="E42" t="str">
            <v>PG9514E60524S00-5</v>
          </cell>
          <cell r="F42"/>
          <cell r="G42">
            <v>26390000</v>
          </cell>
          <cell r="H42">
            <v>22176470.588235296</v>
          </cell>
          <cell r="I42"/>
          <cell r="J42">
            <v>1800000</v>
          </cell>
          <cell r="K42">
            <v>659750</v>
          </cell>
          <cell r="L42">
            <v>1140250</v>
          </cell>
          <cell r="M42">
            <v>24590000</v>
          </cell>
          <cell r="N42"/>
          <cell r="O42">
            <v>2100000</v>
          </cell>
          <cell r="P42">
            <v>659750</v>
          </cell>
          <cell r="Q42">
            <v>1140250</v>
          </cell>
          <cell r="R42">
            <v>300000</v>
          </cell>
          <cell r="S42">
            <v>24290000</v>
          </cell>
          <cell r="T42"/>
          <cell r="U42">
            <v>2400000</v>
          </cell>
          <cell r="V42">
            <v>659750</v>
          </cell>
          <cell r="W42">
            <v>1140250</v>
          </cell>
          <cell r="X42">
            <v>600000</v>
          </cell>
          <cell r="Y42">
            <v>23990000</v>
          </cell>
          <cell r="Z42"/>
          <cell r="AA42" t="str">
            <v>ISO</v>
          </cell>
        </row>
        <row r="43">
          <cell r="D43" t="str">
            <v>1PK9CLWMK1JRA0B0371</v>
          </cell>
          <cell r="E43" t="str">
            <v>PG9514E60725S01-8</v>
          </cell>
          <cell r="F43"/>
          <cell r="G43">
            <v>29790000</v>
          </cell>
          <cell r="H43">
            <v>25033613.445378151</v>
          </cell>
          <cell r="I43"/>
          <cell r="J43">
            <v>2200000</v>
          </cell>
          <cell r="K43">
            <v>744750</v>
          </cell>
          <cell r="L43">
            <v>1455250</v>
          </cell>
          <cell r="M43">
            <v>27590000</v>
          </cell>
          <cell r="N43"/>
          <cell r="O43">
            <v>2500000</v>
          </cell>
          <cell r="P43">
            <v>744750</v>
          </cell>
          <cell r="Q43">
            <v>1455250</v>
          </cell>
          <cell r="R43">
            <v>300000</v>
          </cell>
          <cell r="S43">
            <v>27290000</v>
          </cell>
          <cell r="T43"/>
          <cell r="U43">
            <v>2800000</v>
          </cell>
          <cell r="V43">
            <v>744750</v>
          </cell>
          <cell r="W43">
            <v>1455250</v>
          </cell>
          <cell r="X43">
            <v>600000</v>
          </cell>
          <cell r="Y43">
            <v>26990000</v>
          </cell>
          <cell r="Z43"/>
          <cell r="AA43" t="str">
            <v>ISO</v>
          </cell>
        </row>
        <row r="44">
          <cell r="D44"/>
          <cell r="E44"/>
          <cell r="F44"/>
          <cell r="G44"/>
          <cell r="H44"/>
          <cell r="I44"/>
          <cell r="J44"/>
          <cell r="K44"/>
          <cell r="L44"/>
          <cell r="M44"/>
          <cell r="N44"/>
          <cell r="O44"/>
          <cell r="P44"/>
          <cell r="Q44"/>
          <cell r="R44"/>
          <cell r="S44"/>
          <cell r="T44"/>
          <cell r="U44"/>
          <cell r="V44"/>
          <cell r="W44"/>
          <cell r="X44"/>
          <cell r="Y44"/>
          <cell r="Z44"/>
          <cell r="AA44"/>
        </row>
      </sheetData>
      <sheetData sheetId="1">
        <row r="1"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  <cell r="Z1"/>
          <cell r="AA1"/>
          <cell r="AB1"/>
          <cell r="AC1"/>
          <cell r="AD1"/>
          <cell r="AE1"/>
          <cell r="AF1"/>
          <cell r="AG1"/>
        </row>
        <row r="2"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  <cell r="Z2"/>
          <cell r="AA2"/>
          <cell r="AB2"/>
          <cell r="AC2"/>
          <cell r="AD2"/>
          <cell r="AE2"/>
          <cell r="AF2"/>
          <cell r="AG2"/>
        </row>
        <row r="3">
          <cell r="D3" t="str">
            <v>LISTA DE PRECIOS VEHÍCULOS NUEVOS</v>
          </cell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  <cell r="Z3"/>
          <cell r="AA3"/>
          <cell r="AB3"/>
          <cell r="AC3"/>
          <cell r="AD3"/>
          <cell r="AE3"/>
          <cell r="AF3"/>
          <cell r="AG3"/>
        </row>
        <row r="4">
          <cell r="D4" t="str">
            <v>Nº 05 - 2026</v>
          </cell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  <cell r="Z4"/>
          <cell r="AA4"/>
          <cell r="AB4"/>
          <cell r="AC4"/>
          <cell r="AD4"/>
          <cell r="AE4"/>
          <cell r="AF4"/>
          <cell r="AG4"/>
        </row>
        <row r="5">
          <cell r="D5">
            <v>46143</v>
          </cell>
          <cell r="E5"/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  <cell r="Z5"/>
          <cell r="AA5"/>
          <cell r="AB5"/>
          <cell r="AC5"/>
          <cell r="AD5"/>
          <cell r="AE5"/>
          <cell r="AF5"/>
          <cell r="AG5"/>
        </row>
        <row r="6"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  <cell r="Z6"/>
          <cell r="AA6"/>
          <cell r="AB6"/>
          <cell r="AC6"/>
          <cell r="AD6"/>
          <cell r="AE6"/>
          <cell r="AF6"/>
          <cell r="AG6"/>
        </row>
        <row r="7">
          <cell r="D7"/>
          <cell r="E7"/>
          <cell r="F7"/>
          <cell r="G7"/>
          <cell r="H7"/>
          <cell r="I7"/>
          <cell r="J7"/>
          <cell r="K7" t="str">
            <v>Tope CE</v>
          </cell>
          <cell r="L7"/>
          <cell r="M7"/>
          <cell r="N7"/>
          <cell r="O7">
            <v>2.5000000000000001E-2</v>
          </cell>
          <cell r="P7"/>
          <cell r="Q7"/>
          <cell r="R7"/>
          <cell r="S7"/>
          <cell r="T7"/>
          <cell r="U7"/>
          <cell r="V7"/>
          <cell r="W7"/>
          <cell r="X7"/>
          <cell r="Y7"/>
          <cell r="Z7"/>
          <cell r="AA7"/>
          <cell r="AB7"/>
          <cell r="AC7"/>
          <cell r="AD7"/>
          <cell r="AE7"/>
          <cell r="AF7"/>
          <cell r="AG7"/>
        </row>
        <row r="8">
          <cell r="D8" t="str">
            <v>LCDV</v>
          </cell>
          <cell r="E8" t="str">
            <v>CIT</v>
          </cell>
          <cell r="F8"/>
          <cell r="G8" t="str">
            <v>PRECIO LISTA</v>
          </cell>
          <cell r="H8"/>
          <cell r="I8"/>
          <cell r="J8" t="str">
            <v>TODO MEDIO DE PAGO</v>
          </cell>
          <cell r="K8"/>
          <cell r="L8"/>
          <cell r="M8"/>
          <cell r="N8"/>
          <cell r="O8"/>
          <cell r="P8"/>
          <cell r="Q8" t="str">
            <v>CRÉDITO CONVENCIONAL</v>
          </cell>
          <cell r="R8"/>
          <cell r="S8"/>
          <cell r="T8"/>
          <cell r="U8"/>
          <cell r="V8"/>
          <cell r="W8"/>
          <cell r="X8"/>
          <cell r="Y8" t="str">
            <v>COMPRA INTELIGENTE</v>
          </cell>
          <cell r="Z8"/>
          <cell r="AA8"/>
          <cell r="AB8"/>
          <cell r="AC8"/>
          <cell r="AD8"/>
          <cell r="AE8"/>
          <cell r="AF8"/>
          <cell r="AG8" t="str">
            <v>∆ Precio 
Lista M-1</v>
          </cell>
        </row>
        <row r="9">
          <cell r="D9"/>
          <cell r="E9"/>
          <cell r="F9"/>
          <cell r="G9" t="str">
            <v>CON IVA</v>
          </cell>
          <cell r="H9" t="str">
            <v>SIN IVA</v>
          </cell>
          <cell r="I9"/>
          <cell r="J9" t="str">
            <v>BONO CON IVA</v>
          </cell>
          <cell r="K9" t="str">
            <v>BONO SIN IVA</v>
          </cell>
          <cell r="L9" t="str">
            <v>APORTE RED</v>
          </cell>
          <cell r="M9" t="str">
            <v>APORTE STELLANTIS</v>
          </cell>
          <cell r="N9" t="str">
            <v>PRECIO CON IVA</v>
          </cell>
          <cell r="O9" t="str">
            <v>PRECIO SIN IVA</v>
          </cell>
          <cell r="P9"/>
          <cell r="Q9" t="str">
            <v>BONO CON IVA</v>
          </cell>
          <cell r="R9" t="str">
            <v>BONO SIN IVA</v>
          </cell>
          <cell r="S9" t="str">
            <v>APORTE RED</v>
          </cell>
          <cell r="T9" t="str">
            <v>APORTE STELLANTIS</v>
          </cell>
          <cell r="U9" t="str">
            <v>APORTE FINANCIERA</v>
          </cell>
          <cell r="V9" t="str">
            <v>PRECIO CON IVA</v>
          </cell>
          <cell r="W9" t="str">
            <v>PRECIO SIN IVA</v>
          </cell>
          <cell r="X9"/>
          <cell r="Y9" t="str">
            <v>BONO CON IVA</v>
          </cell>
          <cell r="Z9" t="str">
            <v>BONO SIN IVA</v>
          </cell>
          <cell r="AA9" t="str">
            <v>APORTE RED</v>
          </cell>
          <cell r="AB9" t="str">
            <v>APORTE STELLANTIS</v>
          </cell>
          <cell r="AC9" t="str">
            <v>APORTE FINANCIERA</v>
          </cell>
          <cell r="AD9" t="str">
            <v>PRECIO CON IVA</v>
          </cell>
          <cell r="AE9" t="str">
            <v>PRECIO SIN IVA</v>
          </cell>
          <cell r="AF9"/>
          <cell r="AG9"/>
        </row>
        <row r="10">
          <cell r="D10"/>
          <cell r="E10"/>
          <cell r="F10"/>
          <cell r="G10"/>
          <cell r="H10"/>
          <cell r="I10"/>
          <cell r="J10"/>
          <cell r="K10"/>
          <cell r="L10"/>
          <cell r="M10"/>
          <cell r="N10"/>
          <cell r="O10"/>
          <cell r="P10"/>
          <cell r="Q10"/>
          <cell r="R10"/>
          <cell r="S10"/>
          <cell r="T10"/>
          <cell r="U10"/>
          <cell r="V10"/>
          <cell r="W10"/>
          <cell r="X10"/>
          <cell r="Y10"/>
          <cell r="Z10"/>
          <cell r="AA10"/>
          <cell r="AB10"/>
          <cell r="AC10"/>
          <cell r="AD10"/>
          <cell r="AE10"/>
          <cell r="AF10"/>
          <cell r="AG10"/>
        </row>
        <row r="11"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  <cell r="Z11"/>
          <cell r="AA11"/>
          <cell r="AB11"/>
          <cell r="AC11"/>
          <cell r="AD11"/>
          <cell r="AE11"/>
          <cell r="AF11"/>
          <cell r="AG11"/>
        </row>
        <row r="12">
          <cell r="D12" t="str">
            <v>2PK91CNMNKJRA070072</v>
          </cell>
          <cell r="E12" t="str">
            <v>PG9508E60524S01-6</v>
          </cell>
          <cell r="F12"/>
          <cell r="G12">
            <v>23312100</v>
          </cell>
          <cell r="H12">
            <v>19590000</v>
          </cell>
          <cell r="I12"/>
          <cell r="J12">
            <v>2023000</v>
          </cell>
          <cell r="K12">
            <v>1700000</v>
          </cell>
          <cell r="L12">
            <v>489750</v>
          </cell>
          <cell r="M12">
            <v>1210250</v>
          </cell>
          <cell r="N12">
            <v>21289100</v>
          </cell>
          <cell r="O12">
            <v>17890000</v>
          </cell>
          <cell r="P12"/>
          <cell r="Q12">
            <v>2618000</v>
          </cell>
          <cell r="R12">
            <v>2200000</v>
          </cell>
          <cell r="S12">
            <v>489750</v>
          </cell>
          <cell r="T12">
            <v>1210250</v>
          </cell>
          <cell r="U12">
            <v>500000</v>
          </cell>
          <cell r="V12">
            <v>20694100</v>
          </cell>
          <cell r="W12">
            <v>17390000</v>
          </cell>
          <cell r="X12"/>
          <cell r="Y12" t="str">
            <v>N/A</v>
          </cell>
          <cell r="Z12" t="str">
            <v>N/A</v>
          </cell>
          <cell r="AA12" t="str">
            <v>N/A</v>
          </cell>
          <cell r="AB12" t="str">
            <v>N/A</v>
          </cell>
          <cell r="AC12" t="str">
            <v>N/A</v>
          </cell>
          <cell r="AD12" t="str">
            <v>N/A</v>
          </cell>
          <cell r="AE12" t="str">
            <v>N/A</v>
          </cell>
          <cell r="AF12"/>
          <cell r="AG12" t="str">
            <v>ISO</v>
          </cell>
        </row>
        <row r="13">
          <cell r="D13" t="str">
            <v>2PK95CNMNKJRA070069</v>
          </cell>
          <cell r="E13" t="str">
            <v>PG9508E60524S00-2</v>
          </cell>
          <cell r="F13"/>
          <cell r="G13">
            <v>24264100</v>
          </cell>
          <cell r="H13">
            <v>20390000</v>
          </cell>
          <cell r="I13"/>
          <cell r="J13">
            <v>2023000</v>
          </cell>
          <cell r="K13">
            <v>1700000</v>
          </cell>
          <cell r="L13">
            <v>509750</v>
          </cell>
          <cell r="M13">
            <v>1190250</v>
          </cell>
          <cell r="N13">
            <v>22241100</v>
          </cell>
          <cell r="O13">
            <v>18690000</v>
          </cell>
          <cell r="P13"/>
          <cell r="Q13">
            <v>2618000</v>
          </cell>
          <cell r="R13">
            <v>2200000</v>
          </cell>
          <cell r="S13">
            <v>509750</v>
          </cell>
          <cell r="T13">
            <v>1190250</v>
          </cell>
          <cell r="U13">
            <v>500000</v>
          </cell>
          <cell r="V13">
            <v>21646100</v>
          </cell>
          <cell r="W13">
            <v>18190000</v>
          </cell>
          <cell r="X13"/>
          <cell r="Y13" t="str">
            <v>N/A</v>
          </cell>
          <cell r="Z13" t="str">
            <v>N/A</v>
          </cell>
          <cell r="AA13" t="str">
            <v>N/A</v>
          </cell>
          <cell r="AB13" t="str">
            <v>N/A</v>
          </cell>
          <cell r="AC13" t="str">
            <v>N/A</v>
          </cell>
          <cell r="AD13" t="str">
            <v>N/A</v>
          </cell>
          <cell r="AE13" t="str">
            <v>N/A</v>
          </cell>
          <cell r="AF13"/>
          <cell r="AG13" t="str">
            <v>ISO</v>
          </cell>
        </row>
        <row r="14">
          <cell r="D14"/>
          <cell r="E14"/>
          <cell r="F14"/>
          <cell r="G14"/>
          <cell r="H14"/>
          <cell r="I14"/>
          <cell r="J14"/>
          <cell r="K14"/>
          <cell r="L14"/>
          <cell r="M14"/>
          <cell r="N14"/>
          <cell r="O14"/>
          <cell r="P14"/>
          <cell r="Q14"/>
          <cell r="R14"/>
          <cell r="S14"/>
          <cell r="T14"/>
          <cell r="U14"/>
          <cell r="V14"/>
          <cell r="W14"/>
          <cell r="X14"/>
          <cell r="Y14"/>
          <cell r="Z14"/>
          <cell r="AA14"/>
          <cell r="AB14"/>
          <cell r="AC14"/>
          <cell r="AD14"/>
          <cell r="AE14"/>
          <cell r="AF14"/>
          <cell r="AG14"/>
        </row>
        <row r="15">
          <cell r="D15"/>
          <cell r="E15"/>
          <cell r="F15"/>
          <cell r="G15"/>
          <cell r="H15"/>
          <cell r="I15"/>
          <cell r="J15"/>
          <cell r="K15"/>
          <cell r="L15"/>
          <cell r="M15"/>
          <cell r="N15"/>
          <cell r="O15"/>
          <cell r="P15"/>
          <cell r="Q15"/>
          <cell r="R15"/>
          <cell r="S15"/>
          <cell r="T15"/>
          <cell r="U15"/>
          <cell r="V15"/>
          <cell r="W15"/>
          <cell r="X15"/>
          <cell r="Y15"/>
          <cell r="Z15"/>
          <cell r="AA15"/>
          <cell r="AB15"/>
          <cell r="AC15"/>
          <cell r="AD15"/>
          <cell r="AE15"/>
          <cell r="AF15"/>
          <cell r="AG15"/>
        </row>
        <row r="16">
          <cell r="D16" t="str">
            <v>2PK0F3NWRKJRA0J0088</v>
          </cell>
          <cell r="E16" t="str">
            <v>PG9683E61024M00-6</v>
          </cell>
          <cell r="F16"/>
          <cell r="G16">
            <v>32118100</v>
          </cell>
          <cell r="H16">
            <v>26990000</v>
          </cell>
          <cell r="I16"/>
          <cell r="J16">
            <v>3927000</v>
          </cell>
          <cell r="K16">
            <v>3300000</v>
          </cell>
          <cell r="L16">
            <v>674750</v>
          </cell>
          <cell r="M16">
            <v>2625250</v>
          </cell>
          <cell r="N16">
            <v>28191100</v>
          </cell>
          <cell r="O16">
            <v>23690000</v>
          </cell>
          <cell r="P16"/>
          <cell r="Q16">
            <v>4522000</v>
          </cell>
          <cell r="R16">
            <v>3800000</v>
          </cell>
          <cell r="S16">
            <v>674750</v>
          </cell>
          <cell r="T16">
            <v>2625250</v>
          </cell>
          <cell r="U16">
            <v>500000</v>
          </cell>
          <cell r="V16">
            <v>27596100</v>
          </cell>
          <cell r="W16">
            <v>23190000</v>
          </cell>
          <cell r="X16"/>
          <cell r="Y16" t="str">
            <v>N/A</v>
          </cell>
          <cell r="Z16" t="str">
            <v>N/A</v>
          </cell>
          <cell r="AA16" t="str">
            <v>N/A</v>
          </cell>
          <cell r="AB16" t="str">
            <v>N/A</v>
          </cell>
          <cell r="AC16" t="str">
            <v>N/A</v>
          </cell>
          <cell r="AD16" t="str">
            <v>N/A</v>
          </cell>
          <cell r="AE16" t="str">
            <v>N/A</v>
          </cell>
          <cell r="AF16"/>
          <cell r="AG16" t="str">
            <v>ISO</v>
          </cell>
        </row>
        <row r="17">
          <cell r="D17"/>
          <cell r="E17"/>
          <cell r="F17"/>
          <cell r="G17"/>
          <cell r="H17"/>
          <cell r="I17"/>
          <cell r="J17"/>
          <cell r="K17"/>
          <cell r="L17"/>
          <cell r="M17"/>
          <cell r="N17"/>
          <cell r="O17"/>
          <cell r="P17"/>
          <cell r="Q17"/>
          <cell r="R17"/>
          <cell r="S17"/>
          <cell r="T17"/>
          <cell r="U17"/>
          <cell r="V17"/>
          <cell r="W17"/>
          <cell r="X17"/>
          <cell r="Y17"/>
          <cell r="Z17"/>
          <cell r="AA17"/>
          <cell r="AB17"/>
          <cell r="AC17"/>
          <cell r="AD17"/>
          <cell r="AE17"/>
          <cell r="AF17"/>
          <cell r="AG17"/>
        </row>
        <row r="18"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  <cell r="Z18"/>
          <cell r="AA18"/>
          <cell r="AB18"/>
          <cell r="AC18"/>
          <cell r="AD18"/>
          <cell r="AE18"/>
          <cell r="AF18"/>
          <cell r="AG18"/>
        </row>
        <row r="19">
          <cell r="D19" t="str">
            <v>1PK0NPQWQ1JRA0K0348</v>
          </cell>
          <cell r="E19" t="str">
            <v>PG9610E60824M00-2</v>
          </cell>
          <cell r="F19"/>
          <cell r="G19">
            <v>36997100</v>
          </cell>
          <cell r="H19">
            <v>31090000</v>
          </cell>
          <cell r="I19"/>
          <cell r="J19">
            <v>4641000</v>
          </cell>
          <cell r="K19">
            <v>3900000</v>
          </cell>
          <cell r="L19">
            <v>777250</v>
          </cell>
          <cell r="M19">
            <v>3122750</v>
          </cell>
          <cell r="N19">
            <v>32356100</v>
          </cell>
          <cell r="O19">
            <v>27190000</v>
          </cell>
          <cell r="P19"/>
          <cell r="Q19">
            <v>5236000</v>
          </cell>
          <cell r="R19">
            <v>4400000</v>
          </cell>
          <cell r="S19">
            <v>777250</v>
          </cell>
          <cell r="T19">
            <v>3122750</v>
          </cell>
          <cell r="U19">
            <v>500000</v>
          </cell>
          <cell r="V19">
            <v>31761100</v>
          </cell>
          <cell r="W19">
            <v>26690000</v>
          </cell>
          <cell r="X19"/>
          <cell r="Y19" t="str">
            <v>N/A</v>
          </cell>
          <cell r="Z19" t="str">
            <v>N/A</v>
          </cell>
          <cell r="AA19" t="str">
            <v>N/A</v>
          </cell>
          <cell r="AB19" t="str">
            <v>N/A</v>
          </cell>
          <cell r="AC19" t="str">
            <v>N/A</v>
          </cell>
          <cell r="AD19" t="str">
            <v>N/A</v>
          </cell>
          <cell r="AE19" t="str">
            <v>N/A</v>
          </cell>
          <cell r="AF19"/>
          <cell r="AG19" t="str">
            <v>ISO</v>
          </cell>
        </row>
        <row r="20">
          <cell r="D20" t="str">
            <v>1PK0NPQWQ1JRA0K0349</v>
          </cell>
          <cell r="E20" t="str">
            <v>PG9610E60824M01-6</v>
          </cell>
          <cell r="F20"/>
          <cell r="G20">
            <v>37711100</v>
          </cell>
          <cell r="H20">
            <v>31690000</v>
          </cell>
          <cell r="I20"/>
          <cell r="J20">
            <v>4641000</v>
          </cell>
          <cell r="K20">
            <v>3900000</v>
          </cell>
          <cell r="L20">
            <v>792250</v>
          </cell>
          <cell r="M20">
            <v>3107750</v>
          </cell>
          <cell r="N20">
            <v>33070100</v>
          </cell>
          <cell r="O20">
            <v>27790000</v>
          </cell>
          <cell r="P20"/>
          <cell r="Q20">
            <v>5236000</v>
          </cell>
          <cell r="R20">
            <v>4400000</v>
          </cell>
          <cell r="S20">
            <v>792250</v>
          </cell>
          <cell r="T20">
            <v>3107750</v>
          </cell>
          <cell r="U20">
            <v>500000</v>
          </cell>
          <cell r="V20">
            <v>32475100</v>
          </cell>
          <cell r="W20">
            <v>27290000</v>
          </cell>
          <cell r="X20"/>
          <cell r="Y20" t="str">
            <v>N/A</v>
          </cell>
          <cell r="Z20" t="str">
            <v>N/A</v>
          </cell>
          <cell r="AA20" t="str">
            <v>N/A</v>
          </cell>
          <cell r="AB20" t="str">
            <v>N/A</v>
          </cell>
          <cell r="AC20" t="str">
            <v>N/A</v>
          </cell>
          <cell r="AD20" t="str">
            <v>N/A</v>
          </cell>
          <cell r="AE20" t="str">
            <v>N/A</v>
          </cell>
          <cell r="AF20"/>
          <cell r="AG20" t="str">
            <v>ISO</v>
          </cell>
        </row>
        <row r="21">
          <cell r="D21"/>
          <cell r="E21"/>
          <cell r="F21"/>
          <cell r="G21"/>
          <cell r="H21"/>
          <cell r="I21"/>
          <cell r="J21"/>
          <cell r="K21"/>
          <cell r="L21"/>
          <cell r="M21"/>
          <cell r="N21"/>
          <cell r="O21"/>
          <cell r="P21"/>
          <cell r="Q21"/>
          <cell r="R21"/>
          <cell r="S21"/>
          <cell r="T21"/>
          <cell r="U21"/>
          <cell r="V21"/>
          <cell r="W21"/>
          <cell r="X21"/>
          <cell r="Y21"/>
          <cell r="Z21"/>
          <cell r="AA21"/>
          <cell r="AB21"/>
          <cell r="AC21"/>
          <cell r="AD21"/>
          <cell r="AE21"/>
          <cell r="AF21"/>
          <cell r="AG21"/>
        </row>
        <row r="22">
          <cell r="D22"/>
          <cell r="E22"/>
          <cell r="F22"/>
          <cell r="G22"/>
          <cell r="H22"/>
          <cell r="I22"/>
          <cell r="J22"/>
          <cell r="K22"/>
          <cell r="L22"/>
          <cell r="M22"/>
          <cell r="N22"/>
          <cell r="O22"/>
          <cell r="P22"/>
          <cell r="Q22"/>
          <cell r="R22"/>
          <cell r="S22"/>
          <cell r="T22"/>
          <cell r="U22"/>
          <cell r="V22"/>
          <cell r="W22"/>
          <cell r="X22"/>
          <cell r="Y22"/>
          <cell r="Z22"/>
          <cell r="AA22"/>
          <cell r="AB22"/>
          <cell r="AC22"/>
          <cell r="AD22"/>
          <cell r="AE22"/>
          <cell r="AF22"/>
          <cell r="AG22"/>
        </row>
        <row r="23">
          <cell r="D23" t="str">
            <v>2PXE3LHOK6NXA010359</v>
          </cell>
          <cell r="E23" t="str">
            <v>PG9962E60525M03-1</v>
          </cell>
          <cell r="F23"/>
          <cell r="G23">
            <v>37354100</v>
          </cell>
          <cell r="H23">
            <v>31390000</v>
          </cell>
          <cell r="I23"/>
          <cell r="J23">
            <v>5117000</v>
          </cell>
          <cell r="K23">
            <v>4300000</v>
          </cell>
          <cell r="L23">
            <v>784750</v>
          </cell>
          <cell r="M23">
            <v>3515250</v>
          </cell>
          <cell r="N23">
            <v>32237100</v>
          </cell>
          <cell r="O23">
            <v>27090000</v>
          </cell>
          <cell r="P23"/>
          <cell r="Q23">
            <v>6188000</v>
          </cell>
          <cell r="R23">
            <v>5200000</v>
          </cell>
          <cell r="S23">
            <v>784750</v>
          </cell>
          <cell r="T23">
            <v>3515250</v>
          </cell>
          <cell r="U23">
            <v>900000</v>
          </cell>
          <cell r="V23">
            <v>31166100</v>
          </cell>
          <cell r="W23">
            <v>26190000</v>
          </cell>
          <cell r="X23"/>
          <cell r="Y23" t="str">
            <v>N/A</v>
          </cell>
          <cell r="Z23" t="str">
            <v>N/A</v>
          </cell>
          <cell r="AA23" t="str">
            <v>N/A</v>
          </cell>
          <cell r="AB23" t="str">
            <v>N/A</v>
          </cell>
          <cell r="AC23" t="str">
            <v>N/A</v>
          </cell>
          <cell r="AD23" t="str">
            <v>N/A</v>
          </cell>
          <cell r="AE23" t="str">
            <v>N/A</v>
          </cell>
          <cell r="AF23"/>
          <cell r="AG23" t="str">
            <v>ISO</v>
          </cell>
        </row>
        <row r="24">
          <cell r="D24" t="str">
            <v>2PXE5LHOK6NXA010359</v>
          </cell>
          <cell r="E24" t="str">
            <v>PG9962E60525M02-8</v>
          </cell>
          <cell r="F24"/>
          <cell r="G24">
            <v>38663100</v>
          </cell>
          <cell r="H24">
            <v>32490000</v>
          </cell>
          <cell r="I24"/>
          <cell r="J24">
            <v>4760000</v>
          </cell>
          <cell r="K24">
            <v>4000000</v>
          </cell>
          <cell r="L24">
            <v>812250</v>
          </cell>
          <cell r="M24">
            <v>3187750</v>
          </cell>
          <cell r="N24">
            <v>33903100</v>
          </cell>
          <cell r="O24">
            <v>28490000</v>
          </cell>
          <cell r="P24"/>
          <cell r="Q24">
            <v>5831000</v>
          </cell>
          <cell r="R24">
            <v>4900000</v>
          </cell>
          <cell r="S24">
            <v>812250</v>
          </cell>
          <cell r="T24">
            <v>3187750</v>
          </cell>
          <cell r="U24">
            <v>900000</v>
          </cell>
          <cell r="V24">
            <v>32832100</v>
          </cell>
          <cell r="W24">
            <v>27590000</v>
          </cell>
          <cell r="X24"/>
          <cell r="Y24" t="str">
            <v>N/A</v>
          </cell>
          <cell r="Z24" t="str">
            <v>N/A</v>
          </cell>
          <cell r="AA24" t="str">
            <v>N/A</v>
          </cell>
          <cell r="AB24" t="str">
            <v>N/A</v>
          </cell>
          <cell r="AC24" t="str">
            <v>N/A</v>
          </cell>
          <cell r="AD24" t="str">
            <v>N/A</v>
          </cell>
          <cell r="AE24" t="str">
            <v>N/A</v>
          </cell>
          <cell r="AF24"/>
          <cell r="AG24" t="str">
            <v>ISO</v>
          </cell>
        </row>
        <row r="25">
          <cell r="D25" t="str">
            <v>2PXE7LHOK6NXA010360</v>
          </cell>
          <cell r="E25" t="str">
            <v>PG9962E60525M00-0</v>
          </cell>
          <cell r="F25"/>
          <cell r="G25">
            <v>39853100</v>
          </cell>
          <cell r="H25">
            <v>33490000</v>
          </cell>
          <cell r="I25"/>
          <cell r="J25">
            <v>4046000</v>
          </cell>
          <cell r="K25">
            <v>3400000</v>
          </cell>
          <cell r="L25">
            <v>837250</v>
          </cell>
          <cell r="M25">
            <v>2562750</v>
          </cell>
          <cell r="N25">
            <v>35807100</v>
          </cell>
          <cell r="O25">
            <v>30090000</v>
          </cell>
          <cell r="P25"/>
          <cell r="Q25">
            <v>5117000</v>
          </cell>
          <cell r="R25">
            <v>4300000</v>
          </cell>
          <cell r="S25">
            <v>837250</v>
          </cell>
          <cell r="T25">
            <v>2562750</v>
          </cell>
          <cell r="U25">
            <v>900000</v>
          </cell>
          <cell r="V25">
            <v>34736100</v>
          </cell>
          <cell r="W25">
            <v>29190000</v>
          </cell>
          <cell r="X25"/>
          <cell r="Y25" t="str">
            <v>N/A</v>
          </cell>
          <cell r="Z25" t="str">
            <v>N/A</v>
          </cell>
          <cell r="AA25" t="str">
            <v>N/A</v>
          </cell>
          <cell r="AB25" t="str">
            <v>N/A</v>
          </cell>
          <cell r="AC25" t="str">
            <v>N/A</v>
          </cell>
          <cell r="AD25" t="str">
            <v>N/A</v>
          </cell>
          <cell r="AE25" t="str">
            <v>N/A</v>
          </cell>
          <cell r="AF25"/>
          <cell r="AG25" t="str">
            <v>ISO</v>
          </cell>
        </row>
        <row r="26">
          <cell r="D26"/>
          <cell r="E26"/>
          <cell r="F26"/>
          <cell r="G26"/>
          <cell r="H26"/>
          <cell r="I26"/>
          <cell r="J26"/>
          <cell r="K26"/>
          <cell r="L26"/>
          <cell r="M26"/>
          <cell r="N26"/>
          <cell r="O26"/>
          <cell r="P26"/>
          <cell r="Q26"/>
          <cell r="R26"/>
          <cell r="S26"/>
          <cell r="T26"/>
          <cell r="U26"/>
          <cell r="V26"/>
          <cell r="W26"/>
          <cell r="X26"/>
          <cell r="Y26"/>
          <cell r="Z26"/>
          <cell r="AA26"/>
          <cell r="AB26"/>
          <cell r="AC26"/>
          <cell r="AD26"/>
          <cell r="AE26"/>
          <cell r="AF26"/>
          <cell r="AG26"/>
        </row>
        <row r="27">
          <cell r="D27"/>
          <cell r="E27"/>
          <cell r="F27"/>
          <cell r="G27"/>
          <cell r="H27"/>
          <cell r="I27"/>
          <cell r="J27"/>
          <cell r="K27"/>
          <cell r="L27"/>
          <cell r="M27"/>
          <cell r="N27"/>
          <cell r="O27"/>
          <cell r="P27"/>
          <cell r="Q27"/>
          <cell r="R27"/>
          <cell r="S27"/>
          <cell r="T27"/>
          <cell r="U27"/>
          <cell r="V27"/>
          <cell r="W27"/>
          <cell r="X27"/>
          <cell r="Y27"/>
          <cell r="Z27"/>
          <cell r="AA27"/>
          <cell r="AB27"/>
          <cell r="AC27"/>
          <cell r="AD27"/>
          <cell r="AE27"/>
          <cell r="AF27"/>
          <cell r="AG27"/>
        </row>
        <row r="28">
          <cell r="D28" t="str">
            <v>2PKPEKQO0DNXA030000</v>
          </cell>
          <cell r="E28" t="str">
            <v>PG9878E60325M00-6</v>
          </cell>
          <cell r="F28"/>
          <cell r="G28">
            <v>37830100</v>
          </cell>
          <cell r="H28">
            <v>31790000</v>
          </cell>
          <cell r="I28"/>
          <cell r="J28">
            <v>8568000</v>
          </cell>
          <cell r="K28">
            <v>7200000</v>
          </cell>
          <cell r="L28">
            <v>794750</v>
          </cell>
          <cell r="M28">
            <v>6405250</v>
          </cell>
          <cell r="N28">
            <v>29262100</v>
          </cell>
          <cell r="O28">
            <v>24590000</v>
          </cell>
          <cell r="P28"/>
          <cell r="Q28">
            <v>9163000</v>
          </cell>
          <cell r="R28">
            <v>7700000</v>
          </cell>
          <cell r="S28">
            <v>794750</v>
          </cell>
          <cell r="T28">
            <v>6405250</v>
          </cell>
          <cell r="U28">
            <v>500000</v>
          </cell>
          <cell r="V28">
            <v>28667100</v>
          </cell>
          <cell r="W28">
            <v>24090000</v>
          </cell>
          <cell r="X28"/>
          <cell r="Y28">
            <v>10115000</v>
          </cell>
          <cell r="Z28">
            <v>8500000</v>
          </cell>
          <cell r="AA28">
            <v>794750</v>
          </cell>
          <cell r="AB28">
            <v>6405250</v>
          </cell>
          <cell r="AC28">
            <v>1300000</v>
          </cell>
          <cell r="AD28">
            <v>27715100</v>
          </cell>
          <cell r="AE28">
            <v>23290000</v>
          </cell>
          <cell r="AF28"/>
          <cell r="AG28" t="str">
            <v>ISO</v>
          </cell>
        </row>
        <row r="29"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  <cell r="Z29"/>
          <cell r="AA29"/>
          <cell r="AB29"/>
          <cell r="AC29"/>
          <cell r="AD29"/>
          <cell r="AE29"/>
          <cell r="AF29"/>
          <cell r="AG29"/>
        </row>
        <row r="31">
          <cell r="K31"/>
        </row>
      </sheetData>
      <sheetData sheetId="2"/>
      <sheetData sheetId="3"/>
      <sheetData sheetId="4"/>
      <sheetData sheetId="5"/>
      <sheetData sheetId="6"/>
      <sheetData sheetId="7">
        <row r="1">
          <cell r="A1"/>
          <cell r="B1"/>
          <cell r="C1"/>
          <cell r="D1"/>
          <cell r="E1"/>
          <cell r="F1"/>
          <cell r="G1"/>
          <cell r="H1"/>
          <cell r="I1"/>
          <cell r="J1"/>
          <cell r="K1"/>
          <cell r="L1"/>
          <cell r="M1"/>
          <cell r="N1"/>
          <cell r="O1"/>
          <cell r="P1"/>
          <cell r="Q1"/>
          <cell r="R1"/>
          <cell r="S1"/>
          <cell r="T1"/>
          <cell r="U1"/>
          <cell r="V1"/>
          <cell r="W1"/>
          <cell r="X1"/>
          <cell r="Y1"/>
        </row>
        <row r="2">
          <cell r="A2"/>
          <cell r="B2"/>
          <cell r="C2"/>
          <cell r="D2"/>
          <cell r="E2"/>
          <cell r="F2"/>
          <cell r="G2"/>
          <cell r="H2"/>
          <cell r="I2"/>
          <cell r="J2"/>
          <cell r="K2"/>
          <cell r="L2"/>
          <cell r="M2"/>
          <cell r="N2"/>
          <cell r="O2"/>
          <cell r="P2"/>
          <cell r="Q2"/>
          <cell r="R2"/>
          <cell r="S2"/>
          <cell r="T2"/>
          <cell r="U2"/>
          <cell r="V2"/>
          <cell r="W2"/>
          <cell r="X2"/>
          <cell r="Y2"/>
        </row>
        <row r="3">
          <cell r="A3"/>
          <cell r="B3"/>
          <cell r="C3"/>
          <cell r="D3"/>
          <cell r="E3"/>
          <cell r="F3"/>
          <cell r="G3"/>
          <cell r="H3"/>
          <cell r="I3"/>
          <cell r="J3"/>
          <cell r="K3"/>
          <cell r="L3"/>
          <cell r="M3"/>
          <cell r="N3"/>
          <cell r="O3"/>
          <cell r="P3"/>
          <cell r="Q3"/>
          <cell r="R3"/>
          <cell r="S3"/>
          <cell r="T3"/>
          <cell r="U3"/>
          <cell r="V3"/>
          <cell r="W3"/>
          <cell r="X3"/>
          <cell r="Y3"/>
        </row>
        <row r="4">
          <cell r="A4"/>
          <cell r="B4"/>
          <cell r="C4"/>
          <cell r="D4" t="str">
            <v>LISTA DE PRECIOS ACCIÓN "BONO O GIFT CARD"</v>
          </cell>
          <cell r="E4"/>
          <cell r="F4"/>
          <cell r="G4"/>
          <cell r="H4"/>
          <cell r="I4"/>
          <cell r="J4"/>
          <cell r="K4"/>
          <cell r="L4"/>
          <cell r="M4"/>
          <cell r="N4"/>
          <cell r="O4"/>
          <cell r="P4"/>
          <cell r="Q4"/>
          <cell r="R4"/>
          <cell r="S4"/>
          <cell r="T4"/>
          <cell r="U4"/>
          <cell r="V4"/>
          <cell r="W4"/>
          <cell r="X4"/>
          <cell r="Y4"/>
        </row>
        <row r="5">
          <cell r="A5"/>
          <cell r="B5"/>
          <cell r="C5"/>
          <cell r="D5"/>
          <cell r="E5" t="str">
            <v>VIGENCIA ENTRE EL 1 AL 31 DE DICIEMBRE</v>
          </cell>
          <cell r="F5"/>
          <cell r="G5"/>
          <cell r="H5"/>
          <cell r="I5"/>
          <cell r="J5"/>
          <cell r="K5"/>
          <cell r="L5"/>
          <cell r="M5"/>
          <cell r="N5"/>
          <cell r="O5"/>
          <cell r="P5"/>
          <cell r="Q5"/>
          <cell r="R5"/>
          <cell r="S5"/>
          <cell r="T5"/>
          <cell r="U5"/>
          <cell r="V5"/>
          <cell r="W5"/>
          <cell r="X5"/>
          <cell r="Y5"/>
        </row>
        <row r="6">
          <cell r="A6"/>
          <cell r="B6"/>
          <cell r="C6"/>
          <cell r="D6"/>
          <cell r="E6"/>
          <cell r="F6"/>
          <cell r="G6"/>
          <cell r="H6"/>
          <cell r="I6"/>
          <cell r="J6"/>
          <cell r="K6"/>
          <cell r="L6"/>
          <cell r="M6"/>
          <cell r="N6"/>
          <cell r="O6"/>
          <cell r="P6"/>
          <cell r="Q6"/>
          <cell r="R6"/>
          <cell r="S6"/>
          <cell r="T6"/>
          <cell r="U6"/>
          <cell r="V6"/>
          <cell r="W6"/>
          <cell r="X6"/>
          <cell r="Y6"/>
        </row>
        <row r="7">
          <cell r="A7"/>
          <cell r="B7"/>
          <cell r="C7"/>
          <cell r="D7"/>
          <cell r="E7"/>
          <cell r="F7"/>
          <cell r="G7"/>
          <cell r="H7"/>
          <cell r="I7"/>
          <cell r="J7"/>
          <cell r="K7"/>
          <cell r="L7"/>
          <cell r="M7"/>
          <cell r="N7"/>
          <cell r="O7"/>
          <cell r="P7"/>
          <cell r="Q7"/>
          <cell r="R7"/>
          <cell r="S7"/>
          <cell r="T7"/>
          <cell r="U7"/>
          <cell r="V7"/>
          <cell r="W7"/>
          <cell r="X7"/>
          <cell r="Y7"/>
        </row>
        <row r="8">
          <cell r="A8"/>
          <cell r="B8"/>
          <cell r="C8"/>
          <cell r="D8"/>
          <cell r="E8"/>
          <cell r="F8"/>
          <cell r="G8"/>
          <cell r="H8"/>
          <cell r="I8"/>
          <cell r="J8"/>
          <cell r="K8"/>
          <cell r="L8"/>
          <cell r="M8"/>
          <cell r="N8"/>
          <cell r="O8"/>
          <cell r="P8"/>
          <cell r="Q8"/>
          <cell r="R8"/>
          <cell r="S8"/>
          <cell r="T8"/>
          <cell r="U8"/>
          <cell r="V8"/>
          <cell r="W8"/>
          <cell r="X8"/>
          <cell r="Y8"/>
        </row>
        <row r="9">
          <cell r="A9"/>
          <cell r="B9"/>
          <cell r="C9" t="str">
            <v>Vehículos Pasajeros</v>
          </cell>
          <cell r="D9" t="str">
            <v>LCDV</v>
          </cell>
          <cell r="E9" t="str">
            <v>CIT</v>
          </cell>
          <cell r="F9"/>
          <cell r="G9" t="str">
            <v>Precio Lista</v>
          </cell>
          <cell r="H9"/>
          <cell r="I9"/>
          <cell r="J9" t="str">
            <v>Todo medio de pago</v>
          </cell>
          <cell r="K9"/>
          <cell r="L9"/>
          <cell r="M9"/>
          <cell r="N9"/>
          <cell r="O9" t="str">
            <v>Crédito Convencional</v>
          </cell>
          <cell r="P9"/>
          <cell r="Q9"/>
          <cell r="R9"/>
          <cell r="S9"/>
          <cell r="T9"/>
          <cell r="U9" t="str">
            <v>Compra Inteligente</v>
          </cell>
          <cell r="V9" t="str">
            <v>APORTE RED</v>
          </cell>
          <cell r="W9"/>
          <cell r="X9" t="str">
            <v>APORTE PCH</v>
          </cell>
          <cell r="Y9" t="str">
            <v>PRECIO PROMOCIONAL</v>
          </cell>
        </row>
        <row r="10">
          <cell r="A10" t="str">
            <v>CDC Ref</v>
          </cell>
          <cell r="B10"/>
          <cell r="C10"/>
          <cell r="D10"/>
          <cell r="E10"/>
          <cell r="F10"/>
          <cell r="G10" t="str">
            <v>c/IVA</v>
          </cell>
          <cell r="H10" t="str">
            <v>s/IVA</v>
          </cell>
          <cell r="I10"/>
          <cell r="J10" t="str">
            <v>Bono</v>
          </cell>
          <cell r="K10" t="str">
            <v>Aporte Red</v>
          </cell>
          <cell r="L10" t="str">
            <v>Aporte PCH</v>
          </cell>
          <cell r="M10" t="str">
            <v>Precio Promo</v>
          </cell>
          <cell r="N10"/>
          <cell r="O10" t="str">
            <v>Bono</v>
          </cell>
          <cell r="P10" t="str">
            <v>Aporte Red</v>
          </cell>
          <cell r="Q10" t="str">
            <v>Aporte Forum</v>
          </cell>
          <cell r="R10" t="str">
            <v>Aporte PCH</v>
          </cell>
          <cell r="S10" t="str">
            <v>Precio Promo</v>
          </cell>
          <cell r="T10"/>
          <cell r="U10" t="str">
            <v>Bono</v>
          </cell>
          <cell r="V10" t="str">
            <v>Aporte Red</v>
          </cell>
          <cell r="W10" t="str">
            <v>Aporte Forum</v>
          </cell>
          <cell r="X10" t="str">
            <v>Aporte PCH</v>
          </cell>
          <cell r="Y10" t="str">
            <v>Precio Promo</v>
          </cell>
        </row>
        <row r="11">
          <cell r="B11"/>
          <cell r="C11"/>
          <cell r="D11"/>
          <cell r="E11"/>
          <cell r="F11"/>
          <cell r="G11"/>
          <cell r="H11"/>
          <cell r="I11"/>
          <cell r="J11"/>
          <cell r="K11"/>
          <cell r="L11"/>
          <cell r="M11"/>
          <cell r="N11"/>
          <cell r="O11"/>
          <cell r="P11"/>
          <cell r="Q11"/>
          <cell r="R11"/>
          <cell r="S11"/>
          <cell r="T11"/>
          <cell r="U11"/>
          <cell r="V11"/>
          <cell r="W11"/>
          <cell r="X11"/>
          <cell r="Y11"/>
        </row>
        <row r="12">
          <cell r="A12"/>
          <cell r="B12"/>
          <cell r="C12" t="str">
            <v>208 MCA</v>
          </cell>
          <cell r="D12"/>
          <cell r="E12"/>
          <cell r="F12"/>
          <cell r="G12"/>
          <cell r="H12"/>
          <cell r="I12"/>
          <cell r="J12"/>
          <cell r="K12"/>
          <cell r="L12"/>
          <cell r="M12"/>
          <cell r="N12"/>
          <cell r="O12"/>
          <cell r="P12"/>
          <cell r="Q12"/>
          <cell r="R12"/>
          <cell r="S12"/>
          <cell r="T12"/>
          <cell r="U12"/>
          <cell r="V12"/>
          <cell r="W12"/>
          <cell r="X12"/>
          <cell r="Y12"/>
        </row>
        <row r="13">
          <cell r="A13" t="str">
            <v>1PP2A5HJUJJRA0</v>
          </cell>
          <cell r="B13"/>
          <cell r="C13" t="str">
            <v>New 208 MCA Active Puretech 75</v>
          </cell>
          <cell r="D13" t="e">
            <v>#N/A</v>
          </cell>
          <cell r="E13" t="e">
            <v>#N/A</v>
          </cell>
          <cell r="F13"/>
          <cell r="G13">
            <v>16690000</v>
          </cell>
          <cell r="H13">
            <v>14025210.084033614</v>
          </cell>
          <cell r="I13"/>
          <cell r="J13">
            <v>800000</v>
          </cell>
          <cell r="K13">
            <v>400000</v>
          </cell>
          <cell r="L13">
            <v>400000</v>
          </cell>
          <cell r="M13">
            <v>15890000</v>
          </cell>
          <cell r="N13"/>
          <cell r="O13">
            <v>1100000</v>
          </cell>
          <cell r="P13">
            <v>400000</v>
          </cell>
          <cell r="Q13">
            <v>300000</v>
          </cell>
          <cell r="R13">
            <v>400000</v>
          </cell>
          <cell r="S13">
            <v>15590000</v>
          </cell>
          <cell r="T13"/>
          <cell r="U13">
            <v>2900000</v>
          </cell>
          <cell r="V13">
            <v>400000</v>
          </cell>
          <cell r="W13">
            <v>2100000</v>
          </cell>
          <cell r="X13">
            <v>400000</v>
          </cell>
          <cell r="Y13">
            <v>13790000</v>
          </cell>
        </row>
        <row r="14">
          <cell r="A14" t="str">
            <v>1PP2A5HL6KJRA0</v>
          </cell>
          <cell r="B14"/>
          <cell r="C14" t="str">
            <v>New 208 MCA Active Puretech 100</v>
          </cell>
          <cell r="D14" t="e">
            <v>#N/A</v>
          </cell>
          <cell r="E14" t="e">
            <v>#N/A</v>
          </cell>
          <cell r="F14"/>
          <cell r="G14">
            <v>18790000</v>
          </cell>
          <cell r="H14">
            <v>15789915.966386555</v>
          </cell>
          <cell r="I14"/>
          <cell r="J14">
            <v>800000</v>
          </cell>
          <cell r="K14">
            <v>400000</v>
          </cell>
          <cell r="L14">
            <v>400000</v>
          </cell>
          <cell r="M14">
            <v>17990000</v>
          </cell>
          <cell r="N14"/>
          <cell r="O14">
            <v>1100000</v>
          </cell>
          <cell r="P14">
            <v>400000</v>
          </cell>
          <cell r="Q14">
            <v>300000</v>
          </cell>
          <cell r="R14">
            <v>400000</v>
          </cell>
          <cell r="S14">
            <v>17690000</v>
          </cell>
          <cell r="T14"/>
          <cell r="U14">
            <v>2900000</v>
          </cell>
          <cell r="V14">
            <v>400000</v>
          </cell>
          <cell r="W14">
            <v>2100000</v>
          </cell>
          <cell r="X14">
            <v>400000</v>
          </cell>
          <cell r="Y14">
            <v>15890000</v>
          </cell>
        </row>
        <row r="15">
          <cell r="A15" t="str">
            <v>1PP2A5PM61JRA0</v>
          </cell>
          <cell r="B15"/>
          <cell r="C15" t="str">
            <v>New 208 MCA Allure Puretech 130 EAT8</v>
          </cell>
          <cell r="D15" t="e">
            <v>#N/A</v>
          </cell>
          <cell r="E15" t="e">
            <v>#N/A</v>
          </cell>
          <cell r="F15"/>
          <cell r="G15">
            <v>21390000</v>
          </cell>
          <cell r="H15">
            <v>17974789.915966388</v>
          </cell>
          <cell r="I15"/>
          <cell r="J15">
            <v>800000</v>
          </cell>
          <cell r="K15">
            <v>400000</v>
          </cell>
          <cell r="L15">
            <v>400000</v>
          </cell>
          <cell r="M15">
            <v>20590000</v>
          </cell>
          <cell r="N15"/>
          <cell r="O15">
            <v>1100000</v>
          </cell>
          <cell r="P15">
            <v>400000</v>
          </cell>
          <cell r="Q15">
            <v>300000</v>
          </cell>
          <cell r="R15">
            <v>400000</v>
          </cell>
          <cell r="S15">
            <v>20290000</v>
          </cell>
          <cell r="T15"/>
          <cell r="U15">
            <v>2900000</v>
          </cell>
          <cell r="V15">
            <v>400000</v>
          </cell>
          <cell r="W15">
            <v>2100000</v>
          </cell>
          <cell r="X15">
            <v>400000</v>
          </cell>
          <cell r="Y15">
            <v>18490000</v>
          </cell>
        </row>
        <row r="16">
          <cell r="A16" t="str">
            <v>1PP2MCA-MHEV</v>
          </cell>
          <cell r="B16"/>
          <cell r="C16" t="str">
            <v>New 208 MCA Allure MHEV 136 EDCT6</v>
          </cell>
          <cell r="D16" t="e">
            <v>#N/A</v>
          </cell>
          <cell r="E16" t="e">
            <v>#N/A</v>
          </cell>
          <cell r="F16"/>
          <cell r="G16">
            <v>24790000</v>
          </cell>
          <cell r="H16">
            <v>20831932.773109246</v>
          </cell>
          <cell r="I16"/>
          <cell r="J16">
            <v>1100000</v>
          </cell>
          <cell r="K16">
            <v>550000</v>
          </cell>
          <cell r="L16">
            <v>550000</v>
          </cell>
          <cell r="M16">
            <v>23690000</v>
          </cell>
          <cell r="N16"/>
          <cell r="O16">
            <v>1400000</v>
          </cell>
          <cell r="P16">
            <v>550000</v>
          </cell>
          <cell r="Q16">
            <v>300000</v>
          </cell>
          <cell r="R16">
            <v>550000</v>
          </cell>
          <cell r="S16">
            <v>23390000</v>
          </cell>
          <cell r="T16"/>
          <cell r="U16">
            <v>3200000</v>
          </cell>
          <cell r="V16">
            <v>550000</v>
          </cell>
          <cell r="W16">
            <v>2100000</v>
          </cell>
          <cell r="X16">
            <v>550000</v>
          </cell>
          <cell r="Y16">
            <v>21590000</v>
          </cell>
        </row>
        <row r="17">
          <cell r="A17" t="str">
            <v>1PP2MCA-EV</v>
          </cell>
          <cell r="B17"/>
          <cell r="C17" t="str">
            <v xml:space="preserve">208 MCA GT EV </v>
          </cell>
          <cell r="D17" t="e">
            <v>#N/A</v>
          </cell>
          <cell r="E17" t="e">
            <v>#N/A</v>
          </cell>
          <cell r="F17"/>
          <cell r="G17">
            <v>35690000</v>
          </cell>
          <cell r="H17">
            <v>29991596.638655465</v>
          </cell>
          <cell r="I17"/>
          <cell r="J17">
            <v>2000000</v>
          </cell>
          <cell r="K17">
            <v>1000000</v>
          </cell>
          <cell r="L17">
            <v>1000000</v>
          </cell>
          <cell r="M17">
            <v>33690000</v>
          </cell>
          <cell r="N17"/>
          <cell r="O17">
            <v>2600000</v>
          </cell>
          <cell r="P17">
            <v>1000000</v>
          </cell>
          <cell r="Q17">
            <v>600000</v>
          </cell>
          <cell r="R17">
            <v>1000000</v>
          </cell>
          <cell r="S17">
            <v>33090000</v>
          </cell>
          <cell r="T17"/>
          <cell r="U17">
            <v>3300000</v>
          </cell>
          <cell r="V17">
            <v>1000000</v>
          </cell>
          <cell r="W17">
            <v>1300000</v>
          </cell>
          <cell r="X17">
            <v>1000000</v>
          </cell>
          <cell r="Y17">
            <v>32390000</v>
          </cell>
        </row>
        <row r="18">
          <cell r="B18"/>
          <cell r="C18"/>
          <cell r="D18"/>
          <cell r="E18"/>
          <cell r="F18"/>
          <cell r="G18"/>
          <cell r="H18"/>
          <cell r="I18"/>
          <cell r="J18"/>
          <cell r="K18"/>
          <cell r="L18"/>
          <cell r="M18"/>
          <cell r="N18"/>
          <cell r="O18"/>
          <cell r="P18"/>
          <cell r="Q18"/>
          <cell r="R18"/>
          <cell r="S18"/>
          <cell r="T18"/>
          <cell r="U18"/>
          <cell r="V18"/>
          <cell r="W18"/>
          <cell r="X18"/>
          <cell r="Y18"/>
        </row>
        <row r="19">
          <cell r="B19"/>
          <cell r="C19" t="str">
            <v>2008 MCA</v>
          </cell>
          <cell r="D19"/>
          <cell r="E19"/>
          <cell r="F19"/>
          <cell r="G19"/>
          <cell r="H19"/>
          <cell r="I19"/>
          <cell r="J19"/>
          <cell r="K19"/>
          <cell r="L19"/>
          <cell r="M19"/>
          <cell r="N19"/>
          <cell r="O19"/>
          <cell r="P19"/>
          <cell r="Q19"/>
          <cell r="R19"/>
          <cell r="S19"/>
          <cell r="T19"/>
          <cell r="U19"/>
          <cell r="V19"/>
          <cell r="W19"/>
          <cell r="X19"/>
          <cell r="Y19"/>
        </row>
        <row r="20">
          <cell r="A20" t="str">
            <v>1PP1SYHM6KJRA0</v>
          </cell>
          <cell r="B20"/>
          <cell r="C20" t="str">
            <v>New 2008 MCA Active Puretech 130</v>
          </cell>
          <cell r="D20" t="e">
            <v>#N/A</v>
          </cell>
          <cell r="E20" t="e">
            <v>#N/A</v>
          </cell>
          <cell r="F20"/>
          <cell r="G20">
            <v>20890000</v>
          </cell>
          <cell r="H20">
            <v>17554621.848739497</v>
          </cell>
          <cell r="I20"/>
          <cell r="J20">
            <v>2200000</v>
          </cell>
          <cell r="K20">
            <v>732000</v>
          </cell>
          <cell r="L20">
            <v>1468000</v>
          </cell>
          <cell r="M20">
            <v>18690000</v>
          </cell>
          <cell r="N20"/>
          <cell r="O20">
            <v>2600000</v>
          </cell>
          <cell r="P20">
            <v>732000</v>
          </cell>
          <cell r="Q20">
            <v>400000</v>
          </cell>
          <cell r="R20">
            <v>1468000</v>
          </cell>
          <cell r="S20">
            <v>18290000</v>
          </cell>
          <cell r="T20"/>
          <cell r="U20">
            <v>3000000</v>
          </cell>
          <cell r="V20">
            <v>732000</v>
          </cell>
          <cell r="W20">
            <v>800000</v>
          </cell>
          <cell r="X20">
            <v>1468000</v>
          </cell>
          <cell r="Y20">
            <v>17890000</v>
          </cell>
        </row>
        <row r="21">
          <cell r="A21" t="str">
            <v>1PP1SYPM6KJRA0</v>
          </cell>
          <cell r="B21"/>
          <cell r="C21" t="str">
            <v>New 2008 MCA Allure Puretech 130</v>
          </cell>
          <cell r="D21" t="e">
            <v>#N/A</v>
          </cell>
          <cell r="E21" t="e">
            <v>#N/A</v>
          </cell>
          <cell r="F21"/>
          <cell r="G21">
            <v>23090000</v>
          </cell>
          <cell r="H21">
            <v>19403361.344537817</v>
          </cell>
          <cell r="I21"/>
          <cell r="J21">
            <v>2200000</v>
          </cell>
          <cell r="K21">
            <v>809000</v>
          </cell>
          <cell r="L21">
            <v>1391000</v>
          </cell>
          <cell r="M21">
            <v>20890000</v>
          </cell>
          <cell r="N21"/>
          <cell r="O21">
            <v>2600000</v>
          </cell>
          <cell r="P21">
            <v>809000</v>
          </cell>
          <cell r="Q21">
            <v>400000</v>
          </cell>
          <cell r="R21">
            <v>1391000</v>
          </cell>
          <cell r="S21">
            <v>20490000</v>
          </cell>
          <cell r="T21"/>
          <cell r="U21">
            <v>3000000</v>
          </cell>
          <cell r="V21">
            <v>809000</v>
          </cell>
          <cell r="W21">
            <v>800000</v>
          </cell>
          <cell r="X21">
            <v>1391000</v>
          </cell>
          <cell r="Y21">
            <v>20090000</v>
          </cell>
        </row>
        <row r="22">
          <cell r="A22" t="str">
            <v>1PP1SYPM61JRA0</v>
          </cell>
          <cell r="B22"/>
          <cell r="C22" t="str">
            <v>New 2008 MCA Allure Puretech 130 EAT8</v>
          </cell>
          <cell r="D22" t="e">
            <v>#N/A</v>
          </cell>
          <cell r="E22" t="e">
            <v>#N/A</v>
          </cell>
          <cell r="F22"/>
          <cell r="G22">
            <v>25290000</v>
          </cell>
          <cell r="H22">
            <v>21252100.840336137</v>
          </cell>
          <cell r="I22"/>
          <cell r="J22">
            <v>2200000</v>
          </cell>
          <cell r="K22">
            <v>886000</v>
          </cell>
          <cell r="L22">
            <v>1314000</v>
          </cell>
          <cell r="M22">
            <v>23090000</v>
          </cell>
          <cell r="N22"/>
          <cell r="O22">
            <v>2600000</v>
          </cell>
          <cell r="P22">
            <v>886000</v>
          </cell>
          <cell r="Q22">
            <v>400000</v>
          </cell>
          <cell r="R22">
            <v>1314000</v>
          </cell>
          <cell r="S22">
            <v>22690000</v>
          </cell>
          <cell r="T22"/>
          <cell r="U22">
            <v>3000000</v>
          </cell>
          <cell r="V22">
            <v>886000</v>
          </cell>
          <cell r="W22">
            <v>800000</v>
          </cell>
          <cell r="X22">
            <v>1314000</v>
          </cell>
          <cell r="Y22">
            <v>22290000</v>
          </cell>
        </row>
        <row r="23">
          <cell r="A23" t="str">
            <v>1PP1SYPMK1JRA0</v>
          </cell>
          <cell r="B23"/>
          <cell r="C23" t="str">
            <v>New 2008 MCA Allure BlueHDi 130 EAT8</v>
          </cell>
          <cell r="D23" t="e">
            <v>#N/A</v>
          </cell>
          <cell r="E23" t="e">
            <v>#N/A</v>
          </cell>
          <cell r="F23"/>
          <cell r="G23">
            <v>27090000</v>
          </cell>
          <cell r="H23">
            <v>22764705.882352941</v>
          </cell>
          <cell r="I23"/>
          <cell r="J23">
            <v>2200000</v>
          </cell>
          <cell r="K23">
            <v>949000</v>
          </cell>
          <cell r="L23">
            <v>1251000</v>
          </cell>
          <cell r="M23">
            <v>24890000</v>
          </cell>
          <cell r="N23"/>
          <cell r="O23">
            <v>2600000</v>
          </cell>
          <cell r="P23">
            <v>949000</v>
          </cell>
          <cell r="Q23">
            <v>400000</v>
          </cell>
          <cell r="R23">
            <v>1251000</v>
          </cell>
          <cell r="S23">
            <v>24490000</v>
          </cell>
          <cell r="T23"/>
          <cell r="U23">
            <v>3000000</v>
          </cell>
          <cell r="V23">
            <v>949000</v>
          </cell>
          <cell r="W23">
            <v>800000</v>
          </cell>
          <cell r="X23">
            <v>1251000</v>
          </cell>
          <cell r="Y23">
            <v>24090000</v>
          </cell>
        </row>
        <row r="24">
          <cell r="A24" t="str">
            <v>1PP1MCA-ALLURE MHEV</v>
          </cell>
          <cell r="B24"/>
          <cell r="C24" t="str">
            <v>New 2008 MCA Allure MHEV 136 eDCT6</v>
          </cell>
          <cell r="D24" t="e">
            <v>#N/A</v>
          </cell>
          <cell r="E24" t="e">
            <v>#N/A</v>
          </cell>
          <cell r="F24"/>
          <cell r="G24">
            <v>27190000</v>
          </cell>
          <cell r="H24">
            <v>22848739.49579832</v>
          </cell>
          <cell r="I24"/>
          <cell r="J24">
            <v>2200000</v>
          </cell>
          <cell r="K24">
            <v>952000</v>
          </cell>
          <cell r="L24">
            <v>1248000</v>
          </cell>
          <cell r="M24">
            <v>24990000</v>
          </cell>
          <cell r="N24"/>
          <cell r="O24">
            <v>2600000</v>
          </cell>
          <cell r="P24">
            <v>952000</v>
          </cell>
          <cell r="Q24">
            <v>400000</v>
          </cell>
          <cell r="R24">
            <v>1248000</v>
          </cell>
          <cell r="S24">
            <v>24590000</v>
          </cell>
          <cell r="T24"/>
          <cell r="U24">
            <v>3000000</v>
          </cell>
          <cell r="V24">
            <v>952000</v>
          </cell>
          <cell r="W24">
            <v>800000</v>
          </cell>
          <cell r="X24">
            <v>1248000</v>
          </cell>
          <cell r="Y24">
            <v>24190000</v>
          </cell>
        </row>
        <row r="25">
          <cell r="A25" t="str">
            <v>1PP1SYTMK1JR9U</v>
          </cell>
          <cell r="B25"/>
          <cell r="C25" t="str">
            <v>New 2008 MCA GT BlueHDi 130 EAT8</v>
          </cell>
          <cell r="D25" t="e">
            <v>#N/A</v>
          </cell>
          <cell r="E25" t="e">
            <v>#N/A</v>
          </cell>
          <cell r="F25"/>
          <cell r="G25">
            <v>29090000</v>
          </cell>
          <cell r="H25">
            <v>24445378.151260506</v>
          </cell>
          <cell r="I25"/>
          <cell r="J25">
            <v>2200000</v>
          </cell>
          <cell r="K25">
            <v>1019000</v>
          </cell>
          <cell r="L25">
            <v>1181000</v>
          </cell>
          <cell r="M25">
            <v>26890000</v>
          </cell>
          <cell r="N25"/>
          <cell r="O25">
            <v>2600000</v>
          </cell>
          <cell r="P25">
            <v>1019000</v>
          </cell>
          <cell r="Q25">
            <v>400000</v>
          </cell>
          <cell r="R25">
            <v>1181000</v>
          </cell>
          <cell r="S25">
            <v>26490000</v>
          </cell>
          <cell r="T25"/>
          <cell r="U25">
            <v>3000000</v>
          </cell>
          <cell r="V25">
            <v>1019000</v>
          </cell>
          <cell r="W25">
            <v>800000</v>
          </cell>
          <cell r="X25">
            <v>1181000</v>
          </cell>
          <cell r="Y25">
            <v>26090000</v>
          </cell>
        </row>
        <row r="26">
          <cell r="A26" t="str">
            <v>1PP1MCA-GT MHEV</v>
          </cell>
          <cell r="B26"/>
          <cell r="C26" t="str">
            <v>New 2008 MCA GT MHEV 136 eDCT6</v>
          </cell>
          <cell r="D26" t="e">
            <v>#N/A</v>
          </cell>
          <cell r="E26" t="e">
            <v>#N/A</v>
          </cell>
          <cell r="F26"/>
          <cell r="G26">
            <v>30490000</v>
          </cell>
          <cell r="H26">
            <v>25621848.739495799</v>
          </cell>
          <cell r="I26"/>
          <cell r="J26">
            <v>2200000</v>
          </cell>
          <cell r="K26">
            <v>1068000</v>
          </cell>
          <cell r="L26">
            <v>1132000</v>
          </cell>
          <cell r="M26">
            <v>28290000</v>
          </cell>
          <cell r="N26"/>
          <cell r="O26">
            <v>2600000</v>
          </cell>
          <cell r="P26">
            <v>1068000</v>
          </cell>
          <cell r="Q26">
            <v>400000</v>
          </cell>
          <cell r="R26">
            <v>1132000</v>
          </cell>
          <cell r="S26">
            <v>27890000</v>
          </cell>
          <cell r="T26"/>
          <cell r="U26">
            <v>3000000</v>
          </cell>
          <cell r="V26">
            <v>1068000</v>
          </cell>
          <cell r="W26">
            <v>800000</v>
          </cell>
          <cell r="X26">
            <v>1132000</v>
          </cell>
          <cell r="Y26">
            <v>27490000</v>
          </cell>
        </row>
        <row r="27">
          <cell r="A27" t="str">
            <v>1PP1SYUZIFJRA0</v>
          </cell>
          <cell r="B27"/>
          <cell r="C27" t="str">
            <v>New 2008 MCA GT EV</v>
          </cell>
          <cell r="D27" t="e">
            <v>#N/A</v>
          </cell>
          <cell r="E27" t="e">
            <v>#N/A</v>
          </cell>
          <cell r="F27"/>
          <cell r="G27">
            <v>40090000</v>
          </cell>
          <cell r="H27">
            <v>33689075.630252101</v>
          </cell>
          <cell r="I27"/>
          <cell r="J27">
            <v>3100000</v>
          </cell>
          <cell r="K27">
            <v>1404000</v>
          </cell>
          <cell r="L27">
            <v>1696000</v>
          </cell>
          <cell r="M27">
            <v>36990000</v>
          </cell>
          <cell r="N27"/>
          <cell r="O27">
            <v>3700000</v>
          </cell>
          <cell r="P27">
            <v>1404000</v>
          </cell>
          <cell r="Q27">
            <v>600000</v>
          </cell>
          <cell r="R27">
            <v>1696000</v>
          </cell>
          <cell r="S27">
            <v>36390000</v>
          </cell>
          <cell r="T27"/>
          <cell r="U27">
            <v>4400000</v>
          </cell>
          <cell r="V27">
            <v>1404000</v>
          </cell>
          <cell r="W27">
            <v>1300000</v>
          </cell>
          <cell r="X27">
            <v>1696000</v>
          </cell>
          <cell r="Y27">
            <v>35690000</v>
          </cell>
        </row>
        <row r="28">
          <cell r="B28"/>
          <cell r="C28"/>
          <cell r="D28"/>
          <cell r="E28"/>
          <cell r="F28"/>
          <cell r="G28"/>
          <cell r="H28"/>
          <cell r="I28"/>
          <cell r="J28"/>
          <cell r="K28"/>
          <cell r="L28"/>
          <cell r="M28"/>
          <cell r="N28"/>
          <cell r="O28"/>
          <cell r="P28"/>
          <cell r="Q28"/>
          <cell r="R28"/>
          <cell r="S28"/>
          <cell r="T28"/>
          <cell r="U28"/>
          <cell r="V28"/>
          <cell r="W28"/>
          <cell r="X28"/>
          <cell r="Y28"/>
        </row>
        <row r="29">
          <cell r="B29"/>
          <cell r="C29">
            <v>308</v>
          </cell>
          <cell r="D29"/>
          <cell r="E29"/>
          <cell r="F29"/>
          <cell r="G29"/>
          <cell r="H29"/>
          <cell r="I29"/>
          <cell r="J29"/>
          <cell r="K29"/>
          <cell r="L29"/>
          <cell r="M29"/>
          <cell r="N29"/>
          <cell r="O29"/>
          <cell r="P29"/>
          <cell r="Q29"/>
          <cell r="R29"/>
          <cell r="S29"/>
          <cell r="T29"/>
          <cell r="U29"/>
          <cell r="V29"/>
          <cell r="W29"/>
          <cell r="X29"/>
          <cell r="Y29"/>
        </row>
        <row r="30">
          <cell r="A30" t="str">
            <v>1PP5A5PNPKJ0A0</v>
          </cell>
          <cell r="B30"/>
          <cell r="C30" t="str">
            <v>308 Allure Puretech 130</v>
          </cell>
          <cell r="D30" t="e">
            <v>#N/A</v>
          </cell>
          <cell r="E30" t="e">
            <v>#N/A</v>
          </cell>
          <cell r="F30"/>
          <cell r="G30">
            <v>23890000</v>
          </cell>
          <cell r="H30">
            <v>20075630.25210084</v>
          </cell>
          <cell r="I30"/>
          <cell r="J30">
            <v>2100000</v>
          </cell>
          <cell r="K30">
            <v>837000</v>
          </cell>
          <cell r="L30">
            <v>1263000</v>
          </cell>
          <cell r="M30">
            <v>21790000</v>
          </cell>
          <cell r="N30"/>
          <cell r="O30">
            <v>2500000</v>
          </cell>
          <cell r="P30">
            <v>837000</v>
          </cell>
          <cell r="Q30">
            <v>400000</v>
          </cell>
          <cell r="R30">
            <v>1263000</v>
          </cell>
          <cell r="S30">
            <v>21390000</v>
          </cell>
          <cell r="T30"/>
          <cell r="U30">
            <v>2900000</v>
          </cell>
          <cell r="V30">
            <v>837000</v>
          </cell>
          <cell r="W30">
            <v>800000</v>
          </cell>
          <cell r="X30">
            <v>1263000</v>
          </cell>
          <cell r="Y30">
            <v>20990000</v>
          </cell>
        </row>
        <row r="31">
          <cell r="A31" t="str">
            <v>1PP5A5RNP1J0A0</v>
          </cell>
          <cell r="B31"/>
          <cell r="C31" t="str">
            <v>308 Allure Puretech 130 EAT8</v>
          </cell>
          <cell r="D31" t="e">
            <v>#N/A</v>
          </cell>
          <cell r="E31" t="e">
            <v>#N/A</v>
          </cell>
          <cell r="F31"/>
          <cell r="G31">
            <v>25890000</v>
          </cell>
          <cell r="H31">
            <v>21756302.521008406</v>
          </cell>
          <cell r="I31"/>
          <cell r="J31">
            <v>2100000</v>
          </cell>
          <cell r="K31">
            <v>907000</v>
          </cell>
          <cell r="L31">
            <v>1193000</v>
          </cell>
          <cell r="M31">
            <v>23790000</v>
          </cell>
          <cell r="N31"/>
          <cell r="O31">
            <v>2500000</v>
          </cell>
          <cell r="P31">
            <v>907000</v>
          </cell>
          <cell r="Q31">
            <v>400000</v>
          </cell>
          <cell r="R31">
            <v>1193000</v>
          </cell>
          <cell r="S31">
            <v>23390000</v>
          </cell>
          <cell r="T31"/>
          <cell r="U31">
            <v>2900000</v>
          </cell>
          <cell r="V31">
            <v>907000</v>
          </cell>
          <cell r="W31">
            <v>800000</v>
          </cell>
          <cell r="X31">
            <v>1193000</v>
          </cell>
          <cell r="Y31">
            <v>22990000</v>
          </cell>
        </row>
        <row r="32">
          <cell r="A32" t="str">
            <v>1PP5A5RMK1J09Q</v>
          </cell>
          <cell r="B32"/>
          <cell r="C32" t="str">
            <v>308 Allure BlueHDi 130 EAT8</v>
          </cell>
          <cell r="D32" t="e">
            <v>#N/A</v>
          </cell>
          <cell r="E32" t="e">
            <v>#N/A</v>
          </cell>
          <cell r="F32"/>
          <cell r="G32">
            <v>27690000</v>
          </cell>
          <cell r="H32">
            <v>23268907.56302521</v>
          </cell>
          <cell r="I32"/>
          <cell r="J32">
            <v>2100000</v>
          </cell>
          <cell r="K32">
            <v>970000</v>
          </cell>
          <cell r="L32">
            <v>1130000</v>
          </cell>
          <cell r="M32">
            <v>25590000</v>
          </cell>
          <cell r="N32"/>
          <cell r="O32">
            <v>2500000</v>
          </cell>
          <cell r="P32">
            <v>970000</v>
          </cell>
          <cell r="Q32">
            <v>400000</v>
          </cell>
          <cell r="R32">
            <v>1130000</v>
          </cell>
          <cell r="S32">
            <v>25190000</v>
          </cell>
          <cell r="T32"/>
          <cell r="U32">
            <v>2900000</v>
          </cell>
          <cell r="V32">
            <v>970000</v>
          </cell>
          <cell r="W32">
            <v>800000</v>
          </cell>
          <cell r="X32">
            <v>1130000</v>
          </cell>
          <cell r="Y32">
            <v>24790000</v>
          </cell>
        </row>
        <row r="33">
          <cell r="A33" t="str">
            <v>1PP5A5TNP1J09Q</v>
          </cell>
          <cell r="B33"/>
          <cell r="C33" t="str">
            <v>308 GT Puretech 130 EAT8</v>
          </cell>
          <cell r="D33" t="e">
            <v>#N/A</v>
          </cell>
          <cell r="E33" t="e">
            <v>#N/A</v>
          </cell>
          <cell r="F33"/>
          <cell r="G33">
            <v>29390000</v>
          </cell>
          <cell r="H33">
            <v>24697478.991596639</v>
          </cell>
          <cell r="I33"/>
          <cell r="J33">
            <v>2100000</v>
          </cell>
          <cell r="K33">
            <v>1029000</v>
          </cell>
          <cell r="L33">
            <v>1071000</v>
          </cell>
          <cell r="M33">
            <v>27290000</v>
          </cell>
          <cell r="N33"/>
          <cell r="O33">
            <v>2500000</v>
          </cell>
          <cell r="P33">
            <v>1029000</v>
          </cell>
          <cell r="Q33">
            <v>400000</v>
          </cell>
          <cell r="R33">
            <v>1071000</v>
          </cell>
          <cell r="S33">
            <v>26890000</v>
          </cell>
          <cell r="T33"/>
          <cell r="U33">
            <v>2900000</v>
          </cell>
          <cell r="V33">
            <v>1029000</v>
          </cell>
          <cell r="W33">
            <v>800000</v>
          </cell>
          <cell r="X33">
            <v>1071000</v>
          </cell>
          <cell r="Y33">
            <v>26490000</v>
          </cell>
        </row>
        <row r="34">
          <cell r="B34"/>
          <cell r="C34"/>
          <cell r="D34"/>
          <cell r="E34"/>
          <cell r="F34"/>
          <cell r="G34"/>
          <cell r="H34"/>
          <cell r="I34"/>
          <cell r="J34"/>
          <cell r="K34"/>
          <cell r="L34"/>
          <cell r="M34"/>
          <cell r="N34"/>
          <cell r="O34"/>
          <cell r="P34"/>
          <cell r="Q34"/>
          <cell r="R34"/>
          <cell r="S34"/>
          <cell r="T34"/>
          <cell r="U34"/>
          <cell r="V34"/>
          <cell r="W34"/>
          <cell r="X34"/>
          <cell r="Y34"/>
        </row>
        <row r="35">
          <cell r="A35"/>
          <cell r="B35"/>
          <cell r="C35">
            <v>3008</v>
          </cell>
          <cell r="D35"/>
          <cell r="E35"/>
          <cell r="F35"/>
          <cell r="G35"/>
          <cell r="H35"/>
          <cell r="I35"/>
          <cell r="J35"/>
          <cell r="K35"/>
          <cell r="L35"/>
          <cell r="M35"/>
          <cell r="N35"/>
          <cell r="O35"/>
          <cell r="P35"/>
          <cell r="Q35"/>
          <cell r="R35"/>
          <cell r="S35"/>
          <cell r="T35"/>
          <cell r="U35"/>
          <cell r="V35"/>
          <cell r="W35"/>
          <cell r="X35"/>
          <cell r="Y35"/>
        </row>
        <row r="36">
          <cell r="A36" t="str">
            <v>1PP8SYLNPKJM9S</v>
          </cell>
          <cell r="B36"/>
          <cell r="C36" t="str">
            <v>3008 Active Pack Puretech 130</v>
          </cell>
          <cell r="D36" t="e">
            <v>#N/A</v>
          </cell>
          <cell r="E36" t="e">
            <v>#N/A</v>
          </cell>
          <cell r="F36"/>
          <cell r="G36">
            <v>25290000</v>
          </cell>
          <cell r="H36">
            <v>21252100.840336137</v>
          </cell>
          <cell r="I36"/>
          <cell r="J36">
            <v>2300000</v>
          </cell>
          <cell r="K36">
            <v>886000</v>
          </cell>
          <cell r="L36">
            <v>1414000</v>
          </cell>
          <cell r="M36">
            <v>22990000</v>
          </cell>
          <cell r="N36"/>
          <cell r="O36">
            <v>2700000</v>
          </cell>
          <cell r="P36">
            <v>886000</v>
          </cell>
          <cell r="Q36">
            <v>400000</v>
          </cell>
          <cell r="R36">
            <v>1414000</v>
          </cell>
          <cell r="S36">
            <v>22590000</v>
          </cell>
          <cell r="T36"/>
          <cell r="U36">
            <v>3100000</v>
          </cell>
          <cell r="V36">
            <v>886000</v>
          </cell>
          <cell r="W36">
            <v>800000</v>
          </cell>
          <cell r="X36">
            <v>1414000</v>
          </cell>
          <cell r="Y36">
            <v>22190000</v>
          </cell>
        </row>
        <row r="37">
          <cell r="A37" t="str">
            <v>1PP8SYQKNMJM9U</v>
          </cell>
          <cell r="B37"/>
          <cell r="C37" t="str">
            <v>3008 Allure Pack THP 165 EAT6</v>
          </cell>
          <cell r="D37" t="e">
            <v>#N/A</v>
          </cell>
          <cell r="E37" t="e">
            <v>#N/A</v>
          </cell>
          <cell r="F37"/>
          <cell r="G37">
            <v>28790000</v>
          </cell>
          <cell r="H37">
            <v>24193277.31092437</v>
          </cell>
          <cell r="I37"/>
          <cell r="J37">
            <v>2300000</v>
          </cell>
          <cell r="K37">
            <v>1008000</v>
          </cell>
          <cell r="L37">
            <v>1292000</v>
          </cell>
          <cell r="M37">
            <v>26490000</v>
          </cell>
          <cell r="N37"/>
          <cell r="O37">
            <v>2700000</v>
          </cell>
          <cell r="P37">
            <v>1008000</v>
          </cell>
          <cell r="Q37">
            <v>400000</v>
          </cell>
          <cell r="R37">
            <v>1292000</v>
          </cell>
          <cell r="S37">
            <v>26090000</v>
          </cell>
          <cell r="T37"/>
          <cell r="U37">
            <v>3100000</v>
          </cell>
          <cell r="V37">
            <v>1008000</v>
          </cell>
          <cell r="W37">
            <v>800000</v>
          </cell>
          <cell r="X37">
            <v>1292000</v>
          </cell>
          <cell r="Y37">
            <v>25690000</v>
          </cell>
        </row>
        <row r="38">
          <cell r="A38" t="str">
            <v>1PP8SYQMK1JM9T</v>
          </cell>
          <cell r="B38"/>
          <cell r="C38" t="str">
            <v>3008 Allure Pack BlueHDi 130 EAT8</v>
          </cell>
          <cell r="D38" t="e">
            <v>#N/A</v>
          </cell>
          <cell r="E38" t="e">
            <v>#N/A</v>
          </cell>
          <cell r="F38"/>
          <cell r="G38">
            <v>30690000</v>
          </cell>
          <cell r="H38">
            <v>25789915.966386557</v>
          </cell>
          <cell r="I38"/>
          <cell r="J38">
            <v>2300000</v>
          </cell>
          <cell r="K38">
            <v>1075000</v>
          </cell>
          <cell r="L38">
            <v>1225000</v>
          </cell>
          <cell r="M38">
            <v>28390000</v>
          </cell>
          <cell r="N38"/>
          <cell r="O38">
            <v>2700000</v>
          </cell>
          <cell r="P38">
            <v>1075000</v>
          </cell>
          <cell r="Q38">
            <v>400000</v>
          </cell>
          <cell r="R38">
            <v>1225000</v>
          </cell>
          <cell r="S38">
            <v>27990000</v>
          </cell>
          <cell r="T38"/>
          <cell r="U38">
            <v>3100000</v>
          </cell>
          <cell r="V38">
            <v>1075000</v>
          </cell>
          <cell r="W38">
            <v>800000</v>
          </cell>
          <cell r="X38">
            <v>1225000</v>
          </cell>
          <cell r="Y38">
            <v>27590000</v>
          </cell>
        </row>
        <row r="39">
          <cell r="A39" t="str">
            <v>1PP8SYTNS1JM9Y</v>
          </cell>
          <cell r="B39"/>
          <cell r="C39" t="str">
            <v>3008 GT Black Pack Puretech 180 EAT8</v>
          </cell>
          <cell r="D39" t="e">
            <v>#N/A</v>
          </cell>
          <cell r="E39" t="e">
            <v>#N/A</v>
          </cell>
          <cell r="F39"/>
          <cell r="G39">
            <v>33390000</v>
          </cell>
          <cell r="H39">
            <v>28058823.529411767</v>
          </cell>
          <cell r="I39"/>
          <cell r="J39">
            <v>2300000</v>
          </cell>
          <cell r="K39">
            <v>1150000</v>
          </cell>
          <cell r="L39">
            <v>1150000</v>
          </cell>
          <cell r="M39">
            <v>31090000</v>
          </cell>
          <cell r="N39"/>
          <cell r="O39">
            <v>2700000</v>
          </cell>
          <cell r="P39">
            <v>1150000</v>
          </cell>
          <cell r="Q39">
            <v>400000</v>
          </cell>
          <cell r="R39">
            <v>1150000</v>
          </cell>
          <cell r="S39">
            <v>30690000</v>
          </cell>
          <cell r="T39"/>
          <cell r="U39">
            <v>3100000</v>
          </cell>
          <cell r="V39">
            <v>1150000</v>
          </cell>
          <cell r="W39">
            <v>800000</v>
          </cell>
          <cell r="X39">
            <v>1150000</v>
          </cell>
          <cell r="Y39">
            <v>30290000</v>
          </cell>
        </row>
        <row r="40">
          <cell r="A40" t="str">
            <v>1PP8SYTMK1JM9X</v>
          </cell>
          <cell r="B40"/>
          <cell r="C40" t="str">
            <v>3008 GT Black Pack BlueHDi 130 EAT8</v>
          </cell>
          <cell r="D40" t="e">
            <v>#N/A</v>
          </cell>
          <cell r="E40" t="e">
            <v>#N/A</v>
          </cell>
          <cell r="F40"/>
          <cell r="G40">
            <v>33790000</v>
          </cell>
          <cell r="H40">
            <v>28394957.983193278</v>
          </cell>
          <cell r="I40"/>
          <cell r="J40">
            <v>2300000</v>
          </cell>
          <cell r="K40">
            <v>1150000</v>
          </cell>
          <cell r="L40">
            <v>1150000</v>
          </cell>
          <cell r="M40">
            <v>31490000</v>
          </cell>
          <cell r="N40"/>
          <cell r="O40">
            <v>2700000</v>
          </cell>
          <cell r="P40">
            <v>1150000</v>
          </cell>
          <cell r="Q40">
            <v>400000</v>
          </cell>
          <cell r="R40">
            <v>1150000</v>
          </cell>
          <cell r="S40">
            <v>31090000</v>
          </cell>
          <cell r="T40"/>
          <cell r="U40">
            <v>3100000</v>
          </cell>
          <cell r="V40">
            <v>1150000</v>
          </cell>
          <cell r="W40">
            <v>800000</v>
          </cell>
          <cell r="X40">
            <v>1150000</v>
          </cell>
          <cell r="Y40">
            <v>30690000</v>
          </cell>
        </row>
        <row r="41">
          <cell r="A41" t="str">
            <v>1PP8SYUR52J0A0</v>
          </cell>
          <cell r="B41"/>
          <cell r="C41" t="str">
            <v>3008 GT HYBRID4 300 eEAT8</v>
          </cell>
          <cell r="D41" t="e">
            <v>#N/A</v>
          </cell>
          <cell r="E41" t="e">
            <v>#N/A</v>
          </cell>
          <cell r="F41"/>
          <cell r="G41">
            <v>46990000</v>
          </cell>
          <cell r="H41">
            <v>39487394.957983196</v>
          </cell>
          <cell r="I41"/>
          <cell r="J41">
            <v>3700000</v>
          </cell>
          <cell r="K41">
            <v>1645000</v>
          </cell>
          <cell r="L41">
            <v>2055000</v>
          </cell>
          <cell r="M41">
            <v>43290000</v>
          </cell>
          <cell r="N41"/>
          <cell r="O41">
            <v>5700000</v>
          </cell>
          <cell r="P41">
            <v>1645000</v>
          </cell>
          <cell r="Q41">
            <v>2000000</v>
          </cell>
          <cell r="R41">
            <v>2055000</v>
          </cell>
          <cell r="S41">
            <v>41290000</v>
          </cell>
          <cell r="T41"/>
          <cell r="U41">
            <v>7700000</v>
          </cell>
          <cell r="V41">
            <v>1645000</v>
          </cell>
          <cell r="W41">
            <v>4000000</v>
          </cell>
          <cell r="X41">
            <v>2055000</v>
          </cell>
          <cell r="Y41">
            <v>39290000</v>
          </cell>
        </row>
        <row r="42">
          <cell r="B42"/>
          <cell r="C42"/>
          <cell r="D42"/>
          <cell r="E42"/>
          <cell r="F42"/>
          <cell r="G42"/>
          <cell r="H42"/>
          <cell r="I42"/>
          <cell r="J42"/>
          <cell r="K42"/>
          <cell r="L42"/>
          <cell r="M42"/>
          <cell r="N42"/>
          <cell r="O42"/>
          <cell r="P42"/>
          <cell r="Q42"/>
          <cell r="R42"/>
          <cell r="S42"/>
          <cell r="T42"/>
          <cell r="U42"/>
          <cell r="V42"/>
          <cell r="W42"/>
          <cell r="X42"/>
          <cell r="Y42"/>
        </row>
        <row r="43">
          <cell r="A43"/>
          <cell r="B43"/>
          <cell r="C43" t="str">
            <v>New 3008</v>
          </cell>
          <cell r="D43"/>
          <cell r="E43"/>
          <cell r="F43"/>
          <cell r="G43"/>
          <cell r="H43"/>
          <cell r="I43"/>
          <cell r="J43"/>
          <cell r="K43"/>
          <cell r="L43"/>
          <cell r="M43"/>
          <cell r="N43"/>
          <cell r="O43"/>
          <cell r="P43"/>
          <cell r="Q43"/>
          <cell r="R43"/>
          <cell r="S43"/>
          <cell r="T43"/>
          <cell r="U43"/>
          <cell r="V43"/>
          <cell r="W43"/>
          <cell r="X43"/>
          <cell r="Y43"/>
        </row>
        <row r="44">
          <cell r="A44" t="str">
            <v>P64-ALLURE MHEV</v>
          </cell>
          <cell r="B44"/>
          <cell r="C44" t="str">
            <v>New 3008 PREMIERE MHEV 136 eDCT6</v>
          </cell>
          <cell r="D44" t="e">
            <v>#N/A</v>
          </cell>
          <cell r="E44" t="e">
            <v>#N/A</v>
          </cell>
          <cell r="F44"/>
          <cell r="G44">
            <v>32790000</v>
          </cell>
          <cell r="H44">
            <v>27554621.848739497</v>
          </cell>
          <cell r="I44"/>
          <cell r="J44">
            <v>500000</v>
          </cell>
          <cell r="K44">
            <v>250000</v>
          </cell>
          <cell r="L44">
            <v>250000</v>
          </cell>
          <cell r="M44">
            <v>32290000</v>
          </cell>
          <cell r="N44"/>
          <cell r="O44">
            <v>1000000</v>
          </cell>
          <cell r="P44">
            <v>250000</v>
          </cell>
          <cell r="Q44">
            <v>500000</v>
          </cell>
          <cell r="R44">
            <v>250000</v>
          </cell>
          <cell r="S44">
            <v>31790000</v>
          </cell>
          <cell r="T44"/>
          <cell r="U44">
            <v>1500000</v>
          </cell>
          <cell r="V44">
            <v>250000</v>
          </cell>
          <cell r="W44">
            <v>1000000</v>
          </cell>
          <cell r="X44">
            <v>250000</v>
          </cell>
          <cell r="Y44">
            <v>31290000</v>
          </cell>
        </row>
        <row r="45">
          <cell r="A45" t="str">
            <v>P64-GT MHEV</v>
          </cell>
          <cell r="B45"/>
          <cell r="C45" t="str">
            <v>New 3008 GT MHEV 136 EDCT6</v>
          </cell>
          <cell r="D45" t="e">
            <v>#N/A</v>
          </cell>
          <cell r="E45" t="e">
            <v>#N/A</v>
          </cell>
          <cell r="F45"/>
          <cell r="G45">
            <v>36290000</v>
          </cell>
          <cell r="H45">
            <v>30495798.319327731</v>
          </cell>
          <cell r="I45"/>
          <cell r="J45">
            <v>500000</v>
          </cell>
          <cell r="K45">
            <v>250000</v>
          </cell>
          <cell r="L45">
            <v>250000</v>
          </cell>
          <cell r="M45">
            <v>35790000</v>
          </cell>
          <cell r="N45"/>
          <cell r="O45">
            <v>1000000</v>
          </cell>
          <cell r="P45">
            <v>250000</v>
          </cell>
          <cell r="Q45">
            <v>500000</v>
          </cell>
          <cell r="R45">
            <v>250000</v>
          </cell>
          <cell r="S45">
            <v>35290000</v>
          </cell>
          <cell r="T45"/>
          <cell r="U45">
            <v>1500000</v>
          </cell>
          <cell r="V45">
            <v>250000</v>
          </cell>
          <cell r="W45">
            <v>1000000</v>
          </cell>
          <cell r="X45">
            <v>250000</v>
          </cell>
          <cell r="Y45">
            <v>34790000</v>
          </cell>
        </row>
        <row r="46">
          <cell r="B46"/>
          <cell r="C46"/>
          <cell r="D46"/>
          <cell r="E46"/>
          <cell r="F46"/>
          <cell r="G46"/>
          <cell r="H46"/>
          <cell r="I46"/>
          <cell r="J46"/>
          <cell r="K46"/>
          <cell r="L46"/>
          <cell r="M46"/>
          <cell r="N46"/>
          <cell r="O46"/>
          <cell r="P46"/>
          <cell r="Q46"/>
          <cell r="R46"/>
          <cell r="S46"/>
          <cell r="T46"/>
          <cell r="U46"/>
          <cell r="V46"/>
          <cell r="W46"/>
          <cell r="X46"/>
          <cell r="Y46"/>
        </row>
        <row r="47">
          <cell r="B47"/>
          <cell r="C47">
            <v>5008</v>
          </cell>
          <cell r="D47"/>
          <cell r="E47"/>
          <cell r="F47"/>
          <cell r="G47"/>
          <cell r="H47"/>
          <cell r="I47"/>
          <cell r="J47"/>
          <cell r="K47"/>
          <cell r="L47"/>
          <cell r="M47"/>
          <cell r="N47"/>
          <cell r="O47"/>
          <cell r="P47"/>
          <cell r="Q47"/>
          <cell r="R47"/>
          <cell r="S47"/>
          <cell r="T47"/>
          <cell r="U47"/>
          <cell r="V47"/>
          <cell r="W47"/>
          <cell r="X47"/>
          <cell r="Y47"/>
        </row>
        <row r="48">
          <cell r="A48" t="str">
            <v>1PP7CMQKNMJM9V</v>
          </cell>
          <cell r="B48"/>
          <cell r="C48" t="str">
            <v>5008 Allure Pack THP 165 EAT6</v>
          </cell>
          <cell r="D48" t="e">
            <v>#N/A</v>
          </cell>
          <cell r="E48" t="e">
            <v>#N/A</v>
          </cell>
          <cell r="F48"/>
          <cell r="G48">
            <v>30590000</v>
          </cell>
          <cell r="H48">
            <v>25705882.352941178</v>
          </cell>
          <cell r="I48"/>
          <cell r="J48">
            <v>2500000</v>
          </cell>
          <cell r="K48">
            <v>1071000</v>
          </cell>
          <cell r="L48">
            <v>1429000</v>
          </cell>
          <cell r="M48">
            <v>28090000</v>
          </cell>
          <cell r="N48"/>
          <cell r="O48">
            <v>2900000</v>
          </cell>
          <cell r="P48">
            <v>1071000</v>
          </cell>
          <cell r="Q48">
            <v>400000</v>
          </cell>
          <cell r="R48">
            <v>1429000</v>
          </cell>
          <cell r="S48">
            <v>27690000</v>
          </cell>
          <cell r="T48"/>
          <cell r="U48">
            <v>3300000</v>
          </cell>
          <cell r="V48">
            <v>1071000</v>
          </cell>
          <cell r="W48">
            <v>800000</v>
          </cell>
          <cell r="X48">
            <v>1429000</v>
          </cell>
          <cell r="Y48">
            <v>27290000</v>
          </cell>
        </row>
        <row r="49">
          <cell r="A49" t="str">
            <v>1PP7CMQMK1JM9T</v>
          </cell>
          <cell r="B49"/>
          <cell r="C49" t="str">
            <v>5008 Allure Pack BlueHDi 130 EAT8</v>
          </cell>
          <cell r="D49" t="e">
            <v>#N/A</v>
          </cell>
          <cell r="E49" t="e">
            <v>#N/A</v>
          </cell>
          <cell r="F49"/>
          <cell r="G49">
            <v>32390000</v>
          </cell>
          <cell r="H49">
            <v>27218487.394957986</v>
          </cell>
          <cell r="I49"/>
          <cell r="J49">
            <v>2500000</v>
          </cell>
          <cell r="K49">
            <v>1134000</v>
          </cell>
          <cell r="L49">
            <v>1366000</v>
          </cell>
          <cell r="M49">
            <v>29890000</v>
          </cell>
          <cell r="N49"/>
          <cell r="O49">
            <v>2900000</v>
          </cell>
          <cell r="P49">
            <v>1134000</v>
          </cell>
          <cell r="Q49">
            <v>400000</v>
          </cell>
          <cell r="R49">
            <v>1366000</v>
          </cell>
          <cell r="S49">
            <v>29490000</v>
          </cell>
          <cell r="T49"/>
          <cell r="U49">
            <v>3300000</v>
          </cell>
          <cell r="V49">
            <v>1134000</v>
          </cell>
          <cell r="W49">
            <v>800000</v>
          </cell>
          <cell r="X49">
            <v>1366000</v>
          </cell>
          <cell r="Y49">
            <v>29090000</v>
          </cell>
        </row>
        <row r="50">
          <cell r="A50" t="str">
            <v>1PP7CMTNS1JM9X</v>
          </cell>
          <cell r="B50"/>
          <cell r="C50" t="str">
            <v>5008 GT Black Pack Puretech 180 EAT8</v>
          </cell>
          <cell r="D50" t="e">
            <v>#N/A</v>
          </cell>
          <cell r="E50" t="e">
            <v>#N/A</v>
          </cell>
          <cell r="F50"/>
          <cell r="G50">
            <v>34890000</v>
          </cell>
          <cell r="H50">
            <v>29319327.731092438</v>
          </cell>
          <cell r="I50"/>
          <cell r="J50">
            <v>2300000</v>
          </cell>
          <cell r="K50">
            <v>1150000</v>
          </cell>
          <cell r="L50">
            <v>1150000</v>
          </cell>
          <cell r="M50">
            <v>32590000</v>
          </cell>
          <cell r="N50"/>
          <cell r="O50">
            <v>2700000</v>
          </cell>
          <cell r="P50">
            <v>1150000</v>
          </cell>
          <cell r="Q50">
            <v>400000</v>
          </cell>
          <cell r="R50">
            <v>1150000</v>
          </cell>
          <cell r="S50">
            <v>32190000</v>
          </cell>
          <cell r="T50"/>
          <cell r="U50">
            <v>3100000</v>
          </cell>
          <cell r="V50">
            <v>1150000</v>
          </cell>
          <cell r="W50">
            <v>800000</v>
          </cell>
          <cell r="X50">
            <v>1150000</v>
          </cell>
          <cell r="Y50">
            <v>31790000</v>
          </cell>
        </row>
        <row r="51">
          <cell r="A51" t="str">
            <v>1PP7CMTMK1JM9X</v>
          </cell>
          <cell r="B51"/>
          <cell r="C51" t="str">
            <v>5008 GT Black Pack BlueHDi 130 EAT8</v>
          </cell>
          <cell r="D51" t="e">
            <v>#N/A</v>
          </cell>
          <cell r="E51" t="e">
            <v>#N/A</v>
          </cell>
          <cell r="F51"/>
          <cell r="G51">
            <v>35290000</v>
          </cell>
          <cell r="H51">
            <v>29655462.18487395</v>
          </cell>
          <cell r="I51"/>
          <cell r="J51">
            <v>2300000</v>
          </cell>
          <cell r="K51">
            <v>1150000</v>
          </cell>
          <cell r="L51">
            <v>1150000</v>
          </cell>
          <cell r="M51">
            <v>32990000</v>
          </cell>
          <cell r="N51"/>
          <cell r="O51">
            <v>2700000</v>
          </cell>
          <cell r="P51">
            <v>1150000</v>
          </cell>
          <cell r="Q51">
            <v>400000</v>
          </cell>
          <cell r="R51">
            <v>1150000</v>
          </cell>
          <cell r="S51">
            <v>32590000</v>
          </cell>
          <cell r="T51"/>
          <cell r="U51">
            <v>3100000</v>
          </cell>
          <cell r="V51">
            <v>1150000</v>
          </cell>
          <cell r="W51">
            <v>800000</v>
          </cell>
          <cell r="X51">
            <v>1150000</v>
          </cell>
          <cell r="Y51">
            <v>32190000</v>
          </cell>
        </row>
        <row r="52">
          <cell r="B52"/>
          <cell r="C52"/>
          <cell r="D52"/>
          <cell r="E52"/>
          <cell r="F52"/>
          <cell r="G52"/>
          <cell r="H52"/>
          <cell r="I52"/>
          <cell r="J52"/>
          <cell r="K52"/>
          <cell r="L52"/>
          <cell r="M52"/>
          <cell r="N52"/>
          <cell r="O52"/>
          <cell r="P52"/>
          <cell r="Q52"/>
          <cell r="R52"/>
          <cell r="S52"/>
          <cell r="T52"/>
          <cell r="U52"/>
          <cell r="V52"/>
          <cell r="W52"/>
          <cell r="X52"/>
          <cell r="Y52"/>
        </row>
        <row r="53">
          <cell r="B53"/>
          <cell r="C53" t="str">
            <v>RIFTER</v>
          </cell>
          <cell r="D53"/>
          <cell r="E53"/>
          <cell r="F53"/>
          <cell r="G53"/>
          <cell r="H53"/>
          <cell r="I53"/>
          <cell r="J53"/>
          <cell r="K53"/>
          <cell r="L53"/>
          <cell r="M53"/>
          <cell r="N53"/>
          <cell r="O53"/>
          <cell r="P53"/>
          <cell r="Q53"/>
          <cell r="R53"/>
          <cell r="S53"/>
          <cell r="T53"/>
          <cell r="U53"/>
          <cell r="V53"/>
          <cell r="W53"/>
          <cell r="X53"/>
          <cell r="Y53"/>
        </row>
        <row r="54">
          <cell r="A54" t="str">
            <v>1PK9CLTMNKJRA0</v>
          </cell>
          <cell r="B54"/>
          <cell r="C54" t="str">
            <v>Rifter Allure BlueHDi 100</v>
          </cell>
          <cell r="D54" t="e">
            <v>#N/A</v>
          </cell>
          <cell r="E54" t="e">
            <v>#N/A</v>
          </cell>
          <cell r="F54"/>
          <cell r="G54">
            <v>23990000</v>
          </cell>
          <cell r="H54">
            <v>20159663.865546219</v>
          </cell>
          <cell r="I54"/>
          <cell r="J54">
            <v>2200000</v>
          </cell>
          <cell r="K54">
            <v>840000</v>
          </cell>
          <cell r="L54">
            <v>1360000</v>
          </cell>
          <cell r="M54">
            <v>21790000</v>
          </cell>
          <cell r="N54"/>
          <cell r="O54">
            <v>2500000</v>
          </cell>
          <cell r="P54">
            <v>840000</v>
          </cell>
          <cell r="Q54">
            <v>300000</v>
          </cell>
          <cell r="R54">
            <v>1360000</v>
          </cell>
          <cell r="S54">
            <v>21490000</v>
          </cell>
          <cell r="T54"/>
          <cell r="U54">
            <v>2800000</v>
          </cell>
          <cell r="V54">
            <v>840000</v>
          </cell>
          <cell r="W54">
            <v>600000</v>
          </cell>
          <cell r="X54">
            <v>1360000</v>
          </cell>
          <cell r="Y54">
            <v>21190000</v>
          </cell>
        </row>
        <row r="55">
          <cell r="A55" t="str">
            <v>1PK9CLTNP1JR9R</v>
          </cell>
          <cell r="B55"/>
          <cell r="C55" t="str">
            <v>Rifter Allure Puretech 130 EAT8</v>
          </cell>
          <cell r="D55" t="e">
            <v>#N/A</v>
          </cell>
          <cell r="E55" t="e">
            <v>#N/A</v>
          </cell>
          <cell r="F55"/>
          <cell r="G55">
            <v>23490000</v>
          </cell>
          <cell r="H55">
            <v>19739495.798319329</v>
          </cell>
          <cell r="I55"/>
          <cell r="J55">
            <v>2200000</v>
          </cell>
          <cell r="K55">
            <v>823000</v>
          </cell>
          <cell r="L55">
            <v>1377000</v>
          </cell>
          <cell r="M55">
            <v>21290000</v>
          </cell>
          <cell r="N55"/>
          <cell r="O55">
            <v>2500000</v>
          </cell>
          <cell r="P55">
            <v>823000</v>
          </cell>
          <cell r="Q55">
            <v>300000</v>
          </cell>
          <cell r="R55">
            <v>1377000</v>
          </cell>
          <cell r="S55">
            <v>20990000</v>
          </cell>
          <cell r="T55"/>
          <cell r="U55">
            <v>2800000</v>
          </cell>
          <cell r="V55">
            <v>823000</v>
          </cell>
          <cell r="W55">
            <v>600000</v>
          </cell>
          <cell r="X55">
            <v>1377000</v>
          </cell>
          <cell r="Y55">
            <v>20690000</v>
          </cell>
        </row>
        <row r="56">
          <cell r="A56" t="str">
            <v>1PK9CLTMK1JRA0</v>
          </cell>
          <cell r="B56"/>
          <cell r="C56" t="str">
            <v>Rifter Allure BlueHDi 130 EAT8</v>
          </cell>
          <cell r="D56" t="e">
            <v>#N/A</v>
          </cell>
          <cell r="E56" t="e">
            <v>#N/A</v>
          </cell>
          <cell r="F56"/>
          <cell r="G56">
            <v>25790000</v>
          </cell>
          <cell r="H56">
            <v>21672268.907563027</v>
          </cell>
          <cell r="I56"/>
          <cell r="J56">
            <v>2200000</v>
          </cell>
          <cell r="K56">
            <v>903000</v>
          </cell>
          <cell r="L56">
            <v>1297000</v>
          </cell>
          <cell r="M56">
            <v>23590000</v>
          </cell>
          <cell r="N56"/>
          <cell r="O56">
            <v>2500000</v>
          </cell>
          <cell r="P56">
            <v>903000</v>
          </cell>
          <cell r="Q56">
            <v>300000</v>
          </cell>
          <cell r="R56">
            <v>1297000</v>
          </cell>
          <cell r="S56">
            <v>23290000</v>
          </cell>
          <cell r="T56"/>
          <cell r="U56">
            <v>2800000</v>
          </cell>
          <cell r="V56">
            <v>903000</v>
          </cell>
          <cell r="W56">
            <v>600000</v>
          </cell>
          <cell r="X56">
            <v>1297000</v>
          </cell>
          <cell r="Y56">
            <v>22990000</v>
          </cell>
        </row>
        <row r="57">
          <cell r="B57"/>
          <cell r="C57"/>
          <cell r="D57"/>
          <cell r="E57"/>
          <cell r="F57"/>
          <cell r="G57"/>
          <cell r="H57"/>
          <cell r="I57"/>
          <cell r="J57"/>
          <cell r="K57"/>
          <cell r="L57"/>
          <cell r="M57"/>
          <cell r="N57"/>
          <cell r="O57"/>
          <cell r="P57"/>
          <cell r="Q57"/>
          <cell r="R57"/>
          <cell r="S57"/>
          <cell r="T57"/>
          <cell r="U57"/>
          <cell r="V57"/>
          <cell r="W57"/>
          <cell r="X57"/>
          <cell r="Y57"/>
        </row>
        <row r="58">
          <cell r="B58"/>
          <cell r="C58" t="str">
            <v>RIFTER MCA</v>
          </cell>
          <cell r="D58"/>
          <cell r="E58"/>
          <cell r="F58"/>
          <cell r="G58"/>
          <cell r="H58"/>
          <cell r="I58"/>
          <cell r="J58"/>
          <cell r="K58"/>
          <cell r="L58"/>
          <cell r="M58"/>
          <cell r="N58"/>
          <cell r="O58"/>
          <cell r="P58"/>
          <cell r="Q58"/>
          <cell r="R58"/>
          <cell r="S58"/>
          <cell r="T58"/>
          <cell r="U58"/>
          <cell r="V58"/>
          <cell r="W58"/>
          <cell r="X58"/>
          <cell r="Y58"/>
        </row>
        <row r="59">
          <cell r="A59" t="str">
            <v>1PK9MCA-ALLURE100</v>
          </cell>
          <cell r="B59"/>
          <cell r="C59" t="str">
            <v>Rifter MCA Allure BlueHDi 100</v>
          </cell>
          <cell r="D59" t="e">
            <v>#N/A</v>
          </cell>
          <cell r="E59" t="e">
            <v>#N/A</v>
          </cell>
          <cell r="F59"/>
          <cell r="G59">
            <v>24890000</v>
          </cell>
          <cell r="H59">
            <v>20915966.386554621</v>
          </cell>
          <cell r="I59"/>
          <cell r="J59">
            <v>1800000</v>
          </cell>
          <cell r="K59">
            <v>872000</v>
          </cell>
          <cell r="L59">
            <v>928000</v>
          </cell>
          <cell r="M59">
            <v>23090000</v>
          </cell>
          <cell r="N59"/>
          <cell r="O59">
            <v>2100000</v>
          </cell>
          <cell r="P59">
            <v>872000</v>
          </cell>
          <cell r="Q59">
            <v>300000</v>
          </cell>
          <cell r="R59">
            <v>928000</v>
          </cell>
          <cell r="S59">
            <v>22790000</v>
          </cell>
          <cell r="T59"/>
          <cell r="U59">
            <v>2400000</v>
          </cell>
          <cell r="V59">
            <v>872000</v>
          </cell>
          <cell r="W59">
            <v>600000</v>
          </cell>
          <cell r="X59">
            <v>928000</v>
          </cell>
          <cell r="Y59">
            <v>22490000</v>
          </cell>
        </row>
        <row r="60">
          <cell r="A60" t="str">
            <v>1PK9MCA-ALLPT130</v>
          </cell>
          <cell r="B60"/>
          <cell r="C60" t="str">
            <v>Rifter MCA Allure Puretech 130 EAT8</v>
          </cell>
          <cell r="D60" t="e">
            <v>#N/A</v>
          </cell>
          <cell r="E60" t="e">
            <v>#N/A</v>
          </cell>
          <cell r="F60"/>
          <cell r="G60">
            <v>24390000</v>
          </cell>
          <cell r="H60">
            <v>20495798.319327731</v>
          </cell>
          <cell r="I60"/>
          <cell r="J60">
            <v>1800000</v>
          </cell>
          <cell r="K60">
            <v>854000</v>
          </cell>
          <cell r="L60">
            <v>946000</v>
          </cell>
          <cell r="M60">
            <v>22590000</v>
          </cell>
          <cell r="N60"/>
          <cell r="O60">
            <v>2100000</v>
          </cell>
          <cell r="P60">
            <v>854000</v>
          </cell>
          <cell r="Q60">
            <v>300000</v>
          </cell>
          <cell r="R60">
            <v>946000</v>
          </cell>
          <cell r="S60">
            <v>22290000</v>
          </cell>
          <cell r="T60"/>
          <cell r="U60">
            <v>2400000</v>
          </cell>
          <cell r="V60">
            <v>854000</v>
          </cell>
          <cell r="W60">
            <v>600000</v>
          </cell>
          <cell r="X60">
            <v>946000</v>
          </cell>
          <cell r="Y60">
            <v>21990000</v>
          </cell>
        </row>
        <row r="61">
          <cell r="A61" t="str">
            <v>1PK9MCA-ALLBH130</v>
          </cell>
          <cell r="B61"/>
          <cell r="C61" t="str">
            <v>Rifter MCA Allure BlueHDi 130 EAT8</v>
          </cell>
          <cell r="D61" t="e">
            <v>#N/A</v>
          </cell>
          <cell r="E61" t="e">
            <v>#N/A</v>
          </cell>
          <cell r="F61"/>
          <cell r="G61">
            <v>26690000</v>
          </cell>
          <cell r="H61">
            <v>22428571.428571429</v>
          </cell>
          <cell r="I61"/>
          <cell r="J61">
            <v>1800000</v>
          </cell>
          <cell r="K61">
            <v>900000</v>
          </cell>
          <cell r="L61">
            <v>900000</v>
          </cell>
          <cell r="M61">
            <v>24890000</v>
          </cell>
          <cell r="N61"/>
          <cell r="O61">
            <v>2100000</v>
          </cell>
          <cell r="P61">
            <v>900000</v>
          </cell>
          <cell r="Q61">
            <v>300000</v>
          </cell>
          <cell r="R61">
            <v>900000</v>
          </cell>
          <cell r="S61">
            <v>24590000</v>
          </cell>
          <cell r="T61"/>
          <cell r="U61">
            <v>2400000</v>
          </cell>
          <cell r="V61">
            <v>900000</v>
          </cell>
          <cell r="W61">
            <v>600000</v>
          </cell>
          <cell r="X61">
            <v>900000</v>
          </cell>
          <cell r="Y61">
            <v>24290000</v>
          </cell>
        </row>
        <row r="62">
          <cell r="B62"/>
          <cell r="C62"/>
          <cell r="D62"/>
          <cell r="E62"/>
          <cell r="F62"/>
          <cell r="G62"/>
          <cell r="H62"/>
          <cell r="I62"/>
          <cell r="J62"/>
          <cell r="K62"/>
          <cell r="L62"/>
          <cell r="M62"/>
          <cell r="N62"/>
          <cell r="O62"/>
          <cell r="P62"/>
          <cell r="Q62"/>
          <cell r="R62"/>
          <cell r="S62"/>
          <cell r="T62"/>
          <cell r="U62"/>
          <cell r="V62"/>
          <cell r="W62"/>
          <cell r="X62"/>
          <cell r="Y62"/>
        </row>
        <row r="63">
          <cell r="B63"/>
          <cell r="C63" t="str">
            <v>Colores especiales: 
Blanco Nacarado: Precio Lista + $200.000
Blanco Okenite: Precio Lista + $200.000</v>
          </cell>
          <cell r="D63"/>
          <cell r="E63"/>
          <cell r="F63"/>
          <cell r="G63"/>
          <cell r="H63"/>
          <cell r="I63"/>
          <cell r="J63"/>
          <cell r="K63"/>
          <cell r="L63"/>
          <cell r="M63"/>
          <cell r="N63"/>
          <cell r="O63"/>
          <cell r="P63"/>
          <cell r="Q63"/>
          <cell r="R63"/>
          <cell r="S63"/>
          <cell r="T63"/>
          <cell r="U63"/>
          <cell r="V63"/>
          <cell r="W63"/>
          <cell r="X63"/>
          <cell r="Y63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>
    <tabColor theme="2" tint="-0.89999084444715716"/>
    <pageSetUpPr fitToPage="1"/>
  </sheetPr>
  <dimension ref="A1:AL44"/>
  <sheetViews>
    <sheetView showGridLines="0" tabSelected="1" zoomScale="70" zoomScaleNormal="70" workbookViewId="0">
      <pane xSplit="4" ySplit="9" topLeftCell="E34" activePane="bottomRight" state="frozen"/>
      <selection pane="topRight" activeCell="C11" sqref="C11"/>
      <selection pane="bottomLeft" activeCell="C11" sqref="C11"/>
      <selection pane="bottomRight" activeCell="Y40" activeCellId="5" sqref="Y12 Y17 Y23 Y32 Y36 Y40"/>
    </sheetView>
  </sheetViews>
  <sheetFormatPr baseColWidth="10" defaultColWidth="11.42578125" defaultRowHeight="24.95" customHeight="1" outlineLevelCol="1" x14ac:dyDescent="0.2"/>
  <cols>
    <col min="1" max="1" width="51.5703125" style="73" hidden="1" customWidth="1" outlineLevel="1"/>
    <col min="2" max="2" width="2.7109375" style="47" customWidth="1" collapsed="1"/>
    <col min="3" max="3" width="65.7109375" style="41" customWidth="1"/>
    <col min="4" max="4" width="35.7109375" style="53" hidden="1" customWidth="1" outlineLevel="1"/>
    <col min="5" max="5" width="35.7109375" style="47" customWidth="1" collapsed="1"/>
    <col min="6" max="6" width="2.7109375" style="47" customWidth="1"/>
    <col min="7" max="7" width="25.7109375" style="48" customWidth="1"/>
    <col min="8" max="8" width="25.7109375" style="48" hidden="1" customWidth="1" outlineLevel="1"/>
    <col min="9" max="9" width="2.7109375" style="48" customWidth="1" collapsed="1"/>
    <col min="10" max="10" width="25.7109375" style="48" customWidth="1"/>
    <col min="11" max="12" width="25.7109375" style="48" hidden="1" customWidth="1" outlineLevel="1"/>
    <col min="13" max="13" width="25.7109375" style="47" customWidth="1" collapsed="1"/>
    <col min="14" max="14" width="2.7109375" style="47" customWidth="1"/>
    <col min="15" max="15" width="25.7109375" style="48" customWidth="1"/>
    <col min="16" max="18" width="25.7109375" style="48" hidden="1" customWidth="1" outlineLevel="1"/>
    <col min="19" max="19" width="25.7109375" style="47" customWidth="1" collapsed="1"/>
    <col min="20" max="20" width="2.7109375" style="47" customWidth="1"/>
    <col min="21" max="21" width="25.7109375" style="48" customWidth="1"/>
    <col min="22" max="24" width="25.7109375" style="48" hidden="1" customWidth="1" outlineLevel="1"/>
    <col min="25" max="25" width="25.7109375" style="47" customWidth="1" collapsed="1"/>
    <col min="26" max="26" width="2.7109375" style="47" customWidth="1"/>
    <col min="27" max="30" width="20.85546875" style="48" hidden="1" customWidth="1" outlineLevel="1"/>
    <col min="31" max="31" width="2.7109375" style="47" customWidth="1" collapsed="1"/>
    <col min="32" max="32" width="12.7109375" style="49" hidden="1" customWidth="1" outlineLevel="1"/>
    <col min="33" max="34" width="20.7109375" style="48" hidden="1" customWidth="1" outlineLevel="1"/>
    <col min="35" max="35" width="2.7109375" style="41" customWidth="1" collapsed="1"/>
    <col min="36" max="36" width="20.28515625" style="77" hidden="1" customWidth="1"/>
    <col min="37" max="38" width="19" style="41" hidden="1" customWidth="1"/>
    <col min="39" max="39" width="11.42578125" style="41" customWidth="1"/>
    <col min="40" max="16384" width="11.42578125" style="41"/>
  </cols>
  <sheetData>
    <row r="1" spans="1:38" s="18" customFormat="1" ht="24.95" customHeight="1" x14ac:dyDescent="0.2">
      <c r="A1" s="133"/>
      <c r="B1" s="19"/>
      <c r="C1" s="29"/>
      <c r="D1" s="20"/>
      <c r="E1" s="20"/>
      <c r="F1" s="21"/>
      <c r="G1" s="20"/>
      <c r="H1" s="20"/>
      <c r="I1" s="22"/>
      <c r="J1" s="23"/>
      <c r="K1" s="22"/>
      <c r="L1" s="22"/>
      <c r="M1" s="21"/>
      <c r="N1" s="21"/>
      <c r="O1" s="23"/>
      <c r="P1" s="22"/>
      <c r="Q1" s="22"/>
      <c r="R1" s="22"/>
      <c r="S1" s="21"/>
      <c r="T1" s="21"/>
      <c r="U1" s="23"/>
      <c r="V1" s="22"/>
      <c r="W1" s="22"/>
      <c r="X1" s="22"/>
      <c r="Y1" s="21"/>
      <c r="Z1" s="21"/>
      <c r="AA1" s="23"/>
      <c r="AB1" s="23"/>
      <c r="AC1" s="23"/>
      <c r="AD1" s="23"/>
      <c r="AE1" s="21"/>
      <c r="AF1" s="24"/>
      <c r="AG1" s="22"/>
      <c r="AH1" s="22"/>
      <c r="AI1" s="25"/>
      <c r="AJ1" s="75"/>
    </row>
    <row r="2" spans="1:38" s="18" customFormat="1" ht="24.95" customHeight="1" x14ac:dyDescent="0.2">
      <c r="A2" s="133"/>
      <c r="B2" s="26"/>
      <c r="C2" s="29"/>
      <c r="D2" s="20">
        <v>1</v>
      </c>
      <c r="E2" s="20"/>
      <c r="F2" s="27"/>
      <c r="G2" s="22"/>
      <c r="H2" s="22"/>
      <c r="I2" s="28"/>
      <c r="J2" s="23"/>
      <c r="K2" s="22"/>
      <c r="L2" s="22"/>
      <c r="M2" s="27"/>
      <c r="N2" s="27"/>
      <c r="O2" s="23"/>
      <c r="P2" s="22"/>
      <c r="Q2" s="22"/>
      <c r="R2" s="22"/>
      <c r="S2" s="27"/>
      <c r="T2" s="27"/>
      <c r="U2" s="23"/>
      <c r="V2" s="22"/>
      <c r="W2" s="22"/>
      <c r="X2" s="22"/>
      <c r="Y2" s="27"/>
      <c r="Z2" s="27"/>
      <c r="AA2" s="23"/>
      <c r="AB2" s="23"/>
      <c r="AC2" s="23"/>
      <c r="AD2" s="23"/>
      <c r="AE2" s="27"/>
      <c r="AF2" s="24"/>
      <c r="AG2" s="22"/>
      <c r="AH2" s="22"/>
      <c r="AI2" s="25"/>
      <c r="AJ2" s="75"/>
    </row>
    <row r="3" spans="1:38" s="18" customFormat="1" ht="24.95" customHeight="1" x14ac:dyDescent="0.2">
      <c r="A3" s="133"/>
      <c r="B3" s="26"/>
      <c r="C3" s="29"/>
      <c r="D3" s="363" t="s">
        <v>0</v>
      </c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32"/>
      <c r="Q3" s="32"/>
      <c r="R3" s="32"/>
      <c r="S3" s="27"/>
      <c r="T3" s="27"/>
      <c r="U3" s="31"/>
      <c r="V3" s="32"/>
      <c r="W3" s="32"/>
      <c r="X3" s="32"/>
      <c r="Y3" s="27"/>
      <c r="Z3" s="27"/>
      <c r="AA3" s="31"/>
      <c r="AB3" s="31"/>
      <c r="AC3" s="31"/>
      <c r="AD3" s="31"/>
      <c r="AE3" s="27"/>
      <c r="AF3" s="33"/>
      <c r="AG3" s="32"/>
      <c r="AH3" s="32"/>
      <c r="AI3" s="25"/>
      <c r="AJ3" s="75"/>
    </row>
    <row r="4" spans="1:38" s="18" customFormat="1" ht="24.95" customHeight="1" x14ac:dyDescent="0.2">
      <c r="A4" s="133"/>
      <c r="B4" s="26"/>
      <c r="C4" s="29"/>
      <c r="D4" s="371" t="s">
        <v>193</v>
      </c>
      <c r="E4" s="371"/>
      <c r="F4" s="371"/>
      <c r="G4" s="371"/>
      <c r="H4" s="30"/>
      <c r="I4" s="30"/>
      <c r="J4" s="32"/>
      <c r="K4" s="32"/>
      <c r="L4" s="32"/>
      <c r="M4" s="27"/>
      <c r="N4" s="27"/>
      <c r="O4" s="32"/>
      <c r="P4" s="32"/>
      <c r="Q4" s="32"/>
      <c r="R4" s="32"/>
      <c r="S4" s="27"/>
      <c r="T4" s="27"/>
      <c r="U4" s="31"/>
      <c r="V4" s="32"/>
      <c r="W4" s="32"/>
      <c r="X4" s="32"/>
      <c r="Y4" s="27"/>
      <c r="Z4" s="27"/>
      <c r="AA4" s="31"/>
      <c r="AB4" s="31"/>
      <c r="AC4" s="31"/>
      <c r="AD4" s="31"/>
      <c r="AE4" s="27"/>
      <c r="AF4" s="33"/>
      <c r="AG4" s="32"/>
      <c r="AH4" s="32"/>
      <c r="AI4" s="25"/>
      <c r="AJ4" s="75"/>
    </row>
    <row r="5" spans="1:38" s="18" customFormat="1" ht="24.95" customHeight="1" x14ac:dyDescent="0.2">
      <c r="A5" s="133"/>
      <c r="B5" s="26"/>
      <c r="C5" s="29"/>
      <c r="D5" s="364">
        <v>46174</v>
      </c>
      <c r="E5" s="364"/>
      <c r="F5" s="364"/>
      <c r="G5" s="364"/>
      <c r="H5" s="30"/>
      <c r="I5" s="30"/>
      <c r="J5" s="32"/>
      <c r="K5" s="32"/>
      <c r="L5" s="32"/>
      <c r="M5" s="27"/>
      <c r="N5" s="27"/>
      <c r="O5" s="32"/>
      <c r="P5" s="32"/>
      <c r="Q5" s="32"/>
      <c r="R5" s="32"/>
      <c r="S5" s="27"/>
      <c r="T5" s="27"/>
      <c r="U5" s="31"/>
      <c r="V5" s="32"/>
      <c r="W5" s="32"/>
      <c r="X5" s="32"/>
      <c r="Y5" s="27"/>
      <c r="Z5" s="27"/>
      <c r="AA5" s="31"/>
      <c r="AB5" s="31"/>
      <c r="AC5" s="31"/>
      <c r="AD5" s="31"/>
      <c r="AE5" s="27"/>
      <c r="AF5" s="33"/>
      <c r="AG5" s="32"/>
      <c r="AH5" s="32"/>
      <c r="AI5" s="25"/>
      <c r="AJ5" s="75"/>
    </row>
    <row r="6" spans="1:38" s="18" customFormat="1" ht="24.95" customHeight="1" x14ac:dyDescent="0.2">
      <c r="A6" s="133"/>
      <c r="B6" s="26"/>
      <c r="C6" s="29"/>
      <c r="D6" s="50"/>
      <c r="E6" s="30"/>
      <c r="F6" s="30"/>
      <c r="G6" s="30"/>
      <c r="H6" s="30"/>
      <c r="I6" s="30"/>
      <c r="J6" s="31"/>
      <c r="K6" s="32"/>
      <c r="L6" s="32"/>
      <c r="M6" s="27"/>
      <c r="N6" s="27"/>
      <c r="O6" s="31"/>
      <c r="P6" s="32"/>
      <c r="Q6" s="32"/>
      <c r="R6" s="32"/>
      <c r="S6" s="27"/>
      <c r="T6" s="27"/>
      <c r="U6" s="31"/>
      <c r="V6" s="32"/>
      <c r="W6" s="32"/>
      <c r="X6" s="32"/>
      <c r="Y6" s="27"/>
      <c r="Z6" s="27"/>
      <c r="AA6" s="31"/>
      <c r="AB6" s="31"/>
      <c r="AC6" s="31"/>
      <c r="AD6" s="31"/>
      <c r="AE6" s="27"/>
      <c r="AF6" s="33"/>
      <c r="AG6" s="32"/>
      <c r="AH6" s="32"/>
      <c r="AI6" s="25"/>
      <c r="AJ6" s="75"/>
    </row>
    <row r="7" spans="1:38" s="18" customFormat="1" ht="24.95" customHeight="1" thickBot="1" x14ac:dyDescent="0.35">
      <c r="A7" s="133"/>
      <c r="B7" s="26"/>
      <c r="C7" s="34"/>
      <c r="D7" s="52"/>
      <c r="E7" s="27"/>
      <c r="F7" s="27"/>
      <c r="G7" s="32"/>
      <c r="H7" s="32"/>
      <c r="I7" s="175"/>
      <c r="J7" s="165" t="s">
        <v>84</v>
      </c>
      <c r="K7" s="166"/>
      <c r="L7" s="167"/>
      <c r="M7" s="168">
        <v>2.5000000000000001E-2</v>
      </c>
      <c r="N7" s="176"/>
      <c r="O7" s="31"/>
      <c r="P7" s="32"/>
      <c r="Q7" s="32"/>
      <c r="R7" s="32"/>
      <c r="S7" s="27"/>
      <c r="T7" s="27"/>
      <c r="U7" s="31"/>
      <c r="V7" s="32"/>
      <c r="W7" s="32"/>
      <c r="X7" s="32"/>
      <c r="Y7" s="27"/>
      <c r="Z7" s="27"/>
      <c r="AA7" s="31"/>
      <c r="AB7" s="31"/>
      <c r="AC7" s="31"/>
      <c r="AD7" s="31"/>
      <c r="AE7" s="27"/>
      <c r="AF7" s="33"/>
      <c r="AG7" s="32"/>
      <c r="AH7" s="32"/>
      <c r="AI7" s="25"/>
      <c r="AJ7" s="75"/>
    </row>
    <row r="8" spans="1:38" s="94" customFormat="1" ht="25.5" customHeight="1" thickBot="1" x14ac:dyDescent="0.25">
      <c r="A8" s="228"/>
      <c r="B8" s="129"/>
      <c r="C8" s="372" t="s">
        <v>185</v>
      </c>
      <c r="D8" s="374" t="s">
        <v>1</v>
      </c>
      <c r="E8" s="376" t="s">
        <v>2</v>
      </c>
      <c r="F8" s="103"/>
      <c r="G8" s="386" t="s">
        <v>79</v>
      </c>
      <c r="H8" s="387"/>
      <c r="I8" s="229"/>
      <c r="J8" s="383" t="s">
        <v>82</v>
      </c>
      <c r="K8" s="384"/>
      <c r="L8" s="384"/>
      <c r="M8" s="385"/>
      <c r="N8" s="177"/>
      <c r="O8" s="378" t="s">
        <v>80</v>
      </c>
      <c r="P8" s="378"/>
      <c r="Q8" s="378"/>
      <c r="R8" s="378"/>
      <c r="S8" s="379"/>
      <c r="T8" s="106"/>
      <c r="U8" s="380" t="s">
        <v>81</v>
      </c>
      <c r="V8" s="381"/>
      <c r="W8" s="381"/>
      <c r="X8" s="381"/>
      <c r="Y8" s="382"/>
      <c r="Z8" s="355"/>
      <c r="AA8" s="360" t="s">
        <v>186</v>
      </c>
      <c r="AB8" s="360" t="s">
        <v>187</v>
      </c>
      <c r="AC8" s="360" t="s">
        <v>183</v>
      </c>
      <c r="AD8" s="360" t="s">
        <v>184</v>
      </c>
      <c r="AE8" s="355"/>
      <c r="AF8" s="365" t="s">
        <v>4</v>
      </c>
      <c r="AG8" s="360" t="s">
        <v>5</v>
      </c>
      <c r="AH8" s="360" t="s">
        <v>6</v>
      </c>
      <c r="AI8" s="93"/>
      <c r="AJ8" s="92"/>
    </row>
    <row r="9" spans="1:38" s="197" customFormat="1" ht="45" customHeight="1" thickBot="1" x14ac:dyDescent="0.25">
      <c r="A9" s="178" t="s">
        <v>92</v>
      </c>
      <c r="B9" s="179"/>
      <c r="C9" s="373"/>
      <c r="D9" s="375"/>
      <c r="E9" s="377"/>
      <c r="F9" s="180"/>
      <c r="G9" s="181" t="s">
        <v>173</v>
      </c>
      <c r="H9" s="182" t="s">
        <v>174</v>
      </c>
      <c r="I9" s="183" t="s">
        <v>175</v>
      </c>
      <c r="J9" s="184" t="s">
        <v>176</v>
      </c>
      <c r="K9" s="185" t="s">
        <v>3</v>
      </c>
      <c r="L9" s="186" t="s">
        <v>177</v>
      </c>
      <c r="M9" s="187" t="s">
        <v>178</v>
      </c>
      <c r="N9" s="188" t="s">
        <v>175</v>
      </c>
      <c r="O9" s="189" t="s">
        <v>176</v>
      </c>
      <c r="P9" s="185" t="s">
        <v>3</v>
      </c>
      <c r="Q9" s="185" t="s">
        <v>177</v>
      </c>
      <c r="R9" s="190" t="s">
        <v>179</v>
      </c>
      <c r="S9" s="191" t="s">
        <v>178</v>
      </c>
      <c r="T9" s="192" t="s">
        <v>175</v>
      </c>
      <c r="U9" s="193" t="s">
        <v>176</v>
      </c>
      <c r="V9" s="194" t="s">
        <v>3</v>
      </c>
      <c r="W9" s="194" t="s">
        <v>177</v>
      </c>
      <c r="X9" s="193" t="s">
        <v>179</v>
      </c>
      <c r="Y9" s="193" t="s">
        <v>178</v>
      </c>
      <c r="Z9" s="299"/>
      <c r="AA9" s="360"/>
      <c r="AB9" s="360"/>
      <c r="AC9" s="360"/>
      <c r="AD9" s="360"/>
      <c r="AE9" s="299"/>
      <c r="AF9" s="365"/>
      <c r="AG9" s="360"/>
      <c r="AH9" s="360"/>
      <c r="AI9" s="195"/>
      <c r="AJ9" s="196"/>
    </row>
    <row r="10" spans="1:38" s="40" customFormat="1" ht="15" customHeight="1" thickBot="1" x14ac:dyDescent="0.25">
      <c r="A10" s="136"/>
      <c r="B10" s="130"/>
      <c r="C10" s="124"/>
      <c r="D10" s="86"/>
      <c r="E10" s="85"/>
      <c r="F10" s="64"/>
      <c r="G10" s="104"/>
      <c r="H10" s="105"/>
      <c r="I10" s="104"/>
      <c r="J10" s="105"/>
      <c r="K10" s="105"/>
      <c r="L10" s="105"/>
      <c r="M10" s="104"/>
      <c r="N10" s="174"/>
      <c r="O10" s="105"/>
      <c r="P10" s="105"/>
      <c r="Q10" s="105"/>
      <c r="R10" s="105"/>
      <c r="S10" s="104"/>
      <c r="T10" s="65"/>
      <c r="U10" s="105"/>
      <c r="V10" s="105"/>
      <c r="W10" s="105"/>
      <c r="X10" s="105"/>
      <c r="Y10" s="104"/>
      <c r="Z10" s="65"/>
      <c r="AA10" s="105"/>
      <c r="AB10" s="105"/>
      <c r="AC10" s="105"/>
      <c r="AD10" s="105"/>
      <c r="AE10" s="65"/>
      <c r="AF10" s="356"/>
      <c r="AG10" s="105"/>
      <c r="AH10" s="105"/>
      <c r="AI10" s="39"/>
      <c r="AJ10" s="74"/>
    </row>
    <row r="11" spans="1:38" s="57" customFormat="1" ht="24.95" customHeight="1" x14ac:dyDescent="0.2">
      <c r="A11" s="230"/>
      <c r="B11" s="231"/>
      <c r="C11" s="370" t="s">
        <v>7</v>
      </c>
      <c r="D11" s="388"/>
      <c r="E11" s="389"/>
      <c r="F11" s="232"/>
      <c r="G11" s="233"/>
      <c r="H11" s="234"/>
      <c r="I11" s="235"/>
      <c r="J11"/>
      <c r="K11" s="236"/>
      <c r="L11" s="236"/>
      <c r="M11" s="237"/>
      <c r="N11" s="233"/>
      <c r="O11" s="236"/>
      <c r="P11" s="236"/>
      <c r="Q11" s="236"/>
      <c r="R11" s="236"/>
      <c r="S11" s="237"/>
      <c r="T11" s="233"/>
      <c r="U11" s="236"/>
      <c r="V11" s="236"/>
      <c r="W11" s="236"/>
      <c r="X11" s="236"/>
      <c r="Y11" s="237"/>
      <c r="Z11" s="233"/>
      <c r="AA11" s="236"/>
      <c r="AB11" s="236"/>
      <c r="AC11" s="236"/>
      <c r="AD11" s="236"/>
      <c r="AE11" s="233"/>
      <c r="AF11" s="238"/>
      <c r="AG11" s="236"/>
      <c r="AH11" s="236"/>
      <c r="AI11" s="239"/>
      <c r="AJ11" s="76"/>
    </row>
    <row r="12" spans="1:38" s="211" customFormat="1" ht="24.95" customHeight="1" x14ac:dyDescent="0.2">
      <c r="A12" s="198" t="s">
        <v>63</v>
      </c>
      <c r="B12" s="199"/>
      <c r="C12" s="220" t="s">
        <v>107</v>
      </c>
      <c r="D12" s="221" t="s">
        <v>73</v>
      </c>
      <c r="E12" s="221" t="s">
        <v>62</v>
      </c>
      <c r="F12" s="200"/>
      <c r="G12" s="226">
        <v>18490000</v>
      </c>
      <c r="H12" s="227">
        <f t="shared" ref="H12:H14" si="0">+G12/1.19</f>
        <v>15537815.12605042</v>
      </c>
      <c r="I12" s="201"/>
      <c r="J12" s="227">
        <v>1400000</v>
      </c>
      <c r="K12" s="227">
        <f>+IF(J12/2&gt;G12*$M$7,G12*$M$7,J12/2)</f>
        <v>462250</v>
      </c>
      <c r="L12" s="227">
        <f t="shared" ref="L12:L14" si="1">J12-K12</f>
        <v>937750</v>
      </c>
      <c r="M12" s="226">
        <f>$G12-J12</f>
        <v>17090000</v>
      </c>
      <c r="N12" s="219"/>
      <c r="O12" s="227">
        <v>1500000</v>
      </c>
      <c r="P12" s="227">
        <f t="shared" ref="P12:P14" si="2">+K12</f>
        <v>462250</v>
      </c>
      <c r="Q12" s="227">
        <f>+L12</f>
        <v>937750</v>
      </c>
      <c r="R12" s="227">
        <f>+O12-P12-Q12</f>
        <v>100000</v>
      </c>
      <c r="S12" s="226">
        <f>$G12-O12</f>
        <v>16990000</v>
      </c>
      <c r="T12" s="219"/>
      <c r="U12" s="227">
        <v>5300000</v>
      </c>
      <c r="V12" s="227">
        <f t="shared" ref="V12:W14" si="3">+K12</f>
        <v>462250</v>
      </c>
      <c r="W12" s="227">
        <f t="shared" si="3"/>
        <v>937750</v>
      </c>
      <c r="X12" s="227">
        <f>+U12-V12-W12</f>
        <v>3900000</v>
      </c>
      <c r="Y12" s="226">
        <f>$G12-U12</f>
        <v>13190000</v>
      </c>
      <c r="Z12" s="202"/>
      <c r="AA12" s="206" t="str">
        <f>+IFERROR(IF(G12-VLOOKUP(D12,[1]PASAJEROS!$D:$AA,COLUMNS([1]PASAJEROS!D$1:G$1),0)=0,"ISO",G12-VLOOKUP(D12,[1]PASAJEROS!$D:$AA,COLUMNS([1]PASAJEROS!D$1:G$1),0)),"N/A")</f>
        <v>ISO</v>
      </c>
      <c r="AB12" s="206" t="str">
        <f>+IFERROR(IF(M12-VLOOKUP(D12,[1]PASAJEROS!$D:$AA,COLUMNS([1]PASAJEROS!D$1:M$1),0)=0,"ISO",M12-VLOOKUP(D12,[1]PASAJEROS!$D:$AA,COLUMNS([1]PASAJEROS!D$1:M$1),0)),"N/A")</f>
        <v>ISO</v>
      </c>
      <c r="AC12" s="206">
        <f>+IFERROR(IF(S12-VLOOKUP(D12,[1]PASAJEROS!$D:$AA,COLUMNS([1]PASAJEROS!D$1:S$1),0)=0,"ISO",S12-VLOOKUP(D12,[1]PASAJEROS!$D:$AA,COLUMNS([1]PASAJEROS!D$1:S$1),0)),"N/A")</f>
        <v>200000</v>
      </c>
      <c r="AD12" s="206">
        <f>+IFERROR(IF(Y12-VLOOKUP(D12,[1]PASAJEROS!$D:$AA,COLUMNS([1]PASAJEROS!D$1:Y$1),0)=0,"ISO",Y12-VLOOKUP(D12,[1]PASAJEROS!$D:$AA,COLUMNS([1]PASAJEROS!D$1:Y$1),0)),"N/A")</f>
        <v>200000</v>
      </c>
      <c r="AE12" s="205"/>
      <c r="AF12" s="207">
        <v>0.09</v>
      </c>
      <c r="AG12" s="203">
        <f>(G12)*(100%-AF12)</f>
        <v>16825900</v>
      </c>
      <c r="AH12" s="203">
        <f t="shared" ref="AH12:AH14" si="4">AG12/1.19</f>
        <v>14139411.764705883</v>
      </c>
      <c r="AI12" s="208"/>
      <c r="AJ12" s="209"/>
      <c r="AK12" s="210"/>
      <c r="AL12" s="210"/>
    </row>
    <row r="13" spans="1:38" s="211" customFormat="1" ht="24.95" customHeight="1" x14ac:dyDescent="0.2">
      <c r="A13" s="198" t="s">
        <v>85</v>
      </c>
      <c r="B13" s="199"/>
      <c r="C13" s="220" t="s">
        <v>108</v>
      </c>
      <c r="D13" s="221" t="s">
        <v>41</v>
      </c>
      <c r="E13" s="221" t="s">
        <v>42</v>
      </c>
      <c r="F13" s="200"/>
      <c r="G13" s="226">
        <v>23990000</v>
      </c>
      <c r="H13" s="227">
        <f t="shared" si="0"/>
        <v>20159663.865546219</v>
      </c>
      <c r="I13" s="201"/>
      <c r="J13" s="227">
        <v>2400000</v>
      </c>
      <c r="K13" s="227">
        <f>+IF(J13/2&gt;G13*$M$7,G13*$M$7,J13/2)</f>
        <v>599750</v>
      </c>
      <c r="L13" s="227">
        <f t="shared" si="1"/>
        <v>1800250</v>
      </c>
      <c r="M13" s="226">
        <f>$G13-J13</f>
        <v>21590000</v>
      </c>
      <c r="N13" s="219"/>
      <c r="O13" s="227">
        <v>2500000</v>
      </c>
      <c r="P13" s="227">
        <f t="shared" si="2"/>
        <v>599750</v>
      </c>
      <c r="Q13" s="227">
        <f>+L13</f>
        <v>1800250</v>
      </c>
      <c r="R13" s="227">
        <f>+O13-P13-Q13</f>
        <v>100000</v>
      </c>
      <c r="S13" s="226">
        <f>$G13-O13</f>
        <v>21490000</v>
      </c>
      <c r="T13" s="219"/>
      <c r="U13" s="227">
        <v>4800000</v>
      </c>
      <c r="V13" s="227">
        <f t="shared" si="3"/>
        <v>599750</v>
      </c>
      <c r="W13" s="227">
        <f t="shared" si="3"/>
        <v>1800250</v>
      </c>
      <c r="X13" s="227">
        <f>+U13-V13-W13</f>
        <v>2400000</v>
      </c>
      <c r="Y13" s="226">
        <f>$G13-U13</f>
        <v>19190000</v>
      </c>
      <c r="Z13" s="202"/>
      <c r="AA13" s="206" t="str">
        <f>+IFERROR(IF(G13-VLOOKUP(D13,[1]PASAJEROS!$D:$AA,COLUMNS([1]PASAJEROS!D$1:G$1),0)=0,"ISO",G13-VLOOKUP(D13,[1]PASAJEROS!$D:$AA,COLUMNS([1]PASAJEROS!D$1:G$1),0)),"N/A")</f>
        <v>ISO</v>
      </c>
      <c r="AB13" s="206" t="str">
        <f>+IFERROR(IF(M13-VLOOKUP(D13,[1]PASAJEROS!$D:$AA,COLUMNS([1]PASAJEROS!D$1:M$1),0)=0,"ISO",M13-VLOOKUP(D13,[1]PASAJEROS!$D:$AA,COLUMNS([1]PASAJEROS!D$1:M$1),0)),"N/A")</f>
        <v>ISO</v>
      </c>
      <c r="AC13" s="206">
        <f>+IFERROR(IF(S13-VLOOKUP(D13,[1]PASAJEROS!$D:$AA,COLUMNS([1]PASAJEROS!D$1:S$1),0)=0,"ISO",S13-VLOOKUP(D13,[1]PASAJEROS!$D:$AA,COLUMNS([1]PASAJEROS!D$1:S$1),0)),"N/A")</f>
        <v>200000</v>
      </c>
      <c r="AD13" s="206">
        <f>+IFERROR(IF(Y13-VLOOKUP(D13,[1]PASAJEROS!$D:$AA,COLUMNS([1]PASAJEROS!D$1:Y$1),0)=0,"ISO",Y13-VLOOKUP(D13,[1]PASAJEROS!$D:$AA,COLUMNS([1]PASAJEROS!D$1:Y$1),0)),"N/A")</f>
        <v>200000</v>
      </c>
      <c r="AE13" s="205"/>
      <c r="AF13" s="207">
        <v>0.09</v>
      </c>
      <c r="AG13" s="203">
        <f>(G13)*(100%-AF13)</f>
        <v>21830900</v>
      </c>
      <c r="AH13" s="203">
        <f t="shared" si="4"/>
        <v>18345294.117647059</v>
      </c>
      <c r="AI13" s="208"/>
      <c r="AJ13" s="209" t="e">
        <f>+M13-VLOOKUP(A13,'[1]BONO O GIFT CARD'!$A:$S,13,0)</f>
        <v>#N/A</v>
      </c>
      <c r="AK13" s="210" t="e">
        <f>+S13-VLOOKUP(A13,'[1]BONO O GIFT CARD'!$A:$S,19,0)</f>
        <v>#N/A</v>
      </c>
      <c r="AL13" s="210" t="e">
        <f>+Y13-VLOOKUP(A13,'[1]BONO O GIFT CARD'!$A:$Y,25,0)</f>
        <v>#N/A</v>
      </c>
    </row>
    <row r="14" spans="1:38" s="211" customFormat="1" ht="24.95" customHeight="1" x14ac:dyDescent="0.2">
      <c r="A14" s="198" t="s">
        <v>86</v>
      </c>
      <c r="B14" s="199"/>
      <c r="C14" s="220" t="s">
        <v>109</v>
      </c>
      <c r="D14" s="221" t="s">
        <v>37</v>
      </c>
      <c r="E14" s="221" t="s">
        <v>38</v>
      </c>
      <c r="F14" s="200"/>
      <c r="G14" s="226">
        <v>26590000</v>
      </c>
      <c r="H14" s="227">
        <f t="shared" si="0"/>
        <v>22344537.81512605</v>
      </c>
      <c r="I14" s="201"/>
      <c r="J14" s="227">
        <v>1900000</v>
      </c>
      <c r="K14" s="227">
        <f>+IF(J14/2&gt;G14*$M$7,G14*$M$7,J14/2)</f>
        <v>664750</v>
      </c>
      <c r="L14" s="227">
        <f t="shared" si="1"/>
        <v>1235250</v>
      </c>
      <c r="M14" s="226">
        <f>$G14-J14</f>
        <v>24690000</v>
      </c>
      <c r="N14" s="219"/>
      <c r="O14" s="227">
        <v>2800000</v>
      </c>
      <c r="P14" s="227">
        <f t="shared" si="2"/>
        <v>664750</v>
      </c>
      <c r="Q14" s="227">
        <f>+L14</f>
        <v>1235250</v>
      </c>
      <c r="R14" s="227">
        <f>+O14-P14-Q14</f>
        <v>900000</v>
      </c>
      <c r="S14" s="226">
        <f>$G14-O14</f>
        <v>23790000</v>
      </c>
      <c r="T14" s="219"/>
      <c r="U14" s="227">
        <v>4000000</v>
      </c>
      <c r="V14" s="227">
        <f t="shared" si="3"/>
        <v>664750</v>
      </c>
      <c r="W14" s="227">
        <f t="shared" si="3"/>
        <v>1235250</v>
      </c>
      <c r="X14" s="227">
        <f>+U14-V14-W14</f>
        <v>2100000</v>
      </c>
      <c r="Y14" s="226">
        <f>$G14-U14</f>
        <v>22590000</v>
      </c>
      <c r="Z14" s="202"/>
      <c r="AA14" s="206" t="str">
        <f>+IFERROR(IF(G14-VLOOKUP(D14,[1]PASAJEROS!$D:$AA,COLUMNS([1]PASAJEROS!D$1:G$1),0)=0,"ISO",G14-VLOOKUP(D14,[1]PASAJEROS!$D:$AA,COLUMNS([1]PASAJEROS!D$1:G$1),0)),"N/A")</f>
        <v>ISO</v>
      </c>
      <c r="AB14" s="206" t="str">
        <f>+IFERROR(IF(M14-VLOOKUP(D14,[1]PASAJEROS!$D:$AA,COLUMNS([1]PASAJEROS!D$1:M$1),0)=0,"ISO",M14-VLOOKUP(D14,[1]PASAJEROS!$D:$AA,COLUMNS([1]PASAJEROS!D$1:M$1),0)),"N/A")</f>
        <v>ISO</v>
      </c>
      <c r="AC14" s="206" t="str">
        <f>+IFERROR(IF(S14-VLOOKUP(D14,[1]PASAJEROS!$D:$AA,COLUMNS([1]PASAJEROS!D$1:S$1),0)=0,"ISO",S14-VLOOKUP(D14,[1]PASAJEROS!$D:$AA,COLUMNS([1]PASAJEROS!D$1:S$1),0)),"N/A")</f>
        <v>ISO</v>
      </c>
      <c r="AD14" s="206" t="str">
        <f>+IFERROR(IF(Y14-VLOOKUP(D14,[1]PASAJEROS!$D:$AA,COLUMNS([1]PASAJEROS!D$1:Y$1),0)=0,"ISO",Y14-VLOOKUP(D14,[1]PASAJEROS!$D:$AA,COLUMNS([1]PASAJEROS!D$1:Y$1),0)),"N/A")</f>
        <v>ISO</v>
      </c>
      <c r="AE14" s="205"/>
      <c r="AF14" s="207">
        <v>0.09</v>
      </c>
      <c r="AG14" s="203">
        <f>(G14)*(100%-AF14)</f>
        <v>24196900</v>
      </c>
      <c r="AH14" s="203">
        <f t="shared" si="4"/>
        <v>20333529.411764707</v>
      </c>
      <c r="AI14" s="208"/>
      <c r="AJ14" s="209" t="e">
        <f>+M14-VLOOKUP(A14,'[1]BONO O GIFT CARD'!$A:$S,13,0)</f>
        <v>#N/A</v>
      </c>
      <c r="AK14" s="212" t="e">
        <f>+S14-VLOOKUP(A14,'[1]BONO O GIFT CARD'!$A:$S,19,0)</f>
        <v>#N/A</v>
      </c>
      <c r="AL14" s="212" t="e">
        <f>+Y14-VLOOKUP(A14,'[1]BONO O GIFT CARD'!$A:$Y,25,0)</f>
        <v>#N/A</v>
      </c>
    </row>
    <row r="15" spans="1:38" s="40" customFormat="1" ht="24.95" customHeight="1" thickBot="1" x14ac:dyDescent="0.25">
      <c r="A15" s="137"/>
      <c r="B15" s="138"/>
      <c r="C15" s="126"/>
      <c r="D15" s="107"/>
      <c r="E15" s="107"/>
      <c r="F15" s="108"/>
      <c r="G15" s="109"/>
      <c r="H15" s="110"/>
      <c r="I15" s="109"/>
      <c r="J15" s="110"/>
      <c r="K15" s="110"/>
      <c r="L15" s="110"/>
      <c r="M15" s="109"/>
      <c r="N15" s="111"/>
      <c r="O15" s="110"/>
      <c r="P15" s="110"/>
      <c r="Q15" s="110"/>
      <c r="R15" s="110"/>
      <c r="S15" s="109"/>
      <c r="T15" s="111"/>
      <c r="U15" s="110"/>
      <c r="V15" s="110"/>
      <c r="W15" s="110"/>
      <c r="X15" s="110"/>
      <c r="Y15" s="109"/>
      <c r="Z15" s="111"/>
      <c r="AA15" s="140"/>
      <c r="AB15" s="140"/>
      <c r="AC15" s="140"/>
      <c r="AD15" s="140"/>
      <c r="AE15" s="111"/>
      <c r="AF15" s="112"/>
      <c r="AG15" s="113"/>
      <c r="AH15" s="113"/>
      <c r="AI15" s="72"/>
      <c r="AJ15" s="84"/>
      <c r="AK15" s="87"/>
      <c r="AL15" s="87"/>
    </row>
    <row r="16" spans="1:38" s="56" customFormat="1" ht="24.95" customHeight="1" x14ac:dyDescent="0.2">
      <c r="A16" s="240"/>
      <c r="B16" s="138"/>
      <c r="C16" s="370" t="s">
        <v>23</v>
      </c>
      <c r="D16" s="388"/>
      <c r="E16" s="389"/>
      <c r="F16" s="232"/>
      <c r="G16" s="235"/>
      <c r="H16" s="241"/>
      <c r="I16" s="235"/>
      <c r="J16"/>
      <c r="K16" s="241"/>
      <c r="L16" s="241"/>
      <c r="M16" s="235"/>
      <c r="N16" s="233"/>
      <c r="O16" s="241"/>
      <c r="P16" s="241"/>
      <c r="Q16" s="241"/>
      <c r="R16" s="241"/>
      <c r="S16" s="235"/>
      <c r="T16" s="233"/>
      <c r="U16" s="241"/>
      <c r="V16" s="241"/>
      <c r="W16" s="241"/>
      <c r="X16" s="241"/>
      <c r="Y16" s="235"/>
      <c r="Z16" s="233"/>
      <c r="AA16" s="242"/>
      <c r="AB16" s="242"/>
      <c r="AC16" s="242"/>
      <c r="AD16" s="242"/>
      <c r="AE16" s="233"/>
      <c r="AF16" s="241"/>
      <c r="AG16" s="241"/>
      <c r="AH16" s="241"/>
      <c r="AI16" s="72"/>
      <c r="AJ16" s="84"/>
      <c r="AK16" s="87"/>
      <c r="AL16" s="87"/>
    </row>
    <row r="17" spans="1:38" s="211" customFormat="1" ht="24.95" customHeight="1" x14ac:dyDescent="0.2">
      <c r="A17" s="198" t="s">
        <v>66</v>
      </c>
      <c r="B17" s="199"/>
      <c r="C17" s="220" t="s">
        <v>110</v>
      </c>
      <c r="D17" s="221" t="s">
        <v>72</v>
      </c>
      <c r="E17" s="221" t="s">
        <v>39</v>
      </c>
      <c r="F17" s="200"/>
      <c r="G17" s="226">
        <v>23190000</v>
      </c>
      <c r="H17" s="227">
        <f t="shared" ref="H17:H20" si="5">+G17/1.19</f>
        <v>19487394.957983196</v>
      </c>
      <c r="I17" s="201"/>
      <c r="J17" s="227">
        <v>3400000</v>
      </c>
      <c r="K17" s="227">
        <f t="shared" ref="K17:K20" si="6">+IF(J17/2&gt;G17*$M$7,G17*$M$7,J17/2)</f>
        <v>579750</v>
      </c>
      <c r="L17" s="227">
        <f t="shared" ref="L17:L20" si="7">J17-K17</f>
        <v>2820250</v>
      </c>
      <c r="M17" s="226">
        <f t="shared" ref="M17:M20" si="8">$G17-J17</f>
        <v>19790000</v>
      </c>
      <c r="N17" s="219"/>
      <c r="O17" s="227">
        <v>5300000</v>
      </c>
      <c r="P17" s="227">
        <f t="shared" ref="P17:P20" si="9">+K17</f>
        <v>579750</v>
      </c>
      <c r="Q17" s="227">
        <f>+L17</f>
        <v>2820250</v>
      </c>
      <c r="R17" s="227">
        <f>+O17-P17-Q17</f>
        <v>1900000</v>
      </c>
      <c r="S17" s="226">
        <f>$G17-O17</f>
        <v>17890000</v>
      </c>
      <c r="T17" s="219"/>
      <c r="U17" s="227">
        <v>6200000</v>
      </c>
      <c r="V17" s="227">
        <f t="shared" ref="V17:W20" si="10">+K17</f>
        <v>579750</v>
      </c>
      <c r="W17" s="227">
        <f t="shared" si="10"/>
        <v>2820250</v>
      </c>
      <c r="X17" s="227">
        <f>+U17-V17-W17</f>
        <v>2800000</v>
      </c>
      <c r="Y17" s="226">
        <f>$G17-U17</f>
        <v>16990000</v>
      </c>
      <c r="Z17" s="202"/>
      <c r="AA17" s="206" t="str">
        <f>+IFERROR(IF(G17-VLOOKUP(D17,[1]PASAJEROS!$D:$AA,COLUMNS([1]PASAJEROS!D$1:G$1),0)=0,"ISO",G17-VLOOKUP(D17,[1]PASAJEROS!$D:$AA,COLUMNS([1]PASAJEROS!D$1:G$1),0)),"N/A")</f>
        <v>ISO</v>
      </c>
      <c r="AB17" s="206" t="str">
        <f>+IFERROR(IF(M17-VLOOKUP(D17,[1]PASAJEROS!$D:$AA,COLUMNS([1]PASAJEROS!D$1:M$1),0)=0,"ISO",M17-VLOOKUP(D17,[1]PASAJEROS!$D:$AA,COLUMNS([1]PASAJEROS!D$1:M$1),0)),"N/A")</f>
        <v>ISO</v>
      </c>
      <c r="AC17" s="206" t="str">
        <f>+IFERROR(IF(S17-VLOOKUP(D17,[1]PASAJEROS!$D:$AA,COLUMNS([1]PASAJEROS!D$1:S$1),0)=0,"ISO",S17-VLOOKUP(D17,[1]PASAJEROS!$D:$AA,COLUMNS([1]PASAJEROS!D$1:S$1),0)),"N/A")</f>
        <v>ISO</v>
      </c>
      <c r="AD17" s="206" t="str">
        <f>+IFERROR(IF(Y17-VLOOKUP(D17,[1]PASAJEROS!$D:$AA,COLUMNS([1]PASAJEROS!D$1:Y$1),0)=0,"ISO",Y17-VLOOKUP(D17,[1]PASAJEROS!$D:$AA,COLUMNS([1]PASAJEROS!D$1:Y$1),0)),"N/A")</f>
        <v>ISO</v>
      </c>
      <c r="AE17" s="205"/>
      <c r="AF17" s="207">
        <v>0.09</v>
      </c>
      <c r="AG17" s="203">
        <f>(G17)*(100%-AF17)</f>
        <v>21102900</v>
      </c>
      <c r="AH17" s="203">
        <f t="shared" ref="AH17" si="11">AG17/1.19</f>
        <v>17733529.411764707</v>
      </c>
      <c r="AI17" s="208"/>
      <c r="AJ17" s="209"/>
      <c r="AK17" s="210"/>
      <c r="AL17" s="210"/>
    </row>
    <row r="18" spans="1:38" s="211" customFormat="1" ht="24.95" customHeight="1" x14ac:dyDescent="0.2">
      <c r="A18" s="198" t="s">
        <v>64</v>
      </c>
      <c r="B18" s="199"/>
      <c r="C18" s="220" t="s">
        <v>111</v>
      </c>
      <c r="D18" s="221" t="s">
        <v>40</v>
      </c>
      <c r="E18" s="221" t="s">
        <v>39</v>
      </c>
      <c r="F18" s="200"/>
      <c r="G18" s="226">
        <v>25290000</v>
      </c>
      <c r="H18" s="227">
        <f t="shared" si="5"/>
        <v>21252100.840336137</v>
      </c>
      <c r="I18" s="201"/>
      <c r="J18" s="227">
        <v>4000000</v>
      </c>
      <c r="K18" s="227">
        <f t="shared" si="6"/>
        <v>632250</v>
      </c>
      <c r="L18" s="227">
        <f t="shared" si="7"/>
        <v>3367750</v>
      </c>
      <c r="M18" s="226">
        <f t="shared" si="8"/>
        <v>21290000</v>
      </c>
      <c r="N18" s="219"/>
      <c r="O18" s="227">
        <v>5400000</v>
      </c>
      <c r="P18" s="227">
        <f t="shared" si="9"/>
        <v>632250</v>
      </c>
      <c r="Q18" s="227">
        <f>+L18</f>
        <v>3367750</v>
      </c>
      <c r="R18" s="227">
        <f>+O18-P18-Q18</f>
        <v>1400000</v>
      </c>
      <c r="S18" s="226">
        <f>$G18-O18</f>
        <v>19890000</v>
      </c>
      <c r="T18" s="219"/>
      <c r="U18" s="227">
        <v>6300000</v>
      </c>
      <c r="V18" s="227">
        <f t="shared" si="10"/>
        <v>632250</v>
      </c>
      <c r="W18" s="227">
        <f t="shared" si="10"/>
        <v>3367750</v>
      </c>
      <c r="X18" s="227">
        <f>+U18-V18-W18</f>
        <v>2300000</v>
      </c>
      <c r="Y18" s="226">
        <f>$G18-U18</f>
        <v>18990000</v>
      </c>
      <c r="Z18" s="202"/>
      <c r="AA18" s="206" t="str">
        <f>+IFERROR(IF(G18-VLOOKUP(D18,[1]PASAJEROS!$D:$AA,COLUMNS([1]PASAJEROS!D$1:G$1),0)=0,"ISO",G18-VLOOKUP(D18,[1]PASAJEROS!$D:$AA,COLUMNS([1]PASAJEROS!D$1:G$1),0)),"N/A")</f>
        <v>ISO</v>
      </c>
      <c r="AB18" s="206" t="str">
        <f>+IFERROR(IF(M18-VLOOKUP(D18,[1]PASAJEROS!$D:$AA,COLUMNS([1]PASAJEROS!D$1:M$1),0)=0,"ISO",M18-VLOOKUP(D18,[1]PASAJEROS!$D:$AA,COLUMNS([1]PASAJEROS!D$1:M$1),0)),"N/A")</f>
        <v>ISO</v>
      </c>
      <c r="AC18" s="206" t="str">
        <f>+IFERROR(IF(S18-VLOOKUP(D18,[1]PASAJEROS!$D:$AA,COLUMNS([1]PASAJEROS!D$1:S$1),0)=0,"ISO",S18-VLOOKUP(D18,[1]PASAJEROS!$D:$AA,COLUMNS([1]PASAJEROS!D$1:S$1),0)),"N/A")</f>
        <v>ISO</v>
      </c>
      <c r="AD18" s="206" t="str">
        <f>+IFERROR(IF(Y18-VLOOKUP(D18,[1]PASAJEROS!$D:$AA,COLUMNS([1]PASAJEROS!D$1:Y$1),0)=0,"ISO",Y18-VLOOKUP(D18,[1]PASAJEROS!$D:$AA,COLUMNS([1]PASAJEROS!D$1:Y$1),0)),"N/A")</f>
        <v>ISO</v>
      </c>
      <c r="AE18" s="205"/>
      <c r="AF18" s="207">
        <v>0.09</v>
      </c>
      <c r="AG18" s="203">
        <f>(G18)*(100%-AF18)</f>
        <v>23013900</v>
      </c>
      <c r="AH18" s="203">
        <f t="shared" ref="AH18" si="12">AG18/1.19</f>
        <v>19339411.764705881</v>
      </c>
      <c r="AI18" s="208"/>
      <c r="AJ18" s="209" t="e">
        <f>+M18-VLOOKUP(A18,'[1]BONO O GIFT CARD'!$A:$S,13,0)</f>
        <v>#N/A</v>
      </c>
      <c r="AK18" s="210" t="e">
        <f>+S18-VLOOKUP(A18,'[1]BONO O GIFT CARD'!$A:$S,19,0)</f>
        <v>#N/A</v>
      </c>
      <c r="AL18" s="210" t="e">
        <f>+Y18-VLOOKUP(A18,'[1]BONO O GIFT CARD'!$A:$Y,25,0)</f>
        <v>#N/A</v>
      </c>
    </row>
    <row r="19" spans="1:38" s="211" customFormat="1" ht="24.95" customHeight="1" x14ac:dyDescent="0.2">
      <c r="A19" s="198" t="s">
        <v>87</v>
      </c>
      <c r="B19" s="199"/>
      <c r="C19" s="220" t="s">
        <v>112</v>
      </c>
      <c r="D19" s="221" t="s">
        <v>43</v>
      </c>
      <c r="E19" s="221" t="str">
        <f>+E18</f>
        <v>PG9562E60724S00-5</v>
      </c>
      <c r="F19" s="200"/>
      <c r="G19" s="226">
        <v>28590000</v>
      </c>
      <c r="H19" s="227">
        <f t="shared" si="5"/>
        <v>24025210.084033616</v>
      </c>
      <c r="I19" s="201"/>
      <c r="J19" s="227">
        <v>3800000</v>
      </c>
      <c r="K19" s="227">
        <f t="shared" si="6"/>
        <v>714750</v>
      </c>
      <c r="L19" s="227">
        <f t="shared" si="7"/>
        <v>3085250</v>
      </c>
      <c r="M19" s="226">
        <f t="shared" si="8"/>
        <v>24790000</v>
      </c>
      <c r="N19" s="219"/>
      <c r="O19" s="227">
        <v>5700000</v>
      </c>
      <c r="P19" s="227">
        <f t="shared" si="9"/>
        <v>714750</v>
      </c>
      <c r="Q19" s="227">
        <f>+L19</f>
        <v>3085250</v>
      </c>
      <c r="R19" s="227">
        <f>+O19-P19-Q19</f>
        <v>1900000</v>
      </c>
      <c r="S19" s="226">
        <f>$G19-O19</f>
        <v>22890000</v>
      </c>
      <c r="T19" s="219"/>
      <c r="U19" s="227">
        <v>6600000</v>
      </c>
      <c r="V19" s="227">
        <f t="shared" si="10"/>
        <v>714750</v>
      </c>
      <c r="W19" s="227">
        <f t="shared" si="10"/>
        <v>3085250</v>
      </c>
      <c r="X19" s="227">
        <f>+U19-V19-W19</f>
        <v>2800000</v>
      </c>
      <c r="Y19" s="226">
        <f>$G19-U19</f>
        <v>21990000</v>
      </c>
      <c r="Z19" s="202"/>
      <c r="AA19" s="206" t="str">
        <f>+IFERROR(IF(G19-VLOOKUP(D19,[1]PASAJEROS!$D:$AA,COLUMNS([1]PASAJEROS!D$1:G$1),0)=0,"ISO",G19-VLOOKUP(D19,[1]PASAJEROS!$D:$AA,COLUMNS([1]PASAJEROS!D$1:G$1),0)),"N/A")</f>
        <v>ISO</v>
      </c>
      <c r="AB19" s="206" t="str">
        <f>+IFERROR(IF(M19-VLOOKUP(D19,[1]PASAJEROS!$D:$AA,COLUMNS([1]PASAJEROS!D$1:M$1),0)=0,"ISO",M19-VLOOKUP(D19,[1]PASAJEROS!$D:$AA,COLUMNS([1]PASAJEROS!D$1:M$1),0)),"N/A")</f>
        <v>ISO</v>
      </c>
      <c r="AC19" s="206" t="str">
        <f>+IFERROR(IF(S19-VLOOKUP(D19,[1]PASAJEROS!$D:$AA,COLUMNS([1]PASAJEROS!D$1:S$1),0)=0,"ISO",S19-VLOOKUP(D19,[1]PASAJEROS!$D:$AA,COLUMNS([1]PASAJEROS!D$1:S$1),0)),"N/A")</f>
        <v>ISO</v>
      </c>
      <c r="AD19" s="206" t="str">
        <f>+IFERROR(IF(Y19-VLOOKUP(D19,[1]PASAJEROS!$D:$AA,COLUMNS([1]PASAJEROS!D$1:Y$1),0)=0,"ISO",Y19-VLOOKUP(D19,[1]PASAJEROS!$D:$AA,COLUMNS([1]PASAJEROS!D$1:Y$1),0)),"N/A")</f>
        <v>ISO</v>
      </c>
      <c r="AE19" s="205"/>
      <c r="AF19" s="207">
        <v>0.09</v>
      </c>
      <c r="AG19" s="203">
        <f>(G19)*(100%-AF19)</f>
        <v>26016900</v>
      </c>
      <c r="AH19" s="203">
        <f>AG19/1.19</f>
        <v>21862941.176470589</v>
      </c>
      <c r="AI19" s="208"/>
      <c r="AJ19" s="209" t="e">
        <f>+M19-VLOOKUP(A19,'[1]BONO O GIFT CARD'!$A:$S,13,0)</f>
        <v>#N/A</v>
      </c>
      <c r="AK19" s="210" t="e">
        <f>+S19-VLOOKUP(A19,'[1]BONO O GIFT CARD'!$A:$S,19,0)</f>
        <v>#N/A</v>
      </c>
      <c r="AL19" s="210" t="e">
        <f>+Y19-VLOOKUP(A19,'[1]BONO O GIFT CARD'!$A:$Y,25,0)</f>
        <v>#N/A</v>
      </c>
    </row>
    <row r="20" spans="1:38" s="211" customFormat="1" ht="24.95" customHeight="1" x14ac:dyDescent="0.2">
      <c r="A20" s="198" t="s">
        <v>65</v>
      </c>
      <c r="B20" s="199"/>
      <c r="C20" s="220" t="s">
        <v>113</v>
      </c>
      <c r="D20" s="221" t="s">
        <v>8</v>
      </c>
      <c r="E20" s="221" t="s">
        <v>9</v>
      </c>
      <c r="F20" s="200"/>
      <c r="G20" s="226">
        <v>29590000</v>
      </c>
      <c r="H20" s="227">
        <f t="shared" si="5"/>
        <v>24865546.218487397</v>
      </c>
      <c r="I20" s="201"/>
      <c r="J20" s="227">
        <v>1900000</v>
      </c>
      <c r="K20" s="227">
        <f t="shared" si="6"/>
        <v>739750</v>
      </c>
      <c r="L20" s="227">
        <f t="shared" si="7"/>
        <v>1160250</v>
      </c>
      <c r="M20" s="226">
        <f t="shared" si="8"/>
        <v>27690000</v>
      </c>
      <c r="N20" s="219"/>
      <c r="O20" s="227">
        <v>2800000</v>
      </c>
      <c r="P20" s="227">
        <f t="shared" si="9"/>
        <v>739750</v>
      </c>
      <c r="Q20" s="227">
        <f>+L20</f>
        <v>1160250</v>
      </c>
      <c r="R20" s="227">
        <f>+O20-P20-Q20</f>
        <v>900000</v>
      </c>
      <c r="S20" s="226">
        <f>$G20-O20</f>
        <v>26790000</v>
      </c>
      <c r="T20" s="219"/>
      <c r="U20" s="227">
        <v>4000000</v>
      </c>
      <c r="V20" s="227">
        <f t="shared" si="10"/>
        <v>739750</v>
      </c>
      <c r="W20" s="227">
        <f t="shared" si="10"/>
        <v>1160250</v>
      </c>
      <c r="X20" s="227">
        <f>+U20-V20-W20</f>
        <v>2100000</v>
      </c>
      <c r="Y20" s="226">
        <f>$G20-U20</f>
        <v>25590000</v>
      </c>
      <c r="Z20" s="202"/>
      <c r="AA20" s="206" t="str">
        <f>+IFERROR(IF(G20-VLOOKUP(D20,[1]PASAJEROS!$D:$AA,COLUMNS([1]PASAJEROS!D$1:G$1),0)=0,"ISO",G20-VLOOKUP(D20,[1]PASAJEROS!$D:$AA,COLUMNS([1]PASAJEROS!D$1:G$1),0)),"N/A")</f>
        <v>ISO</v>
      </c>
      <c r="AB20" s="206" t="str">
        <f>+IFERROR(IF(M20-VLOOKUP(D20,[1]PASAJEROS!$D:$AA,COLUMNS([1]PASAJEROS!D$1:M$1),0)=0,"ISO",M20-VLOOKUP(D20,[1]PASAJEROS!$D:$AA,COLUMNS([1]PASAJEROS!D$1:M$1),0)),"N/A")</f>
        <v>ISO</v>
      </c>
      <c r="AC20" s="206" t="str">
        <f>+IFERROR(IF(S20-VLOOKUP(D20,[1]PASAJEROS!$D:$AA,COLUMNS([1]PASAJEROS!D$1:S$1),0)=0,"ISO",S20-VLOOKUP(D20,[1]PASAJEROS!$D:$AA,COLUMNS([1]PASAJEROS!D$1:S$1),0)),"N/A")</f>
        <v>ISO</v>
      </c>
      <c r="AD20" s="206" t="str">
        <f>+IFERROR(IF(Y20-VLOOKUP(D20,[1]PASAJEROS!$D:$AA,COLUMNS([1]PASAJEROS!D$1:Y$1),0)=0,"ISO",Y20-VLOOKUP(D20,[1]PASAJEROS!$D:$AA,COLUMNS([1]PASAJEROS!D$1:Y$1),0)),"N/A")</f>
        <v>ISO</v>
      </c>
      <c r="AE20" s="205"/>
      <c r="AF20" s="207">
        <v>0.09</v>
      </c>
      <c r="AG20" s="203">
        <f>(G20)*(100%-AF20)</f>
        <v>26926900</v>
      </c>
      <c r="AH20" s="203">
        <f>AG20/1.19</f>
        <v>22627647.05882353</v>
      </c>
      <c r="AI20" s="208"/>
      <c r="AJ20" s="209" t="e">
        <f>+M20-VLOOKUP(A20,'[1]BONO O GIFT CARD'!$A:$S,13,0)</f>
        <v>#N/A</v>
      </c>
      <c r="AK20" s="210" t="e">
        <f>+S20-VLOOKUP(A20,'[1]BONO O GIFT CARD'!$A:$S,19,0)</f>
        <v>#N/A</v>
      </c>
      <c r="AL20" s="210" t="e">
        <f>+Y20-VLOOKUP(A20,'[1]BONO O GIFT CARD'!$A:$Y,25,0)</f>
        <v>#N/A</v>
      </c>
    </row>
    <row r="21" spans="1:38" s="40" customFormat="1" ht="24.95" customHeight="1" thickBot="1" x14ac:dyDescent="0.25">
      <c r="A21" s="137"/>
      <c r="B21" s="138"/>
      <c r="C21" s="126"/>
      <c r="D21" s="107"/>
      <c r="E21" s="107"/>
      <c r="F21" s="108"/>
      <c r="G21" s="109"/>
      <c r="H21" s="110"/>
      <c r="I21" s="109"/>
      <c r="J21" s="110"/>
      <c r="K21" s="110"/>
      <c r="L21" s="110"/>
      <c r="M21" s="109"/>
      <c r="N21" s="111"/>
      <c r="O21" s="110"/>
      <c r="P21" s="110"/>
      <c r="Q21" s="110"/>
      <c r="R21" s="110"/>
      <c r="S21" s="109"/>
      <c r="T21" s="111"/>
      <c r="U21" s="109"/>
      <c r="V21" s="110"/>
      <c r="W21" s="110"/>
      <c r="X21" s="110"/>
      <c r="Y21" s="109"/>
      <c r="Z21" s="111"/>
      <c r="AA21" s="140"/>
      <c r="AB21" s="140"/>
      <c r="AC21" s="140"/>
      <c r="AD21" s="140"/>
      <c r="AE21" s="111"/>
      <c r="AF21" s="112"/>
      <c r="AG21" s="113"/>
      <c r="AH21" s="113"/>
      <c r="AI21" s="72"/>
      <c r="AJ21" s="84"/>
      <c r="AK21" s="87"/>
      <c r="AL21" s="87"/>
    </row>
    <row r="22" spans="1:38" s="57" customFormat="1" ht="24.95" customHeight="1" thickBot="1" x14ac:dyDescent="0.25">
      <c r="A22" s="240"/>
      <c r="B22" s="138"/>
      <c r="C22" s="370">
        <v>308</v>
      </c>
      <c r="D22" s="388"/>
      <c r="E22" s="389"/>
      <c r="F22" s="66"/>
      <c r="G22" s="233"/>
      <c r="H22" s="234"/>
      <c r="I22" s="61"/>
      <c r="J22"/>
      <c r="K22" s="236"/>
      <c r="L22" s="236"/>
      <c r="M22" s="237"/>
      <c r="N22" s="63"/>
      <c r="O22" s="236"/>
      <c r="P22" s="236"/>
      <c r="Q22" s="236"/>
      <c r="R22" s="236"/>
      <c r="S22" s="237"/>
      <c r="T22" s="63"/>
      <c r="U22" s="236"/>
      <c r="V22" s="236"/>
      <c r="W22" s="236"/>
      <c r="X22" s="236"/>
      <c r="Y22" s="237"/>
      <c r="Z22" s="63"/>
      <c r="AA22" s="243"/>
      <c r="AB22" s="243"/>
      <c r="AC22" s="243"/>
      <c r="AD22" s="243"/>
      <c r="AE22" s="63"/>
      <c r="AF22" s="62"/>
      <c r="AG22" s="62"/>
      <c r="AH22" s="62"/>
      <c r="AI22" s="72"/>
      <c r="AJ22" s="84"/>
      <c r="AK22" s="87"/>
      <c r="AL22" s="87"/>
    </row>
    <row r="23" spans="1:38" s="211" customFormat="1" ht="24.95" customHeight="1" thickBot="1" x14ac:dyDescent="0.25">
      <c r="A23" s="198" t="s">
        <v>67</v>
      </c>
      <c r="B23" s="199"/>
      <c r="C23" s="223" t="s">
        <v>143</v>
      </c>
      <c r="D23" s="224" t="s">
        <v>10</v>
      </c>
      <c r="E23" s="224" t="s">
        <v>11</v>
      </c>
      <c r="F23" s="213"/>
      <c r="G23" s="226">
        <v>23790000</v>
      </c>
      <c r="H23" s="227">
        <f t="shared" ref="H23:H25" si="13">+G23/1.19</f>
        <v>19991596.638655461</v>
      </c>
      <c r="I23" s="201"/>
      <c r="J23" s="227">
        <v>2500000</v>
      </c>
      <c r="K23" s="227">
        <f t="shared" ref="K23:K25" si="14">+IF(J23/2&gt;G23*$M$7,G23*$M$7,J23/2)</f>
        <v>594750</v>
      </c>
      <c r="L23" s="227">
        <f t="shared" ref="L23:L25" si="15">J23-K23</f>
        <v>1905250</v>
      </c>
      <c r="M23" s="226">
        <f t="shared" ref="M23:M25" si="16">$G23-J23</f>
        <v>21290000</v>
      </c>
      <c r="N23" s="219"/>
      <c r="O23" s="227">
        <v>2900000</v>
      </c>
      <c r="P23" s="227">
        <f t="shared" ref="P23:P25" si="17">+K23</f>
        <v>594750</v>
      </c>
      <c r="Q23" s="227">
        <f>+L23</f>
        <v>1905250</v>
      </c>
      <c r="R23" s="227">
        <f>+O23-P23-Q23</f>
        <v>400000</v>
      </c>
      <c r="S23" s="226">
        <f>$G23-O23</f>
        <v>20890000</v>
      </c>
      <c r="T23" s="219"/>
      <c r="U23" s="227">
        <v>3800000</v>
      </c>
      <c r="V23" s="227">
        <f t="shared" ref="V23:W26" si="18">+K23</f>
        <v>594750</v>
      </c>
      <c r="W23" s="227">
        <f t="shared" si="18"/>
        <v>1905250</v>
      </c>
      <c r="X23" s="227">
        <f>+U23-V23-W23</f>
        <v>1300000</v>
      </c>
      <c r="Y23" s="226">
        <f>$G23-U23</f>
        <v>19990000</v>
      </c>
      <c r="Z23" s="218"/>
      <c r="AA23" s="206" t="str">
        <f>+IFERROR(IF(G23-VLOOKUP(D23,[1]PASAJEROS!$D:$AA,COLUMNS([1]PASAJEROS!D$1:G$1),0)=0,"ISO",G23-VLOOKUP(D23,[1]PASAJEROS!$D:$AA,COLUMNS([1]PASAJEROS!D$1:G$1),0)),"N/A")</f>
        <v>ISO</v>
      </c>
      <c r="AB23" s="206" t="str">
        <f>+IFERROR(IF(M23-VLOOKUP(D23,[1]PASAJEROS!$D:$AA,COLUMNS([1]PASAJEROS!D$1:M$1),0)=0,"ISO",M23-VLOOKUP(D23,[1]PASAJEROS!$D:$AA,COLUMNS([1]PASAJEROS!D$1:M$1),0)),"N/A")</f>
        <v>ISO</v>
      </c>
      <c r="AC23" s="206" t="str">
        <f>+IFERROR(IF(S23-VLOOKUP(D23,[1]PASAJEROS!$D:$AA,COLUMNS([1]PASAJEROS!D$1:S$1),0)=0,"ISO",S23-VLOOKUP(D23,[1]PASAJEROS!$D:$AA,COLUMNS([1]PASAJEROS!D$1:S$1),0)),"N/A")</f>
        <v>ISO</v>
      </c>
      <c r="AD23" s="206" t="str">
        <f>+IFERROR(IF(Y23-VLOOKUP(D23,[1]PASAJEROS!$D:$AA,COLUMNS([1]PASAJEROS!D$1:Y$1),0)=0,"ISO",Y23-VLOOKUP(D23,[1]PASAJEROS!$D:$AA,COLUMNS([1]PASAJEROS!D$1:Y$1),0)),"N/A")</f>
        <v>ISO</v>
      </c>
      <c r="AE23" s="214"/>
      <c r="AF23" s="207">
        <v>0.09</v>
      </c>
      <c r="AG23" s="215">
        <f>(G23)*(100%-AF23)</f>
        <v>21648900</v>
      </c>
      <c r="AH23" s="215">
        <f>AG23/1.19</f>
        <v>18192352.94117647</v>
      </c>
      <c r="AI23" s="208"/>
      <c r="AJ23" s="209" t="e">
        <f>+M23-VLOOKUP(A23,'[1]BONO O GIFT CARD'!$A:$S,13,0)</f>
        <v>#N/A</v>
      </c>
      <c r="AK23" s="210" t="e">
        <f>+S23-VLOOKUP(A23,'[1]BONO O GIFT CARD'!$A:$S,19,0)</f>
        <v>#N/A</v>
      </c>
      <c r="AL23" s="210" t="e">
        <f>+Y23-VLOOKUP(A23,'[1]BONO O GIFT CARD'!$A:$Y,25,0)</f>
        <v>#N/A</v>
      </c>
    </row>
    <row r="24" spans="1:38" s="211" customFormat="1" ht="24.95" customHeight="1" thickBot="1" x14ac:dyDescent="0.25">
      <c r="A24" s="198" t="s">
        <v>131</v>
      </c>
      <c r="B24" s="199"/>
      <c r="C24" s="225" t="s">
        <v>133</v>
      </c>
      <c r="D24" s="224" t="s">
        <v>135</v>
      </c>
      <c r="E24" s="224" t="s">
        <v>136</v>
      </c>
      <c r="F24" s="213"/>
      <c r="G24" s="226">
        <v>28290000</v>
      </c>
      <c r="H24" s="227">
        <f t="shared" ref="H24" si="19">+G24/1.19</f>
        <v>23773109.243697479</v>
      </c>
      <c r="I24" s="201"/>
      <c r="J24" s="227">
        <v>4000000</v>
      </c>
      <c r="K24" s="227">
        <f t="shared" ref="K24" si="20">+IF(J24/2&gt;G24*$M$7,G24*$M$7,J24/2)</f>
        <v>707250</v>
      </c>
      <c r="L24" s="227">
        <f t="shared" ref="L24" si="21">J24-K24</f>
        <v>3292750</v>
      </c>
      <c r="M24" s="226">
        <f t="shared" ref="M24" si="22">$G24-J24</f>
        <v>24290000</v>
      </c>
      <c r="N24" s="219"/>
      <c r="O24" s="227">
        <v>4400000</v>
      </c>
      <c r="P24" s="227">
        <f t="shared" ref="P24" si="23">+K24</f>
        <v>707250</v>
      </c>
      <c r="Q24" s="227">
        <f>+L24</f>
        <v>3292750</v>
      </c>
      <c r="R24" s="227">
        <f>+O24-P24-Q24</f>
        <v>400000</v>
      </c>
      <c r="S24" s="226">
        <f>$G24-O24</f>
        <v>23890000</v>
      </c>
      <c r="T24" s="219"/>
      <c r="U24" s="227">
        <v>5300000</v>
      </c>
      <c r="V24" s="227">
        <f t="shared" si="18"/>
        <v>707250</v>
      </c>
      <c r="W24" s="227">
        <f t="shared" si="18"/>
        <v>3292750</v>
      </c>
      <c r="X24" s="227">
        <f>+U24-V24-W24</f>
        <v>1300000</v>
      </c>
      <c r="Y24" s="226">
        <f>$G24-U24</f>
        <v>22990000</v>
      </c>
      <c r="Z24" s="218"/>
      <c r="AA24" s="206" t="str">
        <f>+IFERROR(IF(G24-VLOOKUP(D24,[1]PASAJEROS!$D:$AA,COLUMNS([1]PASAJEROS!D$1:G$1),0)=0,"ISO",G24-VLOOKUP(D24,[1]PASAJEROS!$D:$AA,COLUMNS([1]PASAJEROS!D$1:G$1),0)),"N/A")</f>
        <v>ISO</v>
      </c>
      <c r="AB24" s="206">
        <f>+IFERROR(IF(M24-VLOOKUP(D24,[1]PASAJEROS!$D:$AA,COLUMNS([1]PASAJEROS!D$1:M$1),0)=0,"ISO",M24-VLOOKUP(D24,[1]PASAJEROS!$D:$AA,COLUMNS([1]PASAJEROS!D$1:M$1),0)),"N/A")</f>
        <v>-1700000</v>
      </c>
      <c r="AC24" s="206">
        <f>+IFERROR(IF(S24-VLOOKUP(D24,[1]PASAJEROS!$D:$AA,COLUMNS([1]PASAJEROS!D$1:S$1),0)=0,"ISO",S24-VLOOKUP(D24,[1]PASAJEROS!$D:$AA,COLUMNS([1]PASAJEROS!D$1:S$1),0)),"N/A")</f>
        <v>-1700000</v>
      </c>
      <c r="AD24" s="206">
        <f>+IFERROR(IF(Y24-VLOOKUP(D24,[1]PASAJEROS!$D:$AA,COLUMNS([1]PASAJEROS!D$1:Y$1),0)=0,"ISO",Y24-VLOOKUP(D24,[1]PASAJEROS!$D:$AA,COLUMNS([1]PASAJEROS!D$1:Y$1),0)),"N/A")</f>
        <v>-1700000</v>
      </c>
      <c r="AE24" s="214"/>
      <c r="AF24" s="207">
        <v>0.09</v>
      </c>
      <c r="AG24" s="215">
        <f>(G24)*(100%-AF24)</f>
        <v>25743900</v>
      </c>
      <c r="AH24" s="215">
        <f>AG24/1.19</f>
        <v>21633529.411764707</v>
      </c>
      <c r="AI24" s="208"/>
      <c r="AJ24" s="209" t="e">
        <f>+M24-VLOOKUP(A24,'[1]BONO O GIFT CARD'!$A:$S,13,0)</f>
        <v>#N/A</v>
      </c>
      <c r="AK24" s="210" t="e">
        <f>+S24-VLOOKUP(A24,'[1]BONO O GIFT CARD'!$A:$S,19,0)</f>
        <v>#N/A</v>
      </c>
      <c r="AL24" s="210" t="e">
        <f>+Y24-VLOOKUP(A24,'[1]BONO O GIFT CARD'!$A:$Y,25,0)</f>
        <v>#N/A</v>
      </c>
    </row>
    <row r="25" spans="1:38" s="211" customFormat="1" ht="24.95" customHeight="1" thickBot="1" x14ac:dyDescent="0.25">
      <c r="A25" s="198" t="s">
        <v>88</v>
      </c>
      <c r="B25" s="199"/>
      <c r="C25" s="225" t="s">
        <v>114</v>
      </c>
      <c r="D25" s="224" t="s">
        <v>12</v>
      </c>
      <c r="E25" s="224" t="s">
        <v>11</v>
      </c>
      <c r="F25" s="213"/>
      <c r="G25" s="226">
        <v>27290000</v>
      </c>
      <c r="H25" s="227">
        <f t="shared" si="13"/>
        <v>22932773.109243698</v>
      </c>
      <c r="I25" s="201"/>
      <c r="J25" s="227">
        <v>2300000</v>
      </c>
      <c r="K25" s="227">
        <f t="shared" si="14"/>
        <v>682250</v>
      </c>
      <c r="L25" s="227">
        <f t="shared" si="15"/>
        <v>1617750</v>
      </c>
      <c r="M25" s="226">
        <f t="shared" si="16"/>
        <v>24990000</v>
      </c>
      <c r="N25" s="219"/>
      <c r="O25" s="227">
        <v>2700000</v>
      </c>
      <c r="P25" s="227">
        <f t="shared" si="17"/>
        <v>682250</v>
      </c>
      <c r="Q25" s="227">
        <f>+L25</f>
        <v>1617750</v>
      </c>
      <c r="R25" s="227">
        <f>+O25-P25-Q25</f>
        <v>400000</v>
      </c>
      <c r="S25" s="226">
        <f>$G25-O25</f>
        <v>24590000</v>
      </c>
      <c r="T25" s="219"/>
      <c r="U25" s="227">
        <v>3600000</v>
      </c>
      <c r="V25" s="227">
        <f t="shared" si="18"/>
        <v>682250</v>
      </c>
      <c r="W25" s="227">
        <f t="shared" si="18"/>
        <v>1617750</v>
      </c>
      <c r="X25" s="227">
        <f>+U25-V25-W25</f>
        <v>1300000</v>
      </c>
      <c r="Y25" s="226">
        <f>$G25-U25</f>
        <v>23690000</v>
      </c>
      <c r="Z25" s="218"/>
      <c r="AA25" s="206" t="str">
        <f>+IFERROR(IF(G25-VLOOKUP(D25,[1]PASAJEROS!$D:$AA,COLUMNS([1]PASAJEROS!D$1:G$1),0)=0,"ISO",G25-VLOOKUP(D25,[1]PASAJEROS!$D:$AA,COLUMNS([1]PASAJEROS!D$1:G$1),0)),"N/A")</f>
        <v>ISO</v>
      </c>
      <c r="AB25" s="206" t="str">
        <f>+IFERROR(IF(M25-VLOOKUP(D25,[1]PASAJEROS!$D:$AA,COLUMNS([1]PASAJEROS!D$1:M$1),0)=0,"ISO",M25-VLOOKUP(D25,[1]PASAJEROS!$D:$AA,COLUMNS([1]PASAJEROS!D$1:M$1),0)),"N/A")</f>
        <v>ISO</v>
      </c>
      <c r="AC25" s="206" t="str">
        <f>+IFERROR(IF(S25-VLOOKUP(D25,[1]PASAJEROS!$D:$AA,COLUMNS([1]PASAJEROS!D$1:S$1),0)=0,"ISO",S25-VLOOKUP(D25,[1]PASAJEROS!$D:$AA,COLUMNS([1]PASAJEROS!D$1:S$1),0)),"N/A")</f>
        <v>ISO</v>
      </c>
      <c r="AD25" s="206" t="str">
        <f>+IFERROR(IF(Y25-VLOOKUP(D25,[1]PASAJEROS!$D:$AA,COLUMNS([1]PASAJEROS!D$1:Y$1),0)=0,"ISO",Y25-VLOOKUP(D25,[1]PASAJEROS!$D:$AA,COLUMNS([1]PASAJEROS!D$1:Y$1),0)),"N/A")</f>
        <v>ISO</v>
      </c>
      <c r="AE25" s="214"/>
      <c r="AF25" s="207">
        <v>0.09</v>
      </c>
      <c r="AG25" s="215">
        <f>(G25)*(100%-AF25)</f>
        <v>24833900</v>
      </c>
      <c r="AH25" s="215">
        <f>AG25/1.19</f>
        <v>20868823.529411767</v>
      </c>
      <c r="AI25" s="208"/>
      <c r="AJ25" s="209" t="e">
        <f>+M25-VLOOKUP(A25,'[1]BONO O GIFT CARD'!$A:$S,13,0)</f>
        <v>#N/A</v>
      </c>
      <c r="AK25" s="210" t="e">
        <f>+S25-VLOOKUP(A25,'[1]BONO O GIFT CARD'!$A:$S,19,0)</f>
        <v>#N/A</v>
      </c>
      <c r="AL25" s="210" t="e">
        <f>+Y25-VLOOKUP(A25,'[1]BONO O GIFT CARD'!$A:$Y,25,0)</f>
        <v>#N/A</v>
      </c>
    </row>
    <row r="26" spans="1:38" s="211" customFormat="1" ht="24.95" customHeight="1" thickBot="1" x14ac:dyDescent="0.25">
      <c r="A26" s="198" t="s">
        <v>132</v>
      </c>
      <c r="B26" s="199"/>
      <c r="C26" s="225" t="s">
        <v>134</v>
      </c>
      <c r="D26" s="224" t="s">
        <v>137</v>
      </c>
      <c r="E26" s="224" t="s">
        <v>136</v>
      </c>
      <c r="F26" s="213"/>
      <c r="G26" s="226">
        <v>31790000</v>
      </c>
      <c r="H26" s="227">
        <f t="shared" ref="H26" si="24">+G26/1.19</f>
        <v>26714285.714285716</v>
      </c>
      <c r="I26" s="201"/>
      <c r="J26" s="227">
        <v>4000000</v>
      </c>
      <c r="K26" s="227">
        <f t="shared" ref="K26" si="25">+IF(J26/2&gt;G26*$M$7,G26*$M$7,J26/2)</f>
        <v>794750</v>
      </c>
      <c r="L26" s="227">
        <f t="shared" ref="L26" si="26">J26-K26</f>
        <v>3205250</v>
      </c>
      <c r="M26" s="226">
        <f t="shared" ref="M26" si="27">$G26-J26</f>
        <v>27790000</v>
      </c>
      <c r="N26" s="219"/>
      <c r="O26" s="227">
        <v>4400000</v>
      </c>
      <c r="P26" s="227">
        <f t="shared" ref="P26" si="28">+K26</f>
        <v>794750</v>
      </c>
      <c r="Q26" s="227">
        <f>+L26</f>
        <v>3205250</v>
      </c>
      <c r="R26" s="227">
        <f>+O26-P26-Q26</f>
        <v>400000</v>
      </c>
      <c r="S26" s="226">
        <f>$G26-O26</f>
        <v>27390000</v>
      </c>
      <c r="T26" s="219"/>
      <c r="U26" s="227">
        <v>5300000</v>
      </c>
      <c r="V26" s="227">
        <f t="shared" si="18"/>
        <v>794750</v>
      </c>
      <c r="W26" s="227">
        <f t="shared" si="18"/>
        <v>3205250</v>
      </c>
      <c r="X26" s="227">
        <f>+U26-V26-W26</f>
        <v>1300000</v>
      </c>
      <c r="Y26" s="226">
        <f>$G26-U26</f>
        <v>26490000</v>
      </c>
      <c r="Z26" s="218"/>
      <c r="AA26" s="206" t="str">
        <f>+IFERROR(IF(G26-VLOOKUP(D26,[1]PASAJEROS!$D:$AA,COLUMNS([1]PASAJEROS!D$1:G$1),0)=0,"ISO",G26-VLOOKUP(D26,[1]PASAJEROS!$D:$AA,COLUMNS([1]PASAJEROS!D$1:G$1),0)),"N/A")</f>
        <v>ISO</v>
      </c>
      <c r="AB26" s="206">
        <f>+IFERROR(IF(M26-VLOOKUP(D26,[1]PASAJEROS!$D:$AA,COLUMNS([1]PASAJEROS!D$1:M$1),0)=0,"ISO",M26-VLOOKUP(D26,[1]PASAJEROS!$D:$AA,COLUMNS([1]PASAJEROS!D$1:M$1),0)),"N/A")</f>
        <v>-1700000</v>
      </c>
      <c r="AC26" s="206">
        <f>+IFERROR(IF(S26-VLOOKUP(D26,[1]PASAJEROS!$D:$AA,COLUMNS([1]PASAJEROS!D$1:S$1),0)=0,"ISO",S26-VLOOKUP(D26,[1]PASAJEROS!$D:$AA,COLUMNS([1]PASAJEROS!D$1:S$1),0)),"N/A")</f>
        <v>-1700000</v>
      </c>
      <c r="AD26" s="206">
        <f>+IFERROR(IF(Y26-VLOOKUP(D26,[1]PASAJEROS!$D:$AA,COLUMNS([1]PASAJEROS!D$1:Y$1),0)=0,"ISO",Y26-VLOOKUP(D26,[1]PASAJEROS!$D:$AA,COLUMNS([1]PASAJEROS!D$1:Y$1),0)),"N/A")</f>
        <v>-1700000</v>
      </c>
      <c r="AE26" s="214"/>
      <c r="AF26" s="207">
        <v>0.09</v>
      </c>
      <c r="AG26" s="215">
        <f>(G26)*(100%-AF26)</f>
        <v>28928900</v>
      </c>
      <c r="AH26" s="215">
        <f>AG26/1.19</f>
        <v>24310000</v>
      </c>
      <c r="AI26" s="208"/>
      <c r="AJ26" s="209" t="e">
        <f>+M26-VLOOKUP(A26,'[1]BONO O GIFT CARD'!$A:$S,13,0)</f>
        <v>#N/A</v>
      </c>
      <c r="AK26" s="210" t="e">
        <f>+S26-VLOOKUP(A26,'[1]BONO O GIFT CARD'!$A:$S,19,0)</f>
        <v>#N/A</v>
      </c>
      <c r="AL26" s="210" t="e">
        <f>+Y26-VLOOKUP(A26,'[1]BONO O GIFT CARD'!$A:$Y,25,0)</f>
        <v>#N/A</v>
      </c>
    </row>
    <row r="27" spans="1:38" s="40" customFormat="1" ht="24.95" customHeight="1" thickBot="1" x14ac:dyDescent="0.25">
      <c r="A27" s="137"/>
      <c r="B27" s="138"/>
      <c r="C27" s="127"/>
      <c r="D27" s="59"/>
      <c r="E27" s="59"/>
      <c r="F27" s="67"/>
      <c r="G27" s="109"/>
      <c r="H27" s="110"/>
      <c r="I27" s="68"/>
      <c r="J27" s="110"/>
      <c r="K27" s="110"/>
      <c r="L27" s="110"/>
      <c r="M27" s="109"/>
      <c r="N27" s="60"/>
      <c r="O27" s="110"/>
      <c r="P27" s="110"/>
      <c r="Q27" s="110"/>
      <c r="R27" s="110"/>
      <c r="S27" s="109"/>
      <c r="T27" s="60"/>
      <c r="U27" s="110"/>
      <c r="V27" s="110"/>
      <c r="W27" s="110"/>
      <c r="X27" s="110"/>
      <c r="Y27" s="109"/>
      <c r="Z27" s="60"/>
      <c r="AA27" s="141"/>
      <c r="AB27" s="141"/>
      <c r="AC27" s="141"/>
      <c r="AD27" s="141"/>
      <c r="AE27" s="60"/>
      <c r="AF27" s="69"/>
      <c r="AG27" s="51"/>
      <c r="AH27" s="51"/>
      <c r="AI27" s="72"/>
      <c r="AJ27" s="84"/>
      <c r="AK27" s="87"/>
      <c r="AL27" s="87"/>
    </row>
    <row r="28" spans="1:38" s="57" customFormat="1" ht="24.95" customHeight="1" thickBot="1" x14ac:dyDescent="0.25">
      <c r="A28" s="240"/>
      <c r="B28" s="138"/>
      <c r="C28" s="370">
        <v>3008</v>
      </c>
      <c r="D28" s="388"/>
      <c r="E28" s="389"/>
      <c r="F28" s="66"/>
      <c r="G28" s="233"/>
      <c r="H28" s="234"/>
      <c r="I28" s="61"/>
      <c r="J28"/>
      <c r="K28" s="236"/>
      <c r="L28" s="236"/>
      <c r="M28" s="237"/>
      <c r="N28" s="63"/>
      <c r="O28" s="236"/>
      <c r="P28" s="236"/>
      <c r="Q28" s="244"/>
      <c r="R28" s="236"/>
      <c r="S28" s="237"/>
      <c r="T28" s="63"/>
      <c r="U28" s="236"/>
      <c r="V28" s="236"/>
      <c r="W28" s="236"/>
      <c r="X28" s="236"/>
      <c r="Y28" s="237"/>
      <c r="Z28" s="63"/>
      <c r="AA28" s="243"/>
      <c r="AB28" s="243"/>
      <c r="AC28" s="243"/>
      <c r="AD28" s="243"/>
      <c r="AE28" s="63"/>
      <c r="AF28" s="62"/>
      <c r="AG28" s="62"/>
      <c r="AH28" s="62"/>
      <c r="AI28" s="72"/>
      <c r="AJ28" s="84"/>
      <c r="AK28" s="87"/>
      <c r="AL28" s="87"/>
    </row>
    <row r="29" spans="1:38" s="211" customFormat="1" ht="24.95" customHeight="1" thickBot="1" x14ac:dyDescent="0.25">
      <c r="A29" s="198" t="s">
        <v>89</v>
      </c>
      <c r="B29" s="199"/>
      <c r="C29" s="223" t="s">
        <v>115</v>
      </c>
      <c r="D29" s="224" t="s">
        <v>13</v>
      </c>
      <c r="E29" s="224" t="s">
        <v>14</v>
      </c>
      <c r="F29" s="213"/>
      <c r="G29" s="226">
        <v>25290000</v>
      </c>
      <c r="H29" s="227">
        <f t="shared" ref="H29" si="29">+G29/1.19</f>
        <v>21252100.840336137</v>
      </c>
      <c r="I29" s="201"/>
      <c r="J29" s="227">
        <v>4300000</v>
      </c>
      <c r="K29" s="227">
        <f t="shared" ref="K29" si="30">+IF(J29/2&gt;G29*$M$7,G29*$M$7,J29/2)</f>
        <v>632250</v>
      </c>
      <c r="L29" s="227">
        <f t="shared" ref="L29" si="31">J29-K29</f>
        <v>3667750</v>
      </c>
      <c r="M29" s="226">
        <f t="shared" ref="M29" si="32">$G29-J29</f>
        <v>20990000</v>
      </c>
      <c r="N29" s="219"/>
      <c r="O29" s="227">
        <v>4700000</v>
      </c>
      <c r="P29" s="227">
        <f t="shared" ref="P29" si="33">+K29</f>
        <v>632250</v>
      </c>
      <c r="Q29" s="227">
        <f>+L29</f>
        <v>3667750</v>
      </c>
      <c r="R29" s="227">
        <f>+O29-P29-Q29</f>
        <v>400000</v>
      </c>
      <c r="S29" s="226">
        <f>$G29-O29</f>
        <v>20590000</v>
      </c>
      <c r="T29" s="219"/>
      <c r="U29" s="227">
        <v>5600000</v>
      </c>
      <c r="V29" s="227">
        <f>+K29</f>
        <v>632250</v>
      </c>
      <c r="W29" s="227">
        <f>+L29</f>
        <v>3667750</v>
      </c>
      <c r="X29" s="227">
        <f>+U29-V29-W29</f>
        <v>1300000</v>
      </c>
      <c r="Y29" s="226">
        <f>$G29-U29</f>
        <v>19690000</v>
      </c>
      <c r="Z29" s="218"/>
      <c r="AA29" s="206" t="str">
        <f>+IFERROR(IF(G29-VLOOKUP(D29,[1]PASAJEROS!$D:$AA,COLUMNS([1]PASAJEROS!D$1:G$1),0)=0,"ISO",G29-VLOOKUP(D29,[1]PASAJEROS!$D:$AA,COLUMNS([1]PASAJEROS!D$1:G$1),0)),"N/A")</f>
        <v>ISO</v>
      </c>
      <c r="AB29" s="206" t="str">
        <f>+IFERROR(IF(M29-VLOOKUP(D29,[1]PASAJEROS!$D:$AA,COLUMNS([1]PASAJEROS!D$1:M$1),0)=0,"ISO",M29-VLOOKUP(D29,[1]PASAJEROS!$D:$AA,COLUMNS([1]PASAJEROS!D$1:M$1),0)),"N/A")</f>
        <v>ISO</v>
      </c>
      <c r="AC29" s="206" t="str">
        <f>+IFERROR(IF(S29-VLOOKUP(D29,[1]PASAJEROS!$D:$AA,COLUMNS([1]PASAJEROS!D$1:S$1),0)=0,"ISO",S29-VLOOKUP(D29,[1]PASAJEROS!$D:$AA,COLUMNS([1]PASAJEROS!D$1:S$1),0)),"N/A")</f>
        <v>ISO</v>
      </c>
      <c r="AD29" s="206" t="str">
        <f>+IFERROR(IF(Y29-VLOOKUP(D29,[1]PASAJEROS!$D:$AA,COLUMNS([1]PASAJEROS!D$1:Y$1),0)=0,"ISO",Y29-VLOOKUP(D29,[1]PASAJEROS!$D:$AA,COLUMNS([1]PASAJEROS!D$1:Y$1),0)),"N/A")</f>
        <v>ISO</v>
      </c>
      <c r="AE29" s="214"/>
      <c r="AF29" s="207">
        <v>0.09</v>
      </c>
      <c r="AG29" s="215">
        <f>(G29)*(100%-AF29)</f>
        <v>23013900</v>
      </c>
      <c r="AH29" s="215">
        <f t="shared" ref="AH29" si="34">AG29/1.19</f>
        <v>19339411.764705881</v>
      </c>
      <c r="AI29" s="208"/>
      <c r="AJ29" s="209" t="e">
        <f>+M29-VLOOKUP(A29,'[1]BONO O GIFT CARD'!$A:$S,13,0)</f>
        <v>#N/A</v>
      </c>
      <c r="AK29" s="210" t="e">
        <f>+S29-VLOOKUP(A29,'[1]BONO O GIFT CARD'!$A:$S,19,0)</f>
        <v>#N/A</v>
      </c>
      <c r="AL29" s="210" t="e">
        <f>+Y29-VLOOKUP(A29,'[1]BONO O GIFT CARD'!$A:$Y,25,0)</f>
        <v>#N/A</v>
      </c>
    </row>
    <row r="30" spans="1:38" s="40" customFormat="1" ht="24.95" customHeight="1" thickBot="1" x14ac:dyDescent="0.25">
      <c r="A30" s="137"/>
      <c r="B30" s="138"/>
      <c r="C30" s="127"/>
      <c r="D30" s="59"/>
      <c r="E30" s="59"/>
      <c r="F30" s="67"/>
      <c r="G30" s="109"/>
      <c r="H30" s="110"/>
      <c r="I30" s="68"/>
      <c r="J30" s="110"/>
      <c r="K30" s="110"/>
      <c r="L30" s="110"/>
      <c r="M30" s="109"/>
      <c r="N30" s="60"/>
      <c r="O30" s="110"/>
      <c r="P30" s="110"/>
      <c r="Q30" s="110"/>
      <c r="R30" s="110"/>
      <c r="S30" s="109"/>
      <c r="T30" s="60"/>
      <c r="U30" s="110"/>
      <c r="V30" s="110"/>
      <c r="W30" s="110"/>
      <c r="X30" s="110"/>
      <c r="Y30" s="109"/>
      <c r="Z30" s="60"/>
      <c r="AA30" s="141"/>
      <c r="AB30" s="141"/>
      <c r="AC30" s="141"/>
      <c r="AD30" s="141"/>
      <c r="AE30" s="60"/>
      <c r="AF30" s="70"/>
      <c r="AG30" s="71"/>
      <c r="AH30" s="71"/>
      <c r="AI30" s="72"/>
      <c r="AJ30" s="84"/>
      <c r="AK30" s="87"/>
      <c r="AL30" s="87"/>
    </row>
    <row r="31" spans="1:38" s="57" customFormat="1" ht="24.95" customHeight="1" x14ac:dyDescent="0.2">
      <c r="A31" s="240"/>
      <c r="B31" s="138"/>
      <c r="C31" s="370" t="s">
        <v>46</v>
      </c>
      <c r="D31" s="388"/>
      <c r="E31" s="389"/>
      <c r="F31" s="232"/>
      <c r="G31" s="233"/>
      <c r="H31" s="234"/>
      <c r="I31" s="235"/>
      <c r="J31"/>
      <c r="K31" s="236"/>
      <c r="L31" s="236"/>
      <c r="M31" s="237"/>
      <c r="N31" s="233"/>
      <c r="O31" s="236"/>
      <c r="P31" s="236"/>
      <c r="Q31" s="244"/>
      <c r="R31" s="236"/>
      <c r="S31" s="237"/>
      <c r="T31" s="233"/>
      <c r="U31" s="236"/>
      <c r="V31" s="236"/>
      <c r="W31" s="236"/>
      <c r="X31" s="236"/>
      <c r="Y31" s="237"/>
      <c r="Z31" s="233"/>
      <c r="AA31" s="245"/>
      <c r="AB31" s="245"/>
      <c r="AC31" s="245"/>
      <c r="AD31" s="245"/>
      <c r="AE31" s="233"/>
      <c r="AF31" s="241"/>
      <c r="AG31" s="241"/>
      <c r="AH31" s="241"/>
      <c r="AI31" s="72"/>
      <c r="AJ31" s="84"/>
      <c r="AK31" s="87"/>
      <c r="AL31" s="87"/>
    </row>
    <row r="32" spans="1:38" s="211" customFormat="1" ht="24.95" customHeight="1" x14ac:dyDescent="0.2">
      <c r="A32" s="198" t="s">
        <v>94</v>
      </c>
      <c r="B32" s="199"/>
      <c r="C32" s="222" t="s">
        <v>116</v>
      </c>
      <c r="D32" s="221" t="s">
        <v>83</v>
      </c>
      <c r="E32" s="221" t="s">
        <v>90</v>
      </c>
      <c r="F32" s="200"/>
      <c r="G32" s="226">
        <v>30790000</v>
      </c>
      <c r="H32" s="227">
        <f t="shared" ref="H32:H33" si="35">+G32/1.19</f>
        <v>25873949.579831935</v>
      </c>
      <c r="I32" s="201"/>
      <c r="J32" s="227">
        <v>3300000</v>
      </c>
      <c r="K32" s="227">
        <f t="shared" ref="K32:K33" si="36">+IF(J32/2&gt;G32*$M$7,G32*$M$7,J32/2)</f>
        <v>769750</v>
      </c>
      <c r="L32" s="227">
        <f t="shared" ref="L32:L33" si="37">J32-K32</f>
        <v>2530250</v>
      </c>
      <c r="M32" s="226">
        <f t="shared" ref="M32:M33" si="38">$G32-J32</f>
        <v>27490000</v>
      </c>
      <c r="N32" s="219"/>
      <c r="O32" s="227">
        <v>4800000</v>
      </c>
      <c r="P32" s="227">
        <f t="shared" ref="P32:P33" si="39">+K32</f>
        <v>769750</v>
      </c>
      <c r="Q32" s="227">
        <f>+L32</f>
        <v>2530250</v>
      </c>
      <c r="R32" s="227">
        <f>+O32-P32-Q32</f>
        <v>1500000</v>
      </c>
      <c r="S32" s="226">
        <f>$G32-O32</f>
        <v>25990000</v>
      </c>
      <c r="T32" s="219"/>
      <c r="U32" s="227">
        <v>5800000</v>
      </c>
      <c r="V32" s="227">
        <f>+K32</f>
        <v>769750</v>
      </c>
      <c r="W32" s="227">
        <f>+L32</f>
        <v>2530250</v>
      </c>
      <c r="X32" s="227">
        <f>+U32-V32-W32</f>
        <v>2500000</v>
      </c>
      <c r="Y32" s="226">
        <f>$G32-U32</f>
        <v>24990000</v>
      </c>
      <c r="Z32" s="202"/>
      <c r="AA32" s="206" t="str">
        <f>+IFERROR(IF(G32-VLOOKUP(D32,[1]PASAJEROS!$D:$AA,COLUMNS([1]PASAJEROS!D$1:G$1),0)=0,"ISO",G32-VLOOKUP(D32,[1]PASAJEROS!$D:$AA,COLUMNS([1]PASAJEROS!D$1:G$1),0)),"N/A")</f>
        <v>ISO</v>
      </c>
      <c r="AB32" s="206" t="str">
        <f>+IFERROR(IF(M32-VLOOKUP(D32,[1]PASAJEROS!$D:$AA,COLUMNS([1]PASAJEROS!D$1:M$1),0)=0,"ISO",M32-VLOOKUP(D32,[1]PASAJEROS!$D:$AA,COLUMNS([1]PASAJEROS!D$1:M$1),0)),"N/A")</f>
        <v>ISO</v>
      </c>
      <c r="AC32" s="206" t="str">
        <f>+IFERROR(IF(S32-VLOOKUP(D32,[1]PASAJEROS!$D:$AA,COLUMNS([1]PASAJEROS!D$1:S$1),0)=0,"ISO",S32-VLOOKUP(D32,[1]PASAJEROS!$D:$AA,COLUMNS([1]PASAJEROS!D$1:S$1),0)),"N/A")</f>
        <v>ISO</v>
      </c>
      <c r="AD32" s="206" t="str">
        <f>+IFERROR(IF(Y32-VLOOKUP(D32,[1]PASAJEROS!$D:$AA,COLUMNS([1]PASAJEROS!D$1:Y$1),0)=0,"ISO",Y32-VLOOKUP(D32,[1]PASAJEROS!$D:$AA,COLUMNS([1]PASAJEROS!D$1:Y$1),0)),"N/A")</f>
        <v>ISO</v>
      </c>
      <c r="AE32" s="205"/>
      <c r="AF32" s="207">
        <v>0.09</v>
      </c>
      <c r="AG32" s="203">
        <f>(G32)*(100%-AF32)</f>
        <v>28018900</v>
      </c>
      <c r="AH32" s="203">
        <f t="shared" ref="AH32" si="40">AG32/1.19</f>
        <v>23545294.117647059</v>
      </c>
      <c r="AI32" s="208"/>
      <c r="AJ32" s="209" t="e">
        <f>+M32-VLOOKUP(A32,'[1]BONO O GIFT CARD'!$A:$S,13,0)</f>
        <v>#N/A</v>
      </c>
      <c r="AK32" s="210" t="e">
        <f>+S32-VLOOKUP(A32,'[1]BONO O GIFT CARD'!$A:$S,19,0)</f>
        <v>#N/A</v>
      </c>
      <c r="AL32" s="210" t="e">
        <f>+Y32-VLOOKUP(A32,'[1]BONO O GIFT CARD'!$A:$Y,25,0)</f>
        <v>#N/A</v>
      </c>
    </row>
    <row r="33" spans="1:38" s="211" customFormat="1" ht="24.95" customHeight="1" thickBot="1" x14ac:dyDescent="0.25">
      <c r="A33" s="198" t="s">
        <v>47</v>
      </c>
      <c r="B33" s="199"/>
      <c r="C33" s="220" t="s">
        <v>117</v>
      </c>
      <c r="D33" s="221" t="s">
        <v>45</v>
      </c>
      <c r="E33" s="221" t="s">
        <v>61</v>
      </c>
      <c r="F33" s="200"/>
      <c r="G33" s="226">
        <v>37290000</v>
      </c>
      <c r="H33" s="227">
        <f t="shared" si="35"/>
        <v>31336134.453781515</v>
      </c>
      <c r="I33" s="201"/>
      <c r="J33" s="227">
        <v>4800000</v>
      </c>
      <c r="K33" s="227">
        <f t="shared" si="36"/>
        <v>932250</v>
      </c>
      <c r="L33" s="227">
        <f t="shared" si="37"/>
        <v>3867750</v>
      </c>
      <c r="M33" s="226">
        <f t="shared" si="38"/>
        <v>32490000</v>
      </c>
      <c r="N33" s="219"/>
      <c r="O33" s="227">
        <v>6300000</v>
      </c>
      <c r="P33" s="227">
        <f t="shared" si="39"/>
        <v>932250</v>
      </c>
      <c r="Q33" s="227">
        <f>+L33</f>
        <v>3867750</v>
      </c>
      <c r="R33" s="227">
        <f>+O33-P33-Q33</f>
        <v>1500000</v>
      </c>
      <c r="S33" s="226">
        <f>$G33-O33</f>
        <v>30990000</v>
      </c>
      <c r="T33" s="219"/>
      <c r="U33" s="227">
        <v>7300000</v>
      </c>
      <c r="V33" s="227">
        <f>+K33</f>
        <v>932250</v>
      </c>
      <c r="W33" s="227">
        <f>+L33</f>
        <v>3867750</v>
      </c>
      <c r="X33" s="227">
        <f>+U33-V33-W33</f>
        <v>2500000</v>
      </c>
      <c r="Y33" s="226">
        <f>$G33-U33</f>
        <v>29990000</v>
      </c>
      <c r="Z33" s="202"/>
      <c r="AA33" s="206" t="str">
        <f>+IFERROR(IF(G33-VLOOKUP(D33,[1]PASAJEROS!$D:$AA,COLUMNS([1]PASAJEROS!D$1:G$1),0)=0,"ISO",G33-VLOOKUP(D33,[1]PASAJEROS!$D:$AA,COLUMNS([1]PASAJEROS!D$1:G$1),0)),"N/A")</f>
        <v>ISO</v>
      </c>
      <c r="AB33" s="206" t="str">
        <f>+IFERROR(IF(M33-VLOOKUP(D33,[1]PASAJEROS!$D:$AA,COLUMNS([1]PASAJEROS!D$1:M$1),0)=0,"ISO",M33-VLOOKUP(D33,[1]PASAJEROS!$D:$AA,COLUMNS([1]PASAJEROS!D$1:M$1),0)),"N/A")</f>
        <v>ISO</v>
      </c>
      <c r="AC33" s="206" t="str">
        <f>+IFERROR(IF(S33-VLOOKUP(D33,[1]PASAJEROS!$D:$AA,COLUMNS([1]PASAJEROS!D$1:S$1),0)=0,"ISO",S33-VLOOKUP(D33,[1]PASAJEROS!$D:$AA,COLUMNS([1]PASAJEROS!D$1:S$1),0)),"N/A")</f>
        <v>ISO</v>
      </c>
      <c r="AD33" s="206" t="str">
        <f>+IFERROR(IF(Y33-VLOOKUP(D33,[1]PASAJEROS!$D:$AA,COLUMNS([1]PASAJEROS!D$1:Y$1),0)=0,"ISO",Y33-VLOOKUP(D33,[1]PASAJEROS!$D:$AA,COLUMNS([1]PASAJEROS!D$1:Y$1),0)),"N/A")</f>
        <v>ISO</v>
      </c>
      <c r="AE33" s="205"/>
      <c r="AF33" s="207">
        <v>0.09</v>
      </c>
      <c r="AG33" s="203">
        <f>(G33)*(100%-AF33)</f>
        <v>33933900</v>
      </c>
      <c r="AH33" s="203">
        <f>AG33/1.19</f>
        <v>28515882.352941178</v>
      </c>
      <c r="AI33" s="208"/>
      <c r="AJ33" s="209" t="e">
        <f>+M33-VLOOKUP(A33,'[1]BONO O GIFT CARD'!$A:$S,13,0)</f>
        <v>#N/A</v>
      </c>
      <c r="AK33" s="210" t="e">
        <f>+S33-VLOOKUP(A33,'[1]BONO O GIFT CARD'!$A:$S,19,0)</f>
        <v>#N/A</v>
      </c>
      <c r="AL33" s="210" t="e">
        <f>+Y33-VLOOKUP(A33,'[1]BONO O GIFT CARD'!$A:$Y,25,0)</f>
        <v>#N/A</v>
      </c>
    </row>
    <row r="34" spans="1:38" s="40" customFormat="1" ht="24.95" customHeight="1" thickBot="1" x14ac:dyDescent="0.25">
      <c r="A34" s="137"/>
      <c r="B34" s="138"/>
      <c r="C34" s="127"/>
      <c r="D34" s="59"/>
      <c r="E34" s="59"/>
      <c r="F34" s="67"/>
      <c r="G34" s="109"/>
      <c r="H34" s="110"/>
      <c r="I34" s="68"/>
      <c r="J34" s="110"/>
      <c r="K34" s="110"/>
      <c r="L34" s="110"/>
      <c r="M34" s="109"/>
      <c r="N34" s="60"/>
      <c r="O34" s="110"/>
      <c r="P34" s="110"/>
      <c r="Q34" s="110"/>
      <c r="R34" s="110"/>
      <c r="S34" s="109"/>
      <c r="T34" s="60"/>
      <c r="U34" s="110"/>
      <c r="V34" s="110"/>
      <c r="W34" s="110"/>
      <c r="X34" s="110"/>
      <c r="Y34" s="109"/>
      <c r="Z34" s="60"/>
      <c r="AA34" s="141"/>
      <c r="AB34" s="141"/>
      <c r="AC34" s="141"/>
      <c r="AD34" s="141"/>
      <c r="AE34" s="60"/>
      <c r="AF34" s="70"/>
      <c r="AG34" s="71"/>
      <c r="AH34" s="71"/>
      <c r="AI34" s="72"/>
      <c r="AJ34" s="84"/>
      <c r="AK34" s="87"/>
      <c r="AL34" s="87"/>
    </row>
    <row r="35" spans="1:38" s="57" customFormat="1" ht="24.95" customHeight="1" x14ac:dyDescent="0.2">
      <c r="A35" s="240"/>
      <c r="B35" s="138"/>
      <c r="C35" s="370" t="s">
        <v>98</v>
      </c>
      <c r="D35" s="388"/>
      <c r="E35" s="389"/>
      <c r="F35" s="232"/>
      <c r="G35" s="233"/>
      <c r="H35" s="234"/>
      <c r="I35" s="235"/>
      <c r="J35"/>
      <c r="K35" s="236"/>
      <c r="L35" s="236"/>
      <c r="M35" s="237"/>
      <c r="N35" s="233"/>
      <c r="O35" s="236"/>
      <c r="P35" s="236"/>
      <c r="Q35" s="244"/>
      <c r="R35" s="236"/>
      <c r="S35" s="237"/>
      <c r="T35" s="233"/>
      <c r="U35" s="236"/>
      <c r="V35" s="236"/>
      <c r="W35" s="236"/>
      <c r="X35" s="236"/>
      <c r="Y35" s="237"/>
      <c r="Z35" s="233"/>
      <c r="AA35" s="245"/>
      <c r="AB35" s="245"/>
      <c r="AC35" s="245"/>
      <c r="AD35" s="245"/>
      <c r="AE35" s="233"/>
      <c r="AF35" s="241"/>
      <c r="AG35" s="241"/>
      <c r="AH35" s="241"/>
      <c r="AI35" s="72"/>
      <c r="AJ35" s="84"/>
      <c r="AK35" s="87"/>
      <c r="AL35" s="87"/>
    </row>
    <row r="36" spans="1:38" s="211" customFormat="1" ht="24.95" customHeight="1" x14ac:dyDescent="0.2">
      <c r="A36" s="198" t="s">
        <v>99</v>
      </c>
      <c r="B36" s="199"/>
      <c r="C36" s="222" t="s">
        <v>118</v>
      </c>
      <c r="D36" s="221" t="s">
        <v>101</v>
      </c>
      <c r="E36" s="221" t="s">
        <v>106</v>
      </c>
      <c r="F36" s="200"/>
      <c r="G36" s="226">
        <v>33290000</v>
      </c>
      <c r="H36" s="227">
        <f>+G36/1.19</f>
        <v>27974789.915966388</v>
      </c>
      <c r="I36" s="201"/>
      <c r="J36" s="227">
        <v>4300000</v>
      </c>
      <c r="K36" s="227">
        <f>+IF(J36/2&gt;G36*$M$7,G36*$M$7,J36/2)</f>
        <v>832250</v>
      </c>
      <c r="L36" s="227">
        <f>J36-K36</f>
        <v>3467750</v>
      </c>
      <c r="M36" s="226">
        <f>$G36-J36</f>
        <v>28990000</v>
      </c>
      <c r="N36" s="219"/>
      <c r="O36" s="227">
        <v>5800000</v>
      </c>
      <c r="P36" s="227">
        <f>+K36</f>
        <v>832250</v>
      </c>
      <c r="Q36" s="227">
        <f>+L36</f>
        <v>3467750</v>
      </c>
      <c r="R36" s="227">
        <f>+O36-P36-Q36</f>
        <v>1500000</v>
      </c>
      <c r="S36" s="226">
        <f>$G36-O36</f>
        <v>27490000</v>
      </c>
      <c r="T36" s="219"/>
      <c r="U36" s="227">
        <v>6800000</v>
      </c>
      <c r="V36" s="227">
        <f>+K36</f>
        <v>832250</v>
      </c>
      <c r="W36" s="227">
        <f>+L36</f>
        <v>3467750</v>
      </c>
      <c r="X36" s="227">
        <f>+U36-V36-W36</f>
        <v>2500000</v>
      </c>
      <c r="Y36" s="226">
        <f>$G36-U36</f>
        <v>26490000</v>
      </c>
      <c r="Z36" s="202"/>
      <c r="AA36" s="206" t="str">
        <f>+IFERROR(IF(G36-VLOOKUP(D36,[1]PASAJEROS!$D:$AA,COLUMNS([1]PASAJEROS!D$1:G$1),0)=0,"ISO",G36-VLOOKUP(D36,[1]PASAJEROS!$D:$AA,COLUMNS([1]PASAJEROS!D$1:G$1),0)),"N/A")</f>
        <v>ISO</v>
      </c>
      <c r="AB36" s="206">
        <f>+IFERROR(IF(M36-VLOOKUP(D36,[1]PASAJEROS!$D:$AA,COLUMNS([1]PASAJEROS!D$1:M$1),0)=0,"ISO",M36-VLOOKUP(D36,[1]PASAJEROS!$D:$AA,COLUMNS([1]PASAJEROS!D$1:M$1),0)),"N/A")</f>
        <v>-500000</v>
      </c>
      <c r="AC36" s="206">
        <f>+IFERROR(IF(S36-VLOOKUP(D36,[1]PASAJEROS!$D:$AA,COLUMNS([1]PASAJEROS!D$1:S$1),0)=0,"ISO",S36-VLOOKUP(D36,[1]PASAJEROS!$D:$AA,COLUMNS([1]PASAJEROS!D$1:S$1),0)),"N/A")</f>
        <v>-500000</v>
      </c>
      <c r="AD36" s="206">
        <f>+IFERROR(IF(Y36-VLOOKUP(D36,[1]PASAJEROS!$D:$AA,COLUMNS([1]PASAJEROS!D$1:Y$1),0)=0,"ISO",Y36-VLOOKUP(D36,[1]PASAJEROS!$D:$AA,COLUMNS([1]PASAJEROS!D$1:Y$1),0)),"N/A")</f>
        <v>-500000</v>
      </c>
      <c r="AE36" s="205"/>
      <c r="AF36" s="207">
        <v>0.09</v>
      </c>
      <c r="AG36" s="203">
        <f>(G36)*(100%-AF36)</f>
        <v>30293900</v>
      </c>
      <c r="AH36" s="203">
        <f>AG36/1.19</f>
        <v>25457058.823529411</v>
      </c>
      <c r="AI36" s="208"/>
      <c r="AJ36" s="209" t="e">
        <f>+M36-VLOOKUP(A36,'[1]BONO O GIFT CARD'!$A:$S,13,0)</f>
        <v>#N/A</v>
      </c>
      <c r="AK36" s="210" t="e">
        <f>+S36-VLOOKUP(A36,'[1]BONO O GIFT CARD'!$A:$S,19,0)</f>
        <v>#N/A</v>
      </c>
      <c r="AL36" s="210" t="e">
        <f>+Y36-VLOOKUP(A36,'[1]BONO O GIFT CARD'!$A:$Y,25,0)</f>
        <v>#N/A</v>
      </c>
    </row>
    <row r="37" spans="1:38" s="211" customFormat="1" ht="24.95" customHeight="1" thickBot="1" x14ac:dyDescent="0.25">
      <c r="A37" s="198" t="s">
        <v>100</v>
      </c>
      <c r="B37" s="199"/>
      <c r="C37" s="220" t="s">
        <v>119</v>
      </c>
      <c r="D37" s="221" t="s">
        <v>102</v>
      </c>
      <c r="E37" s="221" t="s">
        <v>106</v>
      </c>
      <c r="F37" s="200"/>
      <c r="G37" s="226">
        <v>39790000</v>
      </c>
      <c r="H37" s="227">
        <f>+G37/1.19</f>
        <v>33436974.789915968</v>
      </c>
      <c r="I37" s="201"/>
      <c r="J37" s="227">
        <v>5800000</v>
      </c>
      <c r="K37" s="227">
        <f>+IF(J37/2&gt;G37*$M$7,G37*$M$7,J37/2)</f>
        <v>994750</v>
      </c>
      <c r="L37" s="227">
        <f>J37-K37</f>
        <v>4805250</v>
      </c>
      <c r="M37" s="226">
        <f>$G37-J37</f>
        <v>33990000</v>
      </c>
      <c r="N37" s="219"/>
      <c r="O37" s="227">
        <v>7300000</v>
      </c>
      <c r="P37" s="227">
        <f>+K37</f>
        <v>994750</v>
      </c>
      <c r="Q37" s="227">
        <f>+L37</f>
        <v>4805250</v>
      </c>
      <c r="R37" s="227">
        <f>+O37-P37-Q37</f>
        <v>1500000</v>
      </c>
      <c r="S37" s="226">
        <f>$G37-O37</f>
        <v>32490000</v>
      </c>
      <c r="T37" s="219"/>
      <c r="U37" s="227">
        <v>8300000</v>
      </c>
      <c r="V37" s="227">
        <f>+K37</f>
        <v>994750</v>
      </c>
      <c r="W37" s="227">
        <f>+L37</f>
        <v>4805250</v>
      </c>
      <c r="X37" s="227">
        <f>+U37-V37-W37</f>
        <v>2500000</v>
      </c>
      <c r="Y37" s="226">
        <f>$G37-U37</f>
        <v>31490000</v>
      </c>
      <c r="Z37" s="202"/>
      <c r="AA37" s="206" t="str">
        <f>+IFERROR(IF(G37-VLOOKUP(D37,[1]PASAJEROS!$D:$AA,COLUMNS([1]PASAJEROS!D$1:G$1),0)=0,"ISO",G37-VLOOKUP(D37,[1]PASAJEROS!$D:$AA,COLUMNS([1]PASAJEROS!D$1:G$1),0)),"N/A")</f>
        <v>ISO</v>
      </c>
      <c r="AB37" s="206">
        <f>+IFERROR(IF(M37-VLOOKUP(D37,[1]PASAJEROS!$D:$AA,COLUMNS([1]PASAJEROS!D$1:M$1),0)=0,"ISO",M37-VLOOKUP(D37,[1]PASAJEROS!$D:$AA,COLUMNS([1]PASAJEROS!D$1:M$1),0)),"N/A")</f>
        <v>-500000</v>
      </c>
      <c r="AC37" s="206">
        <f>+IFERROR(IF(S37-VLOOKUP(D37,[1]PASAJEROS!$D:$AA,COLUMNS([1]PASAJEROS!D$1:S$1),0)=0,"ISO",S37-VLOOKUP(D37,[1]PASAJEROS!$D:$AA,COLUMNS([1]PASAJEROS!D$1:S$1),0)),"N/A")</f>
        <v>-500000</v>
      </c>
      <c r="AD37" s="206">
        <f>+IFERROR(IF(Y37-VLOOKUP(D37,[1]PASAJEROS!$D:$AA,COLUMNS([1]PASAJEROS!D$1:Y$1),0)=0,"ISO",Y37-VLOOKUP(D37,[1]PASAJEROS!$D:$AA,COLUMNS([1]PASAJEROS!D$1:Y$1),0)),"N/A")</f>
        <v>-500000</v>
      </c>
      <c r="AE37" s="205"/>
      <c r="AF37" s="207">
        <v>0.09</v>
      </c>
      <c r="AG37" s="203">
        <f>(G37)*(100%-AF37)</f>
        <v>36208900</v>
      </c>
      <c r="AH37" s="203">
        <f>AG37/1.19</f>
        <v>30427647.05882353</v>
      </c>
      <c r="AI37" s="208"/>
      <c r="AJ37" s="209" t="e">
        <f>+M37-VLOOKUP(A37,'[1]BONO O GIFT CARD'!$A:$S,13,0)</f>
        <v>#N/A</v>
      </c>
      <c r="AK37" s="210" t="e">
        <f>+S37-VLOOKUP(A37,'[1]BONO O GIFT CARD'!$A:$S,19,0)</f>
        <v>#N/A</v>
      </c>
      <c r="AL37" s="210" t="e">
        <f>+Y37-VLOOKUP(A37,'[1]BONO O GIFT CARD'!$A:$Y,25,0)</f>
        <v>#N/A</v>
      </c>
    </row>
    <row r="38" spans="1:38" s="40" customFormat="1" ht="24.95" customHeight="1" thickBot="1" x14ac:dyDescent="0.25">
      <c r="A38" s="137"/>
      <c r="B38" s="138"/>
      <c r="C38" s="127"/>
      <c r="D38" s="59"/>
      <c r="E38" s="59"/>
      <c r="F38" s="67"/>
      <c r="G38" s="109"/>
      <c r="H38" s="110"/>
      <c r="I38" s="68"/>
      <c r="J38" s="110"/>
      <c r="K38" s="110"/>
      <c r="L38" s="110"/>
      <c r="M38" s="109"/>
      <c r="N38" s="60"/>
      <c r="O38" s="110"/>
      <c r="P38" s="110"/>
      <c r="Q38" s="110"/>
      <c r="R38" s="110"/>
      <c r="S38" s="109"/>
      <c r="T38" s="60"/>
      <c r="U38" s="110"/>
      <c r="V38" s="110"/>
      <c r="W38" s="110"/>
      <c r="X38" s="110"/>
      <c r="Y38" s="109"/>
      <c r="Z38" s="60"/>
      <c r="AA38" s="141"/>
      <c r="AB38" s="141"/>
      <c r="AC38" s="141"/>
      <c r="AD38" s="141"/>
      <c r="AE38" s="60"/>
      <c r="AF38" s="70"/>
      <c r="AG38" s="71"/>
      <c r="AH38" s="71"/>
      <c r="AI38" s="72"/>
      <c r="AJ38" s="84"/>
      <c r="AK38" s="87"/>
      <c r="AL38" s="87"/>
    </row>
    <row r="39" spans="1:38" s="58" customFormat="1" ht="24.95" customHeight="1" x14ac:dyDescent="0.2">
      <c r="A39" s="135"/>
      <c r="B39" s="138"/>
      <c r="C39" s="370" t="s">
        <v>31</v>
      </c>
      <c r="D39" s="388"/>
      <c r="E39" s="389"/>
      <c r="F39" s="232"/>
      <c r="G39" s="246"/>
      <c r="H39" s="234"/>
      <c r="I39" s="235"/>
      <c r="J39" s="236"/>
      <c r="K39" s="236"/>
      <c r="L39" s="236"/>
      <c r="M39" s="246"/>
      <c r="N39" s="233"/>
      <c r="O39" s="236"/>
      <c r="P39" s="236"/>
      <c r="Q39" s="236"/>
      <c r="R39" s="236"/>
      <c r="S39" s="237"/>
      <c r="T39" s="233"/>
      <c r="U39" s="236"/>
      <c r="V39" s="236"/>
      <c r="W39" s="236"/>
      <c r="X39" s="236"/>
      <c r="Y39" s="246"/>
      <c r="Z39" s="233"/>
      <c r="AA39" s="245"/>
      <c r="AB39" s="245"/>
      <c r="AC39" s="245"/>
      <c r="AD39" s="245"/>
      <c r="AE39" s="233"/>
      <c r="AF39" s="241"/>
      <c r="AG39" s="241"/>
      <c r="AH39" s="241"/>
      <c r="AI39" s="72"/>
      <c r="AJ39" s="84"/>
      <c r="AK39" s="87"/>
      <c r="AL39" s="87"/>
    </row>
    <row r="40" spans="1:38" s="217" customFormat="1" ht="24.95" customHeight="1" x14ac:dyDescent="0.2">
      <c r="A40" s="216" t="s">
        <v>91</v>
      </c>
      <c r="B40" s="199"/>
      <c r="C40" s="220" t="s">
        <v>120</v>
      </c>
      <c r="D40" s="221" t="s">
        <v>26</v>
      </c>
      <c r="E40" s="221" t="s">
        <v>30</v>
      </c>
      <c r="F40" s="200"/>
      <c r="G40" s="226">
        <v>24590000</v>
      </c>
      <c r="H40" s="227">
        <f t="shared" ref="H40:H42" si="41">+G40/1.19</f>
        <v>20663865.546218488</v>
      </c>
      <c r="I40" s="201"/>
      <c r="J40" s="227">
        <v>1800000</v>
      </c>
      <c r="K40" s="227">
        <f t="shared" ref="K40:K41" si="42">+IF(J40/2&gt;G40*$M$7,G40*$M$7,J40/2)</f>
        <v>614750</v>
      </c>
      <c r="L40" s="227">
        <f t="shared" ref="L40:L42" si="43">J40-K40</f>
        <v>1185250</v>
      </c>
      <c r="M40" s="226">
        <f t="shared" ref="M40:M42" si="44">$G40-J40</f>
        <v>22790000</v>
      </c>
      <c r="N40" s="219"/>
      <c r="O40" s="227">
        <v>2100000</v>
      </c>
      <c r="P40" s="227">
        <f t="shared" ref="P40:P41" si="45">+K40</f>
        <v>614750</v>
      </c>
      <c r="Q40" s="227">
        <f>+L40</f>
        <v>1185250</v>
      </c>
      <c r="R40" s="227">
        <f>+O40-P40-Q40</f>
        <v>300000</v>
      </c>
      <c r="S40" s="226">
        <f>$G40-O40</f>
        <v>22490000</v>
      </c>
      <c r="T40" s="219"/>
      <c r="U40" s="227">
        <v>2400000</v>
      </c>
      <c r="V40" s="227">
        <f t="shared" ref="V40:W42" si="46">+K40</f>
        <v>614750</v>
      </c>
      <c r="W40" s="227">
        <f t="shared" si="46"/>
        <v>1185250</v>
      </c>
      <c r="X40" s="227">
        <f>+U40-V40-W40</f>
        <v>600000</v>
      </c>
      <c r="Y40" s="226">
        <f t="shared" ref="Y40:Y42" si="47">$G40-U40</f>
        <v>22190000</v>
      </c>
      <c r="Z40" s="202"/>
      <c r="AA40" s="206" t="str">
        <f>+IFERROR(IF(G40-VLOOKUP(D40,[1]PASAJEROS!$D:$AA,COLUMNS([1]PASAJEROS!D$1:G$1),0)=0,"ISO",G40-VLOOKUP(D40,[1]PASAJEROS!$D:$AA,COLUMNS([1]PASAJEROS!D$1:G$1),0)),"N/A")</f>
        <v>ISO</v>
      </c>
      <c r="AB40" s="206">
        <f>+IFERROR(IF(M40-VLOOKUP(D40,[1]PASAJEROS!$D:$AA,COLUMNS([1]PASAJEROS!D$1:M$1),0)=0,"ISO",M40-VLOOKUP(D40,[1]PASAJEROS!$D:$AA,COLUMNS([1]PASAJEROS!D$1:M$1),0)),"N/A")</f>
        <v>-500000</v>
      </c>
      <c r="AC40" s="206">
        <f>+IFERROR(IF(S40-VLOOKUP(D40,[1]PASAJEROS!$D:$AA,COLUMNS([1]PASAJEROS!D$1:S$1),0)=0,"ISO",S40-VLOOKUP(D40,[1]PASAJEROS!$D:$AA,COLUMNS([1]PASAJEROS!D$1:S$1),0)),"N/A")</f>
        <v>-500000</v>
      </c>
      <c r="AD40" s="206">
        <f>+IFERROR(IF(Y40-VLOOKUP(D40,[1]PASAJEROS!$D:$AA,COLUMNS([1]PASAJEROS!D$1:Y$1),0)=0,"ISO",Y40-VLOOKUP(D40,[1]PASAJEROS!$D:$AA,COLUMNS([1]PASAJEROS!D$1:Y$1),0)),"N/A")</f>
        <v>-500000</v>
      </c>
      <c r="AE40" s="205"/>
      <c r="AF40" s="207">
        <v>0.09</v>
      </c>
      <c r="AG40" s="203">
        <f>(G40)*(100%-AF40)</f>
        <v>22376900</v>
      </c>
      <c r="AH40" s="203">
        <f>AG40/1.19</f>
        <v>18804117.647058826</v>
      </c>
      <c r="AI40" s="208"/>
      <c r="AJ40" s="209" t="e">
        <f>+M40-VLOOKUP(A40,'[1]BONO O GIFT CARD'!$A:$S,13,0)</f>
        <v>#N/A</v>
      </c>
      <c r="AK40" s="210" t="e">
        <f>+S40-VLOOKUP(A40,'[1]BONO O GIFT CARD'!$A:$S,19,0)</f>
        <v>#N/A</v>
      </c>
      <c r="AL40" s="210" t="e">
        <f>+Y40-VLOOKUP(A40,'[1]BONO O GIFT CARD'!$A:$Y,25,0)</f>
        <v>#N/A</v>
      </c>
    </row>
    <row r="41" spans="1:38" s="217" customFormat="1" ht="24.95" customHeight="1" x14ac:dyDescent="0.2">
      <c r="A41" s="216" t="s">
        <v>24</v>
      </c>
      <c r="B41" s="199"/>
      <c r="C41" s="220" t="s">
        <v>121</v>
      </c>
      <c r="D41" s="221" t="s">
        <v>27</v>
      </c>
      <c r="E41" s="221" t="s">
        <v>44</v>
      </c>
      <c r="F41" s="200"/>
      <c r="G41" s="226">
        <v>22090000</v>
      </c>
      <c r="H41" s="227">
        <f t="shared" si="41"/>
        <v>18563025.210084036</v>
      </c>
      <c r="I41" s="201"/>
      <c r="J41" s="227">
        <v>1800000</v>
      </c>
      <c r="K41" s="227">
        <f t="shared" si="42"/>
        <v>552250</v>
      </c>
      <c r="L41" s="227">
        <f t="shared" si="43"/>
        <v>1247750</v>
      </c>
      <c r="M41" s="226">
        <f t="shared" si="44"/>
        <v>20290000</v>
      </c>
      <c r="N41" s="219"/>
      <c r="O41" s="227">
        <v>2100000</v>
      </c>
      <c r="P41" s="227">
        <f t="shared" si="45"/>
        <v>552250</v>
      </c>
      <c r="Q41" s="227">
        <f>+L41</f>
        <v>1247750</v>
      </c>
      <c r="R41" s="227">
        <f>+O41-P41-Q41</f>
        <v>300000</v>
      </c>
      <c r="S41" s="226">
        <f>$G41-O41</f>
        <v>19990000</v>
      </c>
      <c r="T41" s="219"/>
      <c r="U41" s="227">
        <v>2400000</v>
      </c>
      <c r="V41" s="227">
        <f t="shared" si="46"/>
        <v>552250</v>
      </c>
      <c r="W41" s="227">
        <f t="shared" si="46"/>
        <v>1247750</v>
      </c>
      <c r="X41" s="227">
        <f>+U41-V41-W41</f>
        <v>600000</v>
      </c>
      <c r="Y41" s="226">
        <f t="shared" si="47"/>
        <v>19690000</v>
      </c>
      <c r="Z41" s="202"/>
      <c r="AA41" s="206" t="str">
        <f>+IFERROR(IF(G41-VLOOKUP(D41,[1]PASAJEROS!$D:$AA,COLUMNS([1]PASAJEROS!D$1:G$1),0)=0,"ISO",G41-VLOOKUP(D41,[1]PASAJEROS!$D:$AA,COLUMNS([1]PASAJEROS!D$1:G$1),0)),"N/A")</f>
        <v>ISO</v>
      </c>
      <c r="AB41" s="206">
        <f>+IFERROR(IF(M41-VLOOKUP(D41,[1]PASAJEROS!$D:$AA,COLUMNS([1]PASAJEROS!D$1:M$1),0)=0,"ISO",M41-VLOOKUP(D41,[1]PASAJEROS!$D:$AA,COLUMNS([1]PASAJEROS!D$1:M$1),0)),"N/A")</f>
        <v>-500000</v>
      </c>
      <c r="AC41" s="206">
        <f>+IFERROR(IF(S41-VLOOKUP(D41,[1]PASAJEROS!$D:$AA,COLUMNS([1]PASAJEROS!D$1:S$1),0)=0,"ISO",S41-VLOOKUP(D41,[1]PASAJEROS!$D:$AA,COLUMNS([1]PASAJEROS!D$1:S$1),0)),"N/A")</f>
        <v>-500000</v>
      </c>
      <c r="AD41" s="206">
        <f>+IFERROR(IF(Y41-VLOOKUP(D41,[1]PASAJEROS!$D:$AA,COLUMNS([1]PASAJEROS!D$1:Y$1),0)=0,"ISO",Y41-VLOOKUP(D41,[1]PASAJEROS!$D:$AA,COLUMNS([1]PASAJEROS!D$1:Y$1),0)),"N/A")</f>
        <v>-500000</v>
      </c>
      <c r="AE41" s="205"/>
      <c r="AF41" s="207">
        <v>0.09</v>
      </c>
      <c r="AG41" s="203">
        <f>(G41)*(100%-AF41)</f>
        <v>20101900</v>
      </c>
      <c r="AH41" s="203">
        <f>AG41/1.19</f>
        <v>16892352.94117647</v>
      </c>
      <c r="AI41" s="208"/>
      <c r="AJ41" s="209" t="e">
        <f>+M41-VLOOKUP(A41,'[1]BONO O GIFT CARD'!$A:$S,13,0)</f>
        <v>#N/A</v>
      </c>
      <c r="AK41" s="210" t="e">
        <f>+S41-VLOOKUP(A41,'[1]BONO O GIFT CARD'!$A:$S,19,0)</f>
        <v>#N/A</v>
      </c>
      <c r="AL41" s="210" t="e">
        <f>+Y41-VLOOKUP(A41,'[1]BONO O GIFT CARD'!$A:$Y,25,0)</f>
        <v>#N/A</v>
      </c>
    </row>
    <row r="42" spans="1:38" s="217" customFormat="1" ht="24.75" customHeight="1" x14ac:dyDescent="0.2">
      <c r="A42" s="216" t="s">
        <v>25</v>
      </c>
      <c r="B42" s="199"/>
      <c r="C42" s="220" t="s">
        <v>122</v>
      </c>
      <c r="D42" s="221" t="s">
        <v>28</v>
      </c>
      <c r="E42" s="221" t="s">
        <v>29</v>
      </c>
      <c r="F42" s="200"/>
      <c r="G42" s="226">
        <v>26390000</v>
      </c>
      <c r="H42" s="227">
        <f t="shared" si="41"/>
        <v>22176470.588235296</v>
      </c>
      <c r="I42" s="201"/>
      <c r="J42" s="227">
        <v>2300000</v>
      </c>
      <c r="K42" s="227">
        <f>+IF(J42/2&gt;G42*$M$7,G42*$M$7,J42/2)</f>
        <v>659750</v>
      </c>
      <c r="L42" s="227">
        <f t="shared" si="43"/>
        <v>1640250</v>
      </c>
      <c r="M42" s="226">
        <f t="shared" si="44"/>
        <v>24090000</v>
      </c>
      <c r="N42" s="219"/>
      <c r="O42" s="227">
        <v>2600000</v>
      </c>
      <c r="P42" s="227">
        <f>+K42</f>
        <v>659750</v>
      </c>
      <c r="Q42" s="227">
        <f>+L42</f>
        <v>1640250</v>
      </c>
      <c r="R42" s="227">
        <f>+O42-P42-Q42</f>
        <v>300000</v>
      </c>
      <c r="S42" s="226">
        <f>$G42-O42</f>
        <v>23790000</v>
      </c>
      <c r="T42" s="219"/>
      <c r="U42" s="227">
        <v>2900000</v>
      </c>
      <c r="V42" s="227">
        <f t="shared" si="46"/>
        <v>659750</v>
      </c>
      <c r="W42" s="227">
        <f t="shared" si="46"/>
        <v>1640250</v>
      </c>
      <c r="X42" s="227">
        <f>+U42-V42-W42</f>
        <v>600000</v>
      </c>
      <c r="Y42" s="226">
        <f t="shared" si="47"/>
        <v>23490000</v>
      </c>
      <c r="Z42" s="202"/>
      <c r="AA42" s="206" t="str">
        <f>+IFERROR(IF(G42-VLOOKUP(D42,[1]PASAJEROS!$D:$AA,COLUMNS([1]PASAJEROS!D$1:G$1),0)=0,"ISO",G42-VLOOKUP(D42,[1]PASAJEROS!$D:$AA,COLUMNS([1]PASAJEROS!D$1:G$1),0)),"N/A")</f>
        <v>ISO</v>
      </c>
      <c r="AB42" s="206">
        <f>+IFERROR(IF(M42-VLOOKUP(D42,[1]PASAJEROS!$D:$AA,COLUMNS([1]PASAJEROS!D$1:M$1),0)=0,"ISO",M42-VLOOKUP(D42,[1]PASAJEROS!$D:$AA,COLUMNS([1]PASAJEROS!D$1:M$1),0)),"N/A")</f>
        <v>-500000</v>
      </c>
      <c r="AC42" s="206">
        <f>+IFERROR(IF(S42-VLOOKUP(D42,[1]PASAJEROS!$D:$AA,COLUMNS([1]PASAJEROS!D$1:S$1),0)=0,"ISO",S42-VLOOKUP(D42,[1]PASAJEROS!$D:$AA,COLUMNS([1]PASAJEROS!D$1:S$1),0)),"N/A")</f>
        <v>-500000</v>
      </c>
      <c r="AD42" s="206">
        <f>+IFERROR(IF(Y42-VLOOKUP(D42,[1]PASAJEROS!$D:$AA,COLUMNS([1]PASAJEROS!D$1:Y$1),0)=0,"ISO",Y42-VLOOKUP(D42,[1]PASAJEROS!$D:$AA,COLUMNS([1]PASAJEROS!D$1:Y$1),0)),"N/A")</f>
        <v>-500000</v>
      </c>
      <c r="AE42" s="205"/>
      <c r="AF42" s="207">
        <v>0.09</v>
      </c>
      <c r="AG42" s="203">
        <f>(G42)*(100%-AF42)</f>
        <v>24014900</v>
      </c>
      <c r="AH42" s="203">
        <f>AG42/1.19</f>
        <v>20180588.235294119</v>
      </c>
      <c r="AI42" s="208"/>
      <c r="AJ42" s="209" t="e">
        <f>+M42-VLOOKUP(A42,'[1]BONO O GIFT CARD'!$A:$S,13,0)</f>
        <v>#N/A</v>
      </c>
      <c r="AK42" s="210" t="e">
        <f>+S42-VLOOKUP(A42,'[1]BONO O GIFT CARD'!$A:$S,19,0)</f>
        <v>#N/A</v>
      </c>
      <c r="AL42" s="210" t="e">
        <f>+Y42-VLOOKUP(A42,'[1]BONO O GIFT CARD'!$A:$Y,25,0)</f>
        <v>#N/A</v>
      </c>
    </row>
    <row r="43" spans="1:38" s="217" customFormat="1" ht="24.75" customHeight="1" x14ac:dyDescent="0.2">
      <c r="A43" s="216" t="s">
        <v>189</v>
      </c>
      <c r="B43" s="199"/>
      <c r="C43" s="220" t="s">
        <v>189</v>
      </c>
      <c r="D43" s="221" t="s">
        <v>190</v>
      </c>
      <c r="E43" s="221" t="s">
        <v>192</v>
      </c>
      <c r="F43" s="200"/>
      <c r="G43" s="226">
        <v>29790000</v>
      </c>
      <c r="H43" s="227">
        <f t="shared" ref="H43" si="48">+G43/1.19</f>
        <v>25033613.445378151</v>
      </c>
      <c r="I43" s="201"/>
      <c r="J43" s="227">
        <v>3200000</v>
      </c>
      <c r="K43" s="227">
        <f>+IF(J43/2&gt;G43*$M$7,G43*$M$7,J43/2)</f>
        <v>744750</v>
      </c>
      <c r="L43" s="227">
        <f t="shared" ref="L43" si="49">J43-K43</f>
        <v>2455250</v>
      </c>
      <c r="M43" s="226">
        <f t="shared" ref="M43" si="50">$G43-J43</f>
        <v>26590000</v>
      </c>
      <c r="N43" s="219"/>
      <c r="O43" s="227">
        <v>3500000</v>
      </c>
      <c r="P43" s="227">
        <f>+K43</f>
        <v>744750</v>
      </c>
      <c r="Q43" s="227">
        <f>+L43</f>
        <v>2455250</v>
      </c>
      <c r="R43" s="227">
        <f>+O43-P43-Q43</f>
        <v>300000</v>
      </c>
      <c r="S43" s="226">
        <f>$G43-O43</f>
        <v>26290000</v>
      </c>
      <c r="T43" s="219"/>
      <c r="U43" s="227">
        <v>3800000</v>
      </c>
      <c r="V43" s="227">
        <f t="shared" ref="V43" si="51">+K43</f>
        <v>744750</v>
      </c>
      <c r="W43" s="227">
        <f t="shared" ref="W43" si="52">+L43</f>
        <v>2455250</v>
      </c>
      <c r="X43" s="227">
        <f>+U43-V43-W43</f>
        <v>600000</v>
      </c>
      <c r="Y43" s="226">
        <f t="shared" ref="Y43" si="53">$G43-U43</f>
        <v>25990000</v>
      </c>
      <c r="Z43" s="202"/>
      <c r="AA43" s="206" t="str">
        <f>+IFERROR(IF(G43-VLOOKUP(D43,[1]PASAJEROS!$D:$AA,COLUMNS([1]PASAJEROS!D$1:G$1),0)=0,"ISO",G43-VLOOKUP(D43,[1]PASAJEROS!$D:$AA,COLUMNS([1]PASAJEROS!D$1:G$1),0)),"N/A")</f>
        <v>ISO</v>
      </c>
      <c r="AB43" s="206">
        <f>+IFERROR(IF(M43-VLOOKUP(D43,[1]PASAJEROS!$D:$AA,COLUMNS([1]PASAJEROS!D$1:M$1),0)=0,"ISO",M43-VLOOKUP(D43,[1]PASAJEROS!$D:$AA,COLUMNS([1]PASAJEROS!D$1:M$1),0)),"N/A")</f>
        <v>-1000000</v>
      </c>
      <c r="AC43" s="206">
        <f>+IFERROR(IF(S43-VLOOKUP(D43,[1]PASAJEROS!$D:$AA,COLUMNS([1]PASAJEROS!D$1:S$1),0)=0,"ISO",S43-VLOOKUP(D43,[1]PASAJEROS!$D:$AA,COLUMNS([1]PASAJEROS!D$1:S$1),0)),"N/A")</f>
        <v>-1000000</v>
      </c>
      <c r="AD43" s="206">
        <f>+IFERROR(IF(Y43-VLOOKUP(D43,[1]PASAJEROS!$D:$AA,COLUMNS([1]PASAJEROS!D$1:Y$1),0)=0,"ISO",Y43-VLOOKUP(D43,[1]PASAJEROS!$D:$AA,COLUMNS([1]PASAJEROS!D$1:Y$1),0)),"N/A")</f>
        <v>-1000000</v>
      </c>
      <c r="AE43" s="205"/>
      <c r="AF43" s="207">
        <v>0.09</v>
      </c>
      <c r="AG43" s="203">
        <f>(G43)*(100%-AF43)</f>
        <v>27108900</v>
      </c>
      <c r="AH43" s="203">
        <f>AG43/1.19</f>
        <v>22780588.235294119</v>
      </c>
      <c r="AI43" s="208"/>
      <c r="AJ43" s="209" t="e">
        <f>+M43-VLOOKUP(A43,'[1]BONO O GIFT CARD'!$A:$S,13,0)</f>
        <v>#N/A</v>
      </c>
      <c r="AK43" s="210" t="e">
        <f>+S43-VLOOKUP(A43,'[1]BONO O GIFT CARD'!$A:$S,19,0)</f>
        <v>#N/A</v>
      </c>
      <c r="AL43" s="210" t="e">
        <f>+Y43-VLOOKUP(A43,'[1]BONO O GIFT CARD'!$A:$Y,25,0)</f>
        <v>#N/A</v>
      </c>
    </row>
    <row r="44" spans="1:38" ht="24.95" customHeight="1" x14ac:dyDescent="0.2">
      <c r="A44" s="162"/>
      <c r="B44" s="42"/>
      <c r="C44" s="78"/>
      <c r="D44" s="79"/>
      <c r="E44" s="44"/>
      <c r="F44" s="44"/>
      <c r="G44" s="43"/>
      <c r="H44" s="43"/>
      <c r="I44" s="43"/>
      <c r="J44" s="43"/>
      <c r="K44" s="43"/>
      <c r="L44" s="43"/>
      <c r="M44" s="44"/>
      <c r="N44" s="44"/>
      <c r="O44" s="43"/>
      <c r="P44" s="43"/>
      <c r="Q44" s="43"/>
      <c r="R44" s="43"/>
      <c r="S44" s="44"/>
      <c r="T44" s="44"/>
      <c r="U44" s="43"/>
      <c r="V44" s="43"/>
      <c r="W44" s="43"/>
      <c r="X44" s="43"/>
      <c r="Y44" s="44"/>
      <c r="Z44" s="44"/>
      <c r="AA44" s="43"/>
      <c r="AB44" s="43"/>
      <c r="AC44" s="43"/>
      <c r="AD44" s="43"/>
      <c r="AE44" s="44"/>
      <c r="AF44" s="45"/>
      <c r="AG44" s="43"/>
      <c r="AH44" s="43"/>
      <c r="AI44" s="46"/>
      <c r="AJ44" s="76"/>
    </row>
  </sheetData>
  <mergeCells count="24">
    <mergeCell ref="C35:E35"/>
    <mergeCell ref="C39:E39"/>
    <mergeCell ref="C11:E11"/>
    <mergeCell ref="C16:E16"/>
    <mergeCell ref="C22:E22"/>
    <mergeCell ref="C28:E28"/>
    <mergeCell ref="C31:E31"/>
    <mergeCell ref="D3:O3"/>
    <mergeCell ref="AA8:AA9"/>
    <mergeCell ref="C8:C9"/>
    <mergeCell ref="D8:D9"/>
    <mergeCell ref="E8:E9"/>
    <mergeCell ref="O8:S8"/>
    <mergeCell ref="U8:Y8"/>
    <mergeCell ref="J8:M8"/>
    <mergeCell ref="G8:H8"/>
    <mergeCell ref="AD8:AD9"/>
    <mergeCell ref="AH8:AH9"/>
    <mergeCell ref="AF8:AF9"/>
    <mergeCell ref="AG8:AG9"/>
    <mergeCell ref="D4:G4"/>
    <mergeCell ref="D5:G5"/>
    <mergeCell ref="AB8:AB9"/>
    <mergeCell ref="AC8:AC9"/>
  </mergeCells>
  <phoneticPr fontId="44" type="noConversion"/>
  <conditionalFormatting sqref="D17:D20">
    <cfRule type="duplicateValues" dxfId="5" priority="21"/>
  </conditionalFormatting>
  <conditionalFormatting sqref="D12:E15 D17:E21 D23:E27 D29:E30 D32:E34 D36:E38 D40:E43 E44">
    <cfRule type="containsText" dxfId="4" priority="2" operator="containsText" text="Pendiente">
      <formula>NOT(ISERROR(SEARCH("Pendiente",D12)))</formula>
    </cfRule>
  </conditionalFormatting>
  <printOptions horizontalCentered="1" verticalCentered="1"/>
  <pageMargins left="0.7" right="0.7" top="0.75" bottom="0.75" header="0.3" footer="0.3"/>
  <pageSetup paperSize="9" scale="34" fitToWidth="0" orientation="landscape" r:id="rId1"/>
  <headerFooter scaleWithDoc="0" alignWithMargins="0">
    <oddHeader xml:space="preserve">&amp;C
</oddHead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3">
    <tabColor theme="0" tint="-0.499984740745262"/>
  </sheetPr>
  <dimension ref="A1:AX30"/>
  <sheetViews>
    <sheetView showGridLines="0" zoomScale="70" zoomScaleNormal="70" zoomScaleSheetLayoutView="70" zoomScalePageLayoutView="44" workbookViewId="0">
      <pane xSplit="4" ySplit="9" topLeftCell="E19" activePane="bottomRight" state="frozen"/>
      <selection activeCell="B1" sqref="B1"/>
      <selection pane="topRight" activeCell="E1" sqref="E1"/>
      <selection pane="bottomLeft" activeCell="B11" sqref="B11"/>
      <selection pane="bottomRight" activeCell="AE28" sqref="AE28"/>
    </sheetView>
  </sheetViews>
  <sheetFormatPr baseColWidth="10" defaultColWidth="11.5703125" defaultRowHeight="24.95" customHeight="1" outlineLevelCol="1" x14ac:dyDescent="0.2"/>
  <cols>
    <col min="1" max="1" width="44.5703125" style="163" hidden="1" customWidth="1" outlineLevel="1"/>
    <col min="2" max="2" width="2.7109375" style="47" customWidth="1" collapsed="1"/>
    <col min="3" max="3" width="65.7109375" style="41" customWidth="1"/>
    <col min="4" max="4" width="37.28515625" style="294" hidden="1" customWidth="1" outlineLevel="1"/>
    <col min="5" max="5" width="35.7109375" style="47" customWidth="1" collapsed="1"/>
    <col min="6" max="6" width="2.7109375" style="47" customWidth="1"/>
    <col min="7" max="7" width="25.7109375" style="295" hidden="1" customWidth="1" outlineLevel="1"/>
    <col min="8" max="8" width="25.7109375" style="295" customWidth="1" collapsed="1"/>
    <col min="9" max="9" width="2.7109375" style="48" customWidth="1"/>
    <col min="10" max="10" width="25.7109375" style="48" hidden="1" customWidth="1" outlineLevel="1"/>
    <col min="11" max="11" width="25.7109375" style="48" customWidth="1" collapsed="1"/>
    <col min="12" max="13" width="25.7109375" style="48" hidden="1" customWidth="1" outlineLevel="1"/>
    <col min="14" max="14" width="25.7109375" style="47" hidden="1" customWidth="1" outlineLevel="1"/>
    <col min="15" max="15" width="25.7109375" style="296" customWidth="1" collapsed="1"/>
    <col min="16" max="16" width="2.7109375" style="47" customWidth="1"/>
    <col min="17" max="17" width="25.7109375" style="48" hidden="1" customWidth="1" outlineLevel="1"/>
    <col min="18" max="18" width="25.7109375" style="48" customWidth="1" collapsed="1"/>
    <col min="19" max="21" width="25.7109375" style="48" hidden="1" customWidth="1" outlineLevel="1"/>
    <col min="22" max="22" width="25.7109375" style="47" hidden="1" customWidth="1" outlineLevel="1"/>
    <col min="23" max="23" width="25.7109375" style="296" customWidth="1" collapsed="1"/>
    <col min="24" max="24" width="2.7109375" style="47" customWidth="1"/>
    <col min="25" max="25" width="25.7109375" style="48" hidden="1" customWidth="1" outlineLevel="1"/>
    <col min="26" max="26" width="25.7109375" style="48" customWidth="1" collapsed="1"/>
    <col min="27" max="29" width="25.7109375" style="48" hidden="1" customWidth="1" outlineLevel="1"/>
    <col min="30" max="30" width="25.7109375" style="47" hidden="1" customWidth="1" outlineLevel="1"/>
    <col min="31" max="31" width="25.7109375" style="296" customWidth="1" collapsed="1"/>
    <col min="32" max="32" width="2.7109375" style="47" customWidth="1"/>
    <col min="33" max="36" width="20.7109375" style="47" hidden="1" customWidth="1" outlineLevel="1"/>
    <col min="37" max="37" width="2.7109375" style="47" customWidth="1" collapsed="1"/>
    <col min="38" max="38" width="18.7109375" style="49" hidden="1" customWidth="1" outlineLevel="1"/>
    <col min="39" max="40" width="18.7109375" style="48" hidden="1" customWidth="1" outlineLevel="1"/>
    <col min="41" max="41" width="2.7109375" style="41" customWidth="1" collapsed="1"/>
    <col min="42" max="42" width="2.7109375" style="41" customWidth="1"/>
    <col min="43" max="47" width="13" style="297" hidden="1" customWidth="1" outlineLevel="1"/>
    <col min="48" max="48" width="11.5703125" style="41" collapsed="1"/>
    <col min="49" max="16384" width="11.5703125" style="41"/>
  </cols>
  <sheetData>
    <row r="1" spans="1:47" s="18" customFormat="1" ht="24.95" customHeight="1" x14ac:dyDescent="0.2">
      <c r="A1" s="247"/>
      <c r="B1" s="19"/>
      <c r="C1" s="34"/>
      <c r="D1" s="248"/>
      <c r="E1" s="248"/>
      <c r="F1" s="21"/>
      <c r="G1" s="249"/>
      <c r="H1" s="249"/>
      <c r="I1" s="22"/>
      <c r="J1" s="23"/>
      <c r="K1" s="23"/>
      <c r="L1" s="22"/>
      <c r="M1" s="22"/>
      <c r="N1" s="21"/>
      <c r="O1" s="250"/>
      <c r="P1" s="21"/>
      <c r="Q1" s="23"/>
      <c r="R1" s="23"/>
      <c r="S1" s="22"/>
      <c r="T1" s="22"/>
      <c r="U1" s="22"/>
      <c r="V1" s="21"/>
      <c r="W1" s="250"/>
      <c r="X1" s="21"/>
      <c r="Y1" s="23"/>
      <c r="Z1" s="23"/>
      <c r="AA1" s="22"/>
      <c r="AB1" s="22"/>
      <c r="AC1" s="22"/>
      <c r="AD1" s="21"/>
      <c r="AE1" s="250"/>
      <c r="AF1" s="21"/>
      <c r="AG1" s="21"/>
      <c r="AH1" s="21"/>
      <c r="AI1" s="21"/>
      <c r="AJ1" s="21"/>
      <c r="AK1" s="21"/>
      <c r="AL1" s="24"/>
      <c r="AM1" s="22"/>
      <c r="AN1" s="22"/>
      <c r="AO1" s="25"/>
      <c r="AQ1" s="251"/>
      <c r="AR1" s="251"/>
      <c r="AS1" s="251"/>
      <c r="AT1" s="251"/>
      <c r="AU1" s="251"/>
    </row>
    <row r="2" spans="1:47" s="18" customFormat="1" ht="24.95" customHeight="1" x14ac:dyDescent="0.2">
      <c r="A2" s="247"/>
      <c r="B2" s="26"/>
      <c r="C2" s="34"/>
      <c r="D2" s="252"/>
      <c r="E2" s="253"/>
      <c r="F2" s="27"/>
      <c r="G2" s="22"/>
      <c r="H2" s="22"/>
      <c r="I2" s="28"/>
      <c r="J2" s="23"/>
      <c r="K2" s="23"/>
      <c r="L2" s="22"/>
      <c r="M2" s="22"/>
      <c r="N2" s="27"/>
      <c r="O2" s="27"/>
      <c r="P2" s="27"/>
      <c r="Q2" s="23"/>
      <c r="R2" s="23"/>
      <c r="S2" s="22"/>
      <c r="T2" s="22"/>
      <c r="U2" s="22"/>
      <c r="V2" s="27"/>
      <c r="W2" s="27"/>
      <c r="X2" s="27"/>
      <c r="Y2" s="23"/>
      <c r="Z2" s="23"/>
      <c r="AA2" s="22"/>
      <c r="AB2" s="22"/>
      <c r="AC2" s="22"/>
      <c r="AD2" s="27"/>
      <c r="AE2" s="27"/>
      <c r="AF2" s="27"/>
      <c r="AG2" s="27"/>
      <c r="AH2" s="27"/>
      <c r="AI2" s="27"/>
      <c r="AJ2" s="27"/>
      <c r="AK2" s="27"/>
      <c r="AL2" s="24"/>
      <c r="AM2" s="22"/>
      <c r="AN2" s="22"/>
      <c r="AO2" s="25"/>
      <c r="AQ2" s="251"/>
      <c r="AR2" s="251"/>
      <c r="AS2" s="251"/>
      <c r="AT2" s="251"/>
      <c r="AU2" s="251"/>
    </row>
    <row r="3" spans="1:47" s="18" customFormat="1" ht="24.95" customHeight="1" x14ac:dyDescent="0.2">
      <c r="A3" s="247"/>
      <c r="B3" s="26"/>
      <c r="C3" s="34"/>
      <c r="D3" s="363" t="str">
        <f>PASAJEROS!$D$3</f>
        <v>LISTA DE PRECIOS VEHÍCULOS NUEVOS</v>
      </c>
      <c r="E3" s="363"/>
      <c r="F3" s="363"/>
      <c r="G3" s="363"/>
      <c r="H3" s="363"/>
      <c r="I3" s="363"/>
      <c r="J3" s="363"/>
      <c r="K3" s="363"/>
      <c r="L3" s="363"/>
      <c r="M3" s="363"/>
      <c r="N3" s="363"/>
      <c r="O3" s="363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254"/>
      <c r="AI3" s="254"/>
      <c r="AJ3" s="254"/>
      <c r="AK3" s="27"/>
      <c r="AL3" s="33"/>
      <c r="AM3" s="32"/>
      <c r="AN3" s="32"/>
      <c r="AO3" s="25"/>
      <c r="AQ3" s="251"/>
      <c r="AR3" s="251"/>
      <c r="AS3" s="251"/>
      <c r="AT3" s="251"/>
      <c r="AU3" s="251"/>
    </row>
    <row r="4" spans="1:47" s="18" customFormat="1" ht="24.95" customHeight="1" x14ac:dyDescent="0.2">
      <c r="A4" s="247"/>
      <c r="B4" s="26"/>
      <c r="C4" s="34"/>
      <c r="D4" s="364" t="str">
        <f>PASAJEROS!$D$4</f>
        <v>Nº 06 - 2026</v>
      </c>
      <c r="E4" s="364"/>
      <c r="F4" s="364"/>
      <c r="G4" s="364"/>
      <c r="H4" s="364"/>
      <c r="I4" s="32"/>
      <c r="J4" s="32"/>
      <c r="K4" s="32"/>
      <c r="L4" s="32"/>
      <c r="M4" s="32"/>
      <c r="N4" s="27"/>
      <c r="O4" s="27"/>
      <c r="P4" s="27"/>
      <c r="Q4" s="32"/>
      <c r="R4" s="32"/>
      <c r="S4" s="32"/>
      <c r="T4" s="32"/>
      <c r="U4" s="32"/>
      <c r="V4" s="27"/>
      <c r="W4" s="27"/>
      <c r="X4" s="27"/>
      <c r="Y4" s="32"/>
      <c r="Z4" s="32"/>
      <c r="AA4" s="32"/>
      <c r="AB4" s="32"/>
      <c r="AC4" s="32"/>
      <c r="AD4" s="27"/>
      <c r="AE4" s="27"/>
      <c r="AF4" s="27"/>
      <c r="AG4" s="27"/>
      <c r="AH4" s="27"/>
      <c r="AI4" s="27"/>
      <c r="AJ4" s="27"/>
      <c r="AK4" s="27"/>
      <c r="AL4" s="33"/>
      <c r="AM4" s="32"/>
      <c r="AN4" s="32"/>
      <c r="AO4" s="25"/>
      <c r="AQ4" s="251"/>
      <c r="AR4" s="251"/>
      <c r="AS4" s="251"/>
      <c r="AT4" s="251"/>
      <c r="AU4" s="251"/>
    </row>
    <row r="5" spans="1:47" s="18" customFormat="1" ht="24.95" customHeight="1" x14ac:dyDescent="0.2">
      <c r="A5" s="247"/>
      <c r="B5" s="26"/>
      <c r="C5" s="34"/>
      <c r="D5" s="364">
        <f>PASAJEROS!$D$5</f>
        <v>46174</v>
      </c>
      <c r="E5" s="364"/>
      <c r="F5" s="364"/>
      <c r="G5" s="364"/>
      <c r="H5" s="364"/>
      <c r="I5" s="32"/>
      <c r="J5" s="32"/>
      <c r="K5" s="32"/>
      <c r="L5" s="32"/>
      <c r="M5" s="32"/>
      <c r="N5" s="27"/>
      <c r="O5" s="27"/>
      <c r="P5" s="27"/>
      <c r="Q5" s="32"/>
      <c r="R5" s="32"/>
      <c r="S5" s="32"/>
      <c r="T5" s="32"/>
      <c r="U5" s="32"/>
      <c r="V5" s="27"/>
      <c r="W5" s="27"/>
      <c r="X5" s="27"/>
      <c r="Y5" s="32"/>
      <c r="Z5" s="32"/>
      <c r="AA5" s="32"/>
      <c r="AB5" s="32"/>
      <c r="AC5" s="32"/>
      <c r="AD5" s="27"/>
      <c r="AE5" s="27"/>
      <c r="AF5" s="27"/>
      <c r="AG5" s="27"/>
      <c r="AH5" s="27"/>
      <c r="AI5" s="27"/>
      <c r="AJ5" s="27"/>
      <c r="AK5" s="27"/>
      <c r="AL5" s="33"/>
      <c r="AM5" s="32"/>
      <c r="AN5" s="32"/>
      <c r="AO5" s="25"/>
      <c r="AQ5" s="251"/>
      <c r="AR5" s="251"/>
      <c r="AS5" s="251"/>
      <c r="AT5" s="251"/>
      <c r="AU5" s="251"/>
    </row>
    <row r="6" spans="1:47" s="37" customFormat="1" ht="24.95" customHeight="1" x14ac:dyDescent="0.2">
      <c r="A6" s="255"/>
      <c r="B6" s="35"/>
      <c r="C6" s="34"/>
      <c r="D6" s="256"/>
      <c r="E6" s="27"/>
      <c r="F6" s="27"/>
      <c r="G6" s="32"/>
      <c r="H6" s="32"/>
      <c r="I6" s="32"/>
      <c r="J6" s="31"/>
      <c r="K6" s="31"/>
      <c r="L6" s="32"/>
      <c r="M6" s="32"/>
      <c r="N6" s="27"/>
      <c r="O6" s="27"/>
      <c r="P6" s="27"/>
      <c r="Q6" s="31"/>
      <c r="R6" s="31"/>
      <c r="S6" s="32"/>
      <c r="T6" s="32"/>
      <c r="U6" s="32"/>
      <c r="V6" s="27"/>
      <c r="W6" s="27"/>
      <c r="X6" s="27"/>
      <c r="Y6" s="31"/>
      <c r="Z6" s="31"/>
      <c r="AA6" s="32"/>
      <c r="AB6" s="32"/>
      <c r="AC6" s="32"/>
      <c r="AD6" s="27"/>
      <c r="AE6" s="27"/>
      <c r="AF6" s="27"/>
      <c r="AG6" s="27"/>
      <c r="AH6" s="27"/>
      <c r="AI6" s="27"/>
      <c r="AJ6" s="27"/>
      <c r="AK6" s="27"/>
      <c r="AL6" s="33"/>
      <c r="AM6" s="32"/>
      <c r="AN6" s="32"/>
      <c r="AO6" s="36"/>
      <c r="AQ6" s="257"/>
      <c r="AR6" s="257"/>
      <c r="AS6" s="257"/>
      <c r="AT6" s="257"/>
      <c r="AU6" s="257"/>
    </row>
    <row r="7" spans="1:47" s="37" customFormat="1" ht="24.95" customHeight="1" thickBot="1" x14ac:dyDescent="0.35">
      <c r="A7" s="255"/>
      <c r="B7" s="35"/>
      <c r="C7" s="34"/>
      <c r="D7" s="256"/>
      <c r="E7" s="27"/>
      <c r="F7" s="27"/>
      <c r="G7" s="32"/>
      <c r="H7" s="32"/>
      <c r="I7" s="175"/>
      <c r="J7" s="31"/>
      <c r="K7" s="165" t="s">
        <v>84</v>
      </c>
      <c r="L7" s="166"/>
      <c r="M7" s="167"/>
      <c r="N7" s="258"/>
      <c r="O7" s="168">
        <f>+PASAJEROS!M7</f>
        <v>2.5000000000000001E-2</v>
      </c>
      <c r="P7" s="176"/>
      <c r="Q7" s="31"/>
      <c r="R7" s="31"/>
      <c r="S7" s="32"/>
      <c r="T7" s="32"/>
      <c r="U7" s="32"/>
      <c r="V7" s="27"/>
      <c r="W7" s="27"/>
      <c r="X7" s="27"/>
      <c r="Y7" s="31"/>
      <c r="Z7" s="31"/>
      <c r="AA7" s="32"/>
      <c r="AB7" s="32"/>
      <c r="AC7" s="32"/>
      <c r="AD7" s="27"/>
      <c r="AE7" s="27"/>
      <c r="AF7" s="27"/>
      <c r="AG7" s="27"/>
      <c r="AH7" s="27"/>
      <c r="AI7" s="27"/>
      <c r="AJ7" s="27"/>
      <c r="AK7" s="27"/>
      <c r="AL7" s="33"/>
      <c r="AM7" s="32"/>
      <c r="AN7" s="32"/>
      <c r="AO7" s="36"/>
      <c r="AQ7" s="257"/>
      <c r="AR7" s="257"/>
      <c r="AS7" s="257"/>
      <c r="AT7" s="257"/>
      <c r="AU7" s="257"/>
    </row>
    <row r="8" spans="1:47" s="94" customFormat="1" ht="25.5" customHeight="1" thickBot="1" x14ac:dyDescent="0.25">
      <c r="A8" s="169"/>
      <c r="B8" s="129"/>
      <c r="C8" s="366" t="s">
        <v>188</v>
      </c>
      <c r="D8" s="361" t="s">
        <v>1</v>
      </c>
      <c r="E8" s="361" t="s">
        <v>2</v>
      </c>
      <c r="F8" s="333"/>
      <c r="G8" s="367" t="s">
        <v>79</v>
      </c>
      <c r="H8" s="367"/>
      <c r="I8" s="170"/>
      <c r="J8" s="368" t="s">
        <v>82</v>
      </c>
      <c r="K8" s="368"/>
      <c r="L8" s="368"/>
      <c r="M8" s="368"/>
      <c r="N8" s="368"/>
      <c r="O8" s="368"/>
      <c r="P8" s="171"/>
      <c r="Q8" s="369" t="s">
        <v>80</v>
      </c>
      <c r="R8" s="369"/>
      <c r="S8" s="369"/>
      <c r="T8" s="369"/>
      <c r="U8" s="369"/>
      <c r="V8" s="369"/>
      <c r="W8" s="369"/>
      <c r="X8" s="351"/>
      <c r="Y8" s="369" t="s">
        <v>81</v>
      </c>
      <c r="Z8" s="369"/>
      <c r="AA8" s="369"/>
      <c r="AB8" s="369"/>
      <c r="AC8" s="369"/>
      <c r="AD8" s="369"/>
      <c r="AE8" s="369"/>
      <c r="AF8" s="353"/>
      <c r="AG8" s="360" t="s">
        <v>186</v>
      </c>
      <c r="AH8" s="360" t="s">
        <v>187</v>
      </c>
      <c r="AI8" s="360" t="s">
        <v>183</v>
      </c>
      <c r="AJ8" s="360" t="s">
        <v>184</v>
      </c>
      <c r="AK8" s="172"/>
      <c r="AL8" s="365" t="s">
        <v>4</v>
      </c>
      <c r="AM8" s="360" t="s">
        <v>5</v>
      </c>
      <c r="AN8" s="360" t="s">
        <v>6</v>
      </c>
      <c r="AO8" s="93"/>
      <c r="AQ8" s="362" t="s">
        <v>172</v>
      </c>
      <c r="AR8" s="362"/>
      <c r="AS8" s="362"/>
      <c r="AT8" s="362"/>
      <c r="AU8" s="362"/>
    </row>
    <row r="9" spans="1:47" s="197" customFormat="1" ht="45" customHeight="1" thickBot="1" x14ac:dyDescent="0.25">
      <c r="A9" s="328" t="s">
        <v>92</v>
      </c>
      <c r="B9" s="179"/>
      <c r="C9" s="366"/>
      <c r="D9" s="361"/>
      <c r="E9" s="361"/>
      <c r="F9" s="329"/>
      <c r="G9" s="330" t="s">
        <v>173</v>
      </c>
      <c r="H9" s="359" t="s">
        <v>174</v>
      </c>
      <c r="I9" s="331"/>
      <c r="J9" s="358" t="s">
        <v>176</v>
      </c>
      <c r="K9" s="193" t="s">
        <v>180</v>
      </c>
      <c r="L9" s="193" t="s">
        <v>3</v>
      </c>
      <c r="M9" s="193" t="s">
        <v>177</v>
      </c>
      <c r="N9" s="193" t="s">
        <v>181</v>
      </c>
      <c r="O9" s="357" t="s">
        <v>182</v>
      </c>
      <c r="P9" s="298"/>
      <c r="Q9" s="193" t="s">
        <v>176</v>
      </c>
      <c r="R9" s="193" t="s">
        <v>180</v>
      </c>
      <c r="S9" s="193" t="s">
        <v>3</v>
      </c>
      <c r="T9" s="193" t="s">
        <v>177</v>
      </c>
      <c r="U9" s="193" t="s">
        <v>179</v>
      </c>
      <c r="V9" s="193" t="s">
        <v>181</v>
      </c>
      <c r="W9" s="193" t="s">
        <v>182</v>
      </c>
      <c r="X9" s="352"/>
      <c r="Y9" s="193" t="s">
        <v>176</v>
      </c>
      <c r="Z9" s="193" t="s">
        <v>180</v>
      </c>
      <c r="AA9" s="193" t="s">
        <v>3</v>
      </c>
      <c r="AB9" s="193" t="s">
        <v>177</v>
      </c>
      <c r="AC9" s="193" t="s">
        <v>179</v>
      </c>
      <c r="AD9" s="193" t="s">
        <v>181</v>
      </c>
      <c r="AE9" s="193" t="s">
        <v>182</v>
      </c>
      <c r="AF9" s="354"/>
      <c r="AG9" s="360"/>
      <c r="AH9" s="360"/>
      <c r="AI9" s="360"/>
      <c r="AJ9" s="360"/>
      <c r="AK9" s="332"/>
      <c r="AL9" s="365"/>
      <c r="AM9" s="360"/>
      <c r="AN9" s="360"/>
      <c r="AO9" s="195"/>
      <c r="AQ9" s="346" t="s">
        <v>69</v>
      </c>
      <c r="AR9" s="346" t="s">
        <v>68</v>
      </c>
      <c r="AS9" s="346" t="s">
        <v>70</v>
      </c>
      <c r="AT9" s="346" t="s">
        <v>71</v>
      </c>
      <c r="AU9" s="346" t="s">
        <v>191</v>
      </c>
    </row>
    <row r="10" spans="1:47" s="37" customFormat="1" ht="15" customHeight="1" thickBot="1" x14ac:dyDescent="0.25">
      <c r="A10" s="255"/>
      <c r="B10" s="134"/>
      <c r="C10" s="259"/>
      <c r="D10" s="260"/>
      <c r="E10" s="259"/>
      <c r="F10" s="259"/>
      <c r="G10" s="261"/>
      <c r="H10" s="261"/>
      <c r="I10" s="261"/>
      <c r="J10" s="261"/>
      <c r="K10" s="261"/>
      <c r="L10" s="261"/>
      <c r="M10" s="261"/>
      <c r="N10" s="261"/>
      <c r="O10" s="261"/>
      <c r="P10" s="259"/>
      <c r="Q10" s="261"/>
      <c r="R10" s="261"/>
      <c r="S10" s="261"/>
      <c r="T10" s="261"/>
      <c r="U10" s="261"/>
      <c r="V10" s="261"/>
      <c r="W10" s="261"/>
      <c r="X10" s="259"/>
      <c r="Y10" s="261"/>
      <c r="Z10" s="261"/>
      <c r="AA10" s="261"/>
      <c r="AB10" s="261"/>
      <c r="AC10" s="261"/>
      <c r="AD10" s="261"/>
      <c r="AE10" s="261"/>
      <c r="AF10" s="259"/>
      <c r="AG10" s="261"/>
      <c r="AH10" s="261"/>
      <c r="AI10" s="261"/>
      <c r="AJ10" s="261"/>
      <c r="AK10" s="259"/>
      <c r="AL10" s="262"/>
      <c r="AM10" s="261"/>
      <c r="AN10" s="261"/>
      <c r="AO10" s="36"/>
      <c r="AQ10" s="257"/>
      <c r="AR10" s="257"/>
      <c r="AS10" s="257"/>
      <c r="AT10" s="257"/>
      <c r="AU10" s="257"/>
    </row>
    <row r="11" spans="1:47" s="94" customFormat="1" ht="24.95" customHeight="1" thickBot="1" x14ac:dyDescent="0.25">
      <c r="A11" s="169"/>
      <c r="B11" s="129"/>
      <c r="C11" s="370" t="s">
        <v>36</v>
      </c>
      <c r="D11" s="370"/>
      <c r="E11" s="370"/>
      <c r="F11" s="334"/>
      <c r="G11" s="172"/>
      <c r="H11" s="172"/>
      <c r="I11" s="335"/>
      <c r="J11" s="336"/>
      <c r="K11" s="336"/>
      <c r="L11" s="337"/>
      <c r="M11" s="337"/>
      <c r="N11" s="338"/>
      <c r="O11" s="338"/>
      <c r="P11" s="172"/>
      <c r="Q11" s="336"/>
      <c r="R11" s="336"/>
      <c r="S11" s="336"/>
      <c r="T11" s="336"/>
      <c r="U11" s="336"/>
      <c r="V11" s="338"/>
      <c r="W11" s="338"/>
      <c r="X11" s="172"/>
      <c r="Y11" s="336"/>
      <c r="Z11" s="336"/>
      <c r="AA11" s="336"/>
      <c r="AB11" s="336"/>
      <c r="AC11" s="336"/>
      <c r="AD11" s="338"/>
      <c r="AE11" s="338"/>
      <c r="AF11" s="172"/>
      <c r="AG11" s="338"/>
      <c r="AH11" s="338"/>
      <c r="AI11" s="338"/>
      <c r="AJ11" s="338"/>
      <c r="AK11" s="172"/>
      <c r="AL11" s="339"/>
      <c r="AM11" s="336"/>
      <c r="AN11" s="336"/>
      <c r="AO11" s="93"/>
      <c r="AQ11" s="340"/>
      <c r="AR11" s="80"/>
      <c r="AS11" s="341"/>
      <c r="AT11" s="80"/>
      <c r="AU11" s="80"/>
    </row>
    <row r="12" spans="1:47" s="311" customFormat="1" ht="24.95" customHeight="1" thickBot="1" x14ac:dyDescent="0.25">
      <c r="A12" s="300" t="s">
        <v>95</v>
      </c>
      <c r="B12" s="301"/>
      <c r="C12" s="302" t="s">
        <v>123</v>
      </c>
      <c r="D12" s="303" t="s">
        <v>32</v>
      </c>
      <c r="E12" s="303" t="s">
        <v>35</v>
      </c>
      <c r="F12" s="304"/>
      <c r="G12" s="204">
        <f t="shared" ref="G12" si="0">+H12*1.19</f>
        <v>23312100</v>
      </c>
      <c r="H12" s="204">
        <v>19590000</v>
      </c>
      <c r="I12" s="305"/>
      <c r="J12" s="203">
        <f t="shared" ref="J12" si="1">+K12*1.19</f>
        <v>2023000</v>
      </c>
      <c r="K12" s="203">
        <v>1700000</v>
      </c>
      <c r="L12" s="203">
        <f>+IF(K12/2&gt;H12*$O$7,H12*$O$7,K12/2)</f>
        <v>489750</v>
      </c>
      <c r="M12" s="203">
        <f>K12-L12</f>
        <v>1210250</v>
      </c>
      <c r="N12" s="203">
        <f>$G12-J12</f>
        <v>21289100</v>
      </c>
      <c r="O12" s="204">
        <f t="shared" ref="O12" si="2">+N12/1.19</f>
        <v>17890000</v>
      </c>
      <c r="P12" s="306"/>
      <c r="Q12" s="203">
        <f t="shared" ref="Q12" si="3">R12*1.19</f>
        <v>2618000</v>
      </c>
      <c r="R12" s="203">
        <v>2200000</v>
      </c>
      <c r="S12" s="203">
        <f t="shared" ref="S12" si="4">+L12</f>
        <v>489750</v>
      </c>
      <c r="T12" s="203">
        <f>+M12</f>
        <v>1210250</v>
      </c>
      <c r="U12" s="203">
        <f>+R12-S12-T12</f>
        <v>500000</v>
      </c>
      <c r="V12" s="203">
        <f>$G12-Q12</f>
        <v>20694100</v>
      </c>
      <c r="W12" s="204">
        <f t="shared" ref="W12" si="5">+V12/1.19</f>
        <v>17390000</v>
      </c>
      <c r="X12" s="306"/>
      <c r="Y12" s="203" t="s">
        <v>15</v>
      </c>
      <c r="Z12" s="203" t="s">
        <v>15</v>
      </c>
      <c r="AA12" s="203" t="s">
        <v>15</v>
      </c>
      <c r="AB12" s="203" t="s">
        <v>15</v>
      </c>
      <c r="AC12" s="203" t="s">
        <v>15</v>
      </c>
      <c r="AD12" s="203" t="s">
        <v>15</v>
      </c>
      <c r="AE12" s="204" t="s">
        <v>15</v>
      </c>
      <c r="AF12" s="306"/>
      <c r="AG12" s="206" t="str">
        <f>IFERROR(IF(H12-VLOOKUP(D12,[1]COMERCIALES!$D:$AG,COLUMNS([1]COMERCIALES!D$11:H$11),FALSE)=0,"ISO",H12-VLOOKUP(D12,[1]COMERCIALES!$D:$AG,COLUMNS([1]COMERCIALES!D$11:H$11),FALSE)),0)</f>
        <v>ISO</v>
      </c>
      <c r="AH12" s="206" t="str">
        <f>IFERROR(IF(O12-VLOOKUP(D12,[1]COMERCIALES!$D:$AG,COLUMNS([1]COMERCIALES!D$11:O$11),FALSE)=0,"ISO",O12-VLOOKUP(D12,[1]COMERCIALES!$D:$AG,COLUMNS([1]COMERCIALES!D$11:O$11),FALSE)),0)</f>
        <v>ISO</v>
      </c>
      <c r="AI12" s="206" t="str">
        <f>IFERROR(IF(W12-VLOOKUP(D12,[1]COMERCIALES!$D:$AG,COLUMNS([1]COMERCIALES!D$11:W$11),FALSE)=0,"ISO",W12-VLOOKUP(D12,[1]COMERCIALES!$D:$AG,COLUMNS([1]COMERCIALES!D$11:W$11),FALSE)),0)</f>
        <v>ISO</v>
      </c>
      <c r="AJ12" s="206" t="str">
        <f>IFERROR(IF(W12-VLOOKUP(D12,[1]COMERCIALES!$D:$AG,COLUMNS([1]COMERCIALES!D$11:W$11),FALSE)=0,"ISO",W12-VLOOKUP(D12,[1]COMERCIALES!$D:$AG,COLUMNS([1]COMERCIALES!D$11:W$11),FALSE)),0)</f>
        <v>ISO</v>
      </c>
      <c r="AK12" s="307"/>
      <c r="AL12" s="308">
        <v>0.1</v>
      </c>
      <c r="AM12" s="215">
        <f>(G12)*(100%-AL12)</f>
        <v>20980890</v>
      </c>
      <c r="AN12" s="215">
        <f>AM12/1.19</f>
        <v>17631000</v>
      </c>
      <c r="AO12" s="309"/>
      <c r="AP12" s="310"/>
      <c r="AQ12" s="347">
        <f>IFERROR(K12/H12,0)</f>
        <v>8.6778968861664113E-2</v>
      </c>
      <c r="AR12" s="348">
        <v>0.1</v>
      </c>
      <c r="AS12" s="348">
        <f>IFERROR(+R12/H12,0)</f>
        <v>0.11230219499744767</v>
      </c>
      <c r="AT12" s="348">
        <v>0.14000000000000001</v>
      </c>
      <c r="AU12" s="348" t="s">
        <v>15</v>
      </c>
    </row>
    <row r="13" spans="1:47" s="311" customFormat="1" ht="24.95" customHeight="1" collapsed="1" thickBot="1" x14ac:dyDescent="0.25">
      <c r="A13" s="300" t="s">
        <v>93</v>
      </c>
      <c r="B13" s="301"/>
      <c r="C13" s="302" t="s">
        <v>124</v>
      </c>
      <c r="D13" s="303" t="s">
        <v>33</v>
      </c>
      <c r="E13" s="303" t="s">
        <v>34</v>
      </c>
      <c r="F13" s="304"/>
      <c r="G13" s="204">
        <f>+H13*1.19</f>
        <v>24264100</v>
      </c>
      <c r="H13" s="204">
        <v>20390000</v>
      </c>
      <c r="I13" s="305"/>
      <c r="J13" s="203">
        <f>+K13*1.19</f>
        <v>2023000</v>
      </c>
      <c r="K13" s="203">
        <v>1700000</v>
      </c>
      <c r="L13" s="203">
        <f>+IF(K13/2&gt;H13*$O$7,H13*$O$7,K13/2)</f>
        <v>509750</v>
      </c>
      <c r="M13" s="203">
        <f>K13-L13</f>
        <v>1190250</v>
      </c>
      <c r="N13" s="203">
        <f>$G13-J13</f>
        <v>22241100</v>
      </c>
      <c r="O13" s="204">
        <f>+N13/1.19</f>
        <v>18690000</v>
      </c>
      <c r="P13" s="306"/>
      <c r="Q13" s="203">
        <f>R13*1.19</f>
        <v>2618000</v>
      </c>
      <c r="R13" s="203">
        <v>2200000</v>
      </c>
      <c r="S13" s="203">
        <f>+L13</f>
        <v>509750</v>
      </c>
      <c r="T13" s="203">
        <f>+M13</f>
        <v>1190250</v>
      </c>
      <c r="U13" s="203">
        <f>+R13-S13-T13</f>
        <v>500000</v>
      </c>
      <c r="V13" s="203">
        <f>$G13-Q13</f>
        <v>21646100</v>
      </c>
      <c r="W13" s="204">
        <f>+V13/1.19</f>
        <v>18190000</v>
      </c>
      <c r="X13" s="306"/>
      <c r="Y13" s="203" t="s">
        <v>15</v>
      </c>
      <c r="Z13" s="203" t="s">
        <v>15</v>
      </c>
      <c r="AA13" s="203" t="s">
        <v>15</v>
      </c>
      <c r="AB13" s="203" t="s">
        <v>15</v>
      </c>
      <c r="AC13" s="203" t="s">
        <v>15</v>
      </c>
      <c r="AD13" s="203" t="s">
        <v>15</v>
      </c>
      <c r="AE13" s="204" t="s">
        <v>15</v>
      </c>
      <c r="AF13" s="306"/>
      <c r="AG13" s="206" t="str">
        <f>IFERROR(IF(H13-VLOOKUP(D13,[1]COMERCIALES!$D:$AG,COLUMNS([1]COMERCIALES!D$11:H$11),FALSE)=0,"ISO",H13-VLOOKUP(D13,[1]COMERCIALES!$D:$AG,COLUMNS([1]COMERCIALES!D$11:H$11),FALSE)),0)</f>
        <v>ISO</v>
      </c>
      <c r="AH13" s="206" t="str">
        <f>IFERROR(IF(O13-VLOOKUP(D13,[1]COMERCIALES!$D:$AG,COLUMNS([1]COMERCIALES!D$11:O$11),FALSE)=0,"ISO",O13-VLOOKUP(D13,[1]COMERCIALES!$D:$AG,COLUMNS([1]COMERCIALES!D$11:O$11),FALSE)),0)</f>
        <v>ISO</v>
      </c>
      <c r="AI13" s="206" t="str">
        <f>IFERROR(IF(W13-VLOOKUP(D13,[1]COMERCIALES!$D:$AG,COLUMNS([1]COMERCIALES!D$11:W$11),FALSE)=0,"ISO",W13-VLOOKUP(D13,[1]COMERCIALES!$D:$AG,COLUMNS([1]COMERCIALES!D$11:W$11),FALSE)),0)</f>
        <v>ISO</v>
      </c>
      <c r="AJ13" s="206" t="str">
        <f>IFERROR(IF(W13-VLOOKUP(D13,[1]COMERCIALES!$D:$AG,COLUMNS([1]COMERCIALES!D$11:W$11),FALSE)=0,"ISO",W13-VLOOKUP(D13,[1]COMERCIALES!$D:$AG,COLUMNS([1]COMERCIALES!D$11:W$11),FALSE)),0)</f>
        <v>ISO</v>
      </c>
      <c r="AK13" s="307"/>
      <c r="AL13" s="308">
        <v>0.1</v>
      </c>
      <c r="AM13" s="215">
        <f>(G13)*(100%-AL13)</f>
        <v>21837690</v>
      </c>
      <c r="AN13" s="215">
        <f>AM13/1.19</f>
        <v>18351000</v>
      </c>
      <c r="AO13" s="309"/>
      <c r="AP13" s="310"/>
      <c r="AQ13" s="347">
        <f>IFERROR(K13/H13,0)</f>
        <v>8.3374203040706224E-2</v>
      </c>
      <c r="AR13" s="348">
        <v>0.1</v>
      </c>
      <c r="AS13" s="348">
        <f>IFERROR(+R13/H13,0)</f>
        <v>0.10789602746444335</v>
      </c>
      <c r="AT13" s="348">
        <v>0.14000000000000001</v>
      </c>
      <c r="AU13" s="348" t="s">
        <v>15</v>
      </c>
    </row>
    <row r="14" spans="1:47" ht="24.95" customHeight="1" thickBot="1" x14ac:dyDescent="0.25">
      <c r="A14" s="268"/>
      <c r="B14" s="269"/>
      <c r="C14" s="272"/>
      <c r="D14" s="273"/>
      <c r="E14" s="273"/>
      <c r="F14" s="263"/>
      <c r="G14" s="264"/>
      <c r="H14" s="264"/>
      <c r="I14" s="274"/>
      <c r="J14" s="38"/>
      <c r="K14" s="38"/>
      <c r="L14" s="38"/>
      <c r="M14" s="38"/>
      <c r="N14" s="264"/>
      <c r="O14" s="264"/>
      <c r="P14" s="259"/>
      <c r="Q14" s="38"/>
      <c r="R14" s="38"/>
      <c r="S14" s="38"/>
      <c r="T14" s="38"/>
      <c r="U14" s="38"/>
      <c r="V14" s="264"/>
      <c r="W14" s="264"/>
      <c r="X14" s="259"/>
      <c r="Y14" s="38"/>
      <c r="Z14" s="38"/>
      <c r="AA14" s="38"/>
      <c r="AB14" s="38"/>
      <c r="AC14" s="38"/>
      <c r="AD14" s="264"/>
      <c r="AE14" s="264"/>
      <c r="AF14" s="259"/>
      <c r="AG14" s="38"/>
      <c r="AH14" s="38"/>
      <c r="AI14" s="38"/>
      <c r="AJ14" s="38"/>
      <c r="AK14" s="259"/>
      <c r="AL14" s="33"/>
      <c r="AM14" s="38"/>
      <c r="AN14" s="38"/>
      <c r="AO14" s="270"/>
      <c r="AP14" s="271"/>
      <c r="AQ14" s="265"/>
      <c r="AR14" s="267"/>
      <c r="AS14" s="267"/>
      <c r="AT14" s="267"/>
      <c r="AU14" s="267"/>
    </row>
    <row r="15" spans="1:47" s="94" customFormat="1" ht="24.95" customHeight="1" thickBot="1" x14ac:dyDescent="0.25">
      <c r="A15" s="169"/>
      <c r="B15" s="342"/>
      <c r="C15" s="370" t="s">
        <v>74</v>
      </c>
      <c r="D15" s="370"/>
      <c r="E15" s="370"/>
      <c r="F15" s="334"/>
      <c r="G15" s="172"/>
      <c r="H15" s="172"/>
      <c r="I15" s="343"/>
      <c r="J15" s="336"/>
      <c r="K15" s="336"/>
      <c r="L15" s="337"/>
      <c r="M15" s="336"/>
      <c r="N15" s="338"/>
      <c r="O15" s="338"/>
      <c r="P15" s="172"/>
      <c r="Q15" s="336"/>
      <c r="R15" s="336"/>
      <c r="S15" s="336"/>
      <c r="T15" s="336"/>
      <c r="U15" s="336"/>
      <c r="V15" s="338"/>
      <c r="W15" s="338"/>
      <c r="X15" s="172"/>
      <c r="Y15" s="336"/>
      <c r="Z15" s="336"/>
      <c r="AA15" s="336"/>
      <c r="AB15" s="336"/>
      <c r="AC15" s="336"/>
      <c r="AD15" s="338"/>
      <c r="AE15" s="338"/>
      <c r="AF15" s="172"/>
      <c r="AG15" s="336"/>
      <c r="AH15" s="336"/>
      <c r="AI15" s="336"/>
      <c r="AJ15" s="336"/>
      <c r="AK15" s="172"/>
      <c r="AL15" s="339"/>
      <c r="AM15" s="336"/>
      <c r="AN15" s="336"/>
      <c r="AO15" s="93"/>
      <c r="AP15" s="344"/>
      <c r="AQ15" s="340"/>
      <c r="AR15" s="341"/>
      <c r="AS15" s="341"/>
      <c r="AT15" s="341"/>
      <c r="AU15" s="341"/>
    </row>
    <row r="16" spans="1:47" s="322" customFormat="1" ht="24.95" customHeight="1" thickBot="1" x14ac:dyDescent="0.25">
      <c r="A16" s="312" t="s">
        <v>75</v>
      </c>
      <c r="B16" s="313"/>
      <c r="C16" s="173" t="s">
        <v>125</v>
      </c>
      <c r="D16" s="164" t="s">
        <v>76</v>
      </c>
      <c r="E16" s="164" t="s">
        <v>77</v>
      </c>
      <c r="F16" s="314"/>
      <c r="G16" s="115">
        <f>+H16*1.19</f>
        <v>32118100</v>
      </c>
      <c r="H16" s="115">
        <v>26990000</v>
      </c>
      <c r="I16" s="315"/>
      <c r="J16" s="116">
        <f>+K16*1.19</f>
        <v>3927000</v>
      </c>
      <c r="K16" s="116">
        <v>3300000</v>
      </c>
      <c r="L16" s="116">
        <f>+IF(K16/2&gt;H16*$O$7,H16*$O$7,K16/2)</f>
        <v>674750</v>
      </c>
      <c r="M16" s="116">
        <f>K16-L16</f>
        <v>2625250</v>
      </c>
      <c r="N16" s="116">
        <f>$G16-J16</f>
        <v>28191100</v>
      </c>
      <c r="O16" s="115">
        <f>+N16/1.19</f>
        <v>23690000</v>
      </c>
      <c r="P16" s="316"/>
      <c r="Q16" s="116">
        <f>R16*1.19</f>
        <v>4522000</v>
      </c>
      <c r="R16" s="116">
        <v>3800000</v>
      </c>
      <c r="S16" s="116">
        <f>+L16</f>
        <v>674750</v>
      </c>
      <c r="T16" s="116">
        <f>+M16</f>
        <v>2625250</v>
      </c>
      <c r="U16" s="116">
        <f>+R16-S16-T16</f>
        <v>500000</v>
      </c>
      <c r="V16" s="116">
        <f>$G16-Q16</f>
        <v>27596100</v>
      </c>
      <c r="W16" s="115">
        <f>+V16/1.19</f>
        <v>23190000</v>
      </c>
      <c r="X16" s="316"/>
      <c r="Y16" s="116" t="s">
        <v>15</v>
      </c>
      <c r="Z16" s="116" t="s">
        <v>15</v>
      </c>
      <c r="AA16" s="116" t="s">
        <v>15</v>
      </c>
      <c r="AB16" s="116" t="s">
        <v>15</v>
      </c>
      <c r="AC16" s="116" t="s">
        <v>15</v>
      </c>
      <c r="AD16" s="116" t="s">
        <v>15</v>
      </c>
      <c r="AE16" s="115" t="s">
        <v>15</v>
      </c>
      <c r="AF16" s="316"/>
      <c r="AG16" s="139" t="str">
        <f>IFERROR(IF(H16-VLOOKUP(D16,[1]COMERCIALES!$D:$AG,COLUMNS([1]COMERCIALES!D$11:H$11),FALSE)=0,"ISO",H16-VLOOKUP(D16,[1]COMERCIALES!$D:$AG,COLUMNS([1]COMERCIALES!D$11:H$11),FALSE)),0)</f>
        <v>ISO</v>
      </c>
      <c r="AH16" s="139" t="str">
        <f>IFERROR(IF(O16-VLOOKUP(D16,[1]COMERCIALES!$D:$AG,COLUMNS([1]COMERCIALES!D$11:O$11),FALSE)=0,"ISO",O16-VLOOKUP(D16,[1]COMERCIALES!$D:$AG,COLUMNS([1]COMERCIALES!D$11:O$11),FALSE)),0)</f>
        <v>ISO</v>
      </c>
      <c r="AI16" s="139" t="str">
        <f>IFERROR(IF(W16-VLOOKUP(D16,[1]COMERCIALES!$D:$AG,COLUMNS([1]COMERCIALES!D$11:W$11),FALSE)=0,"ISO",W16-VLOOKUP(D16,[1]COMERCIALES!$D:$AG,COLUMNS([1]COMERCIALES!D$11:W$11),FALSE)),0)</f>
        <v>ISO</v>
      </c>
      <c r="AJ16" s="139" t="str">
        <f>IFERROR(IF(W16-VLOOKUP(D16,[1]COMERCIALES!$D:$AG,COLUMNS([1]COMERCIALES!D$11:W$11),FALSE)=0,"ISO",W16-VLOOKUP(D16,[1]COMERCIALES!$D:$AG,COLUMNS([1]COMERCIALES!D$11:W$11),FALSE)),0)</f>
        <v>ISO</v>
      </c>
      <c r="AK16" s="317"/>
      <c r="AL16" s="55">
        <v>0.1</v>
      </c>
      <c r="AM16" s="54">
        <f>(G16)*(100%-AL16)</f>
        <v>28906290</v>
      </c>
      <c r="AN16" s="54">
        <f>AM16/1.19</f>
        <v>24291000</v>
      </c>
      <c r="AO16" s="318"/>
      <c r="AP16" s="319"/>
      <c r="AQ16" s="349">
        <f>IFERROR(K16/H16,0)</f>
        <v>0.12226750648388292</v>
      </c>
      <c r="AR16" s="350">
        <v>0.14000000000000001</v>
      </c>
      <c r="AS16" s="350">
        <f>IFERROR(+R16/H16,0)</f>
        <v>0.14079288625416822</v>
      </c>
      <c r="AT16" s="350">
        <v>0.14000000000000001</v>
      </c>
      <c r="AU16" s="348" t="s">
        <v>15</v>
      </c>
    </row>
    <row r="17" spans="1:50" ht="24.95" customHeight="1" thickBot="1" x14ac:dyDescent="0.25">
      <c r="A17" s="268"/>
      <c r="B17" s="269"/>
      <c r="C17" s="275"/>
      <c r="D17" s="276"/>
      <c r="E17" s="276"/>
      <c r="F17" s="263"/>
      <c r="G17" s="264"/>
      <c r="H17" s="264"/>
      <c r="I17" s="274"/>
      <c r="J17" s="38"/>
      <c r="K17" s="277"/>
      <c r="L17" s="38"/>
      <c r="M17" s="38"/>
      <c r="N17" s="264"/>
      <c r="O17" s="264"/>
      <c r="P17" s="259"/>
      <c r="Q17" s="38"/>
      <c r="R17" s="38"/>
      <c r="S17" s="38"/>
      <c r="T17" s="38"/>
      <c r="U17" s="38"/>
      <c r="V17" s="264"/>
      <c r="W17" s="264"/>
      <c r="X17" s="259"/>
      <c r="Y17" s="38"/>
      <c r="Z17" s="38"/>
      <c r="AA17" s="38"/>
      <c r="AB17" s="38"/>
      <c r="AC17" s="38"/>
      <c r="AD17" s="264"/>
      <c r="AE17" s="264"/>
      <c r="AF17" s="259"/>
      <c r="AG17" s="38"/>
      <c r="AH17" s="38"/>
      <c r="AI17" s="38"/>
      <c r="AJ17" s="38"/>
      <c r="AK17" s="259"/>
      <c r="AL17" s="33"/>
      <c r="AM17" s="38"/>
      <c r="AN17" s="38"/>
      <c r="AO17" s="270"/>
      <c r="AP17" s="271"/>
      <c r="AQ17" s="265"/>
      <c r="AR17" s="267"/>
      <c r="AS17" s="267"/>
      <c r="AT17" s="267"/>
      <c r="AU17" s="267"/>
    </row>
    <row r="18" spans="1:50" s="94" customFormat="1" ht="24.95" customHeight="1" thickBot="1" x14ac:dyDescent="0.25">
      <c r="A18" s="169"/>
      <c r="B18" s="342"/>
      <c r="C18" s="370" t="s">
        <v>48</v>
      </c>
      <c r="D18" s="370"/>
      <c r="E18" s="370"/>
      <c r="F18" s="334"/>
      <c r="G18" s="172"/>
      <c r="H18" s="172"/>
      <c r="I18" s="343"/>
      <c r="J18" s="336"/>
      <c r="K18" s="336"/>
      <c r="L18" s="336"/>
      <c r="M18" s="336"/>
      <c r="N18" s="338"/>
      <c r="O18" s="338"/>
      <c r="P18" s="172"/>
      <c r="Q18" s="336"/>
      <c r="R18" s="336"/>
      <c r="S18" s="336"/>
      <c r="T18" s="336"/>
      <c r="U18" s="336"/>
      <c r="V18" s="338"/>
      <c r="W18" s="338"/>
      <c r="X18" s="172"/>
      <c r="Y18" s="336"/>
      <c r="Z18" s="336"/>
      <c r="AA18" s="336"/>
      <c r="AB18" s="336"/>
      <c r="AC18" s="336"/>
      <c r="AD18" s="338"/>
      <c r="AE18" s="338"/>
      <c r="AF18" s="172"/>
      <c r="AG18" s="336"/>
      <c r="AH18" s="336"/>
      <c r="AI18" s="336"/>
      <c r="AJ18" s="336"/>
      <c r="AK18" s="172"/>
      <c r="AL18" s="339"/>
      <c r="AM18" s="336"/>
      <c r="AN18" s="336"/>
      <c r="AO18" s="93"/>
      <c r="AP18" s="344"/>
      <c r="AQ18" s="340"/>
      <c r="AR18" s="341"/>
      <c r="AS18" s="341"/>
      <c r="AT18" s="341"/>
      <c r="AU18" s="341"/>
    </row>
    <row r="19" spans="1:50" s="322" customFormat="1" ht="24.95" customHeight="1" thickBot="1" x14ac:dyDescent="0.25">
      <c r="A19" s="312" t="s">
        <v>96</v>
      </c>
      <c r="B19" s="313"/>
      <c r="C19" s="173" t="s">
        <v>138</v>
      </c>
      <c r="D19" s="164" t="s">
        <v>140</v>
      </c>
      <c r="E19" s="164" t="s">
        <v>142</v>
      </c>
      <c r="F19" s="314"/>
      <c r="G19" s="115">
        <f>+H19*1.19</f>
        <v>36997100</v>
      </c>
      <c r="H19" s="115">
        <v>31090000</v>
      </c>
      <c r="I19" s="315"/>
      <c r="J19" s="116">
        <f>+K19*1.19</f>
        <v>4165000</v>
      </c>
      <c r="K19" s="116">
        <v>3500000</v>
      </c>
      <c r="L19" s="116">
        <f>+IF(K19/2&gt;H19*$O$7,H19*$O$7,K19/2)</f>
        <v>777250</v>
      </c>
      <c r="M19" s="116">
        <f>K19-L19</f>
        <v>2722750</v>
      </c>
      <c r="N19" s="116">
        <f>$G19-J19</f>
        <v>32832100</v>
      </c>
      <c r="O19" s="115">
        <f>+N19/1.19</f>
        <v>27590000</v>
      </c>
      <c r="P19" s="316"/>
      <c r="Q19" s="116">
        <f>R19*1.19</f>
        <v>4760000</v>
      </c>
      <c r="R19" s="116">
        <v>4000000</v>
      </c>
      <c r="S19" s="116">
        <f>+L19</f>
        <v>777250</v>
      </c>
      <c r="T19" s="116">
        <f>+M19</f>
        <v>2722750</v>
      </c>
      <c r="U19" s="116">
        <f>+R19-S19-T19</f>
        <v>500000</v>
      </c>
      <c r="V19" s="116">
        <f>$G19-Q19</f>
        <v>32237100</v>
      </c>
      <c r="W19" s="115">
        <f>+V19/1.19</f>
        <v>27090000</v>
      </c>
      <c r="X19" s="316"/>
      <c r="Y19" s="116" t="s">
        <v>15</v>
      </c>
      <c r="Z19" s="116" t="s">
        <v>15</v>
      </c>
      <c r="AA19" s="116" t="s">
        <v>15</v>
      </c>
      <c r="AB19" s="116" t="s">
        <v>15</v>
      </c>
      <c r="AC19" s="116" t="s">
        <v>15</v>
      </c>
      <c r="AD19" s="116" t="s">
        <v>15</v>
      </c>
      <c r="AE19" s="115" t="s">
        <v>15</v>
      </c>
      <c r="AF19" s="316"/>
      <c r="AG19" s="139" t="str">
        <f>IFERROR(IF(H19-VLOOKUP(D19,[1]COMERCIALES!$D:$AG,COLUMNS([1]COMERCIALES!D$11:H$11),FALSE)=0,"ISO",H19-VLOOKUP(D19,[1]COMERCIALES!$D:$AG,COLUMNS([1]COMERCIALES!D$11:H$11),FALSE)),0)</f>
        <v>ISO</v>
      </c>
      <c r="AH19" s="139">
        <f>IFERROR(IF(O19-VLOOKUP(D19,[1]COMERCIALES!$D:$AG,COLUMNS([1]COMERCIALES!D$11:O$11),FALSE)=0,"ISO",O19-VLOOKUP(D19,[1]COMERCIALES!$D:$AG,COLUMNS([1]COMERCIALES!D$11:O$11),FALSE)),0)</f>
        <v>400000</v>
      </c>
      <c r="AI19" s="139">
        <f>IFERROR(IF(W19-VLOOKUP(D19,[1]COMERCIALES!$D:$AG,COLUMNS([1]COMERCIALES!D$11:W$11),FALSE)=0,"ISO",W19-VLOOKUP(D19,[1]COMERCIALES!$D:$AG,COLUMNS([1]COMERCIALES!D$11:W$11),FALSE)),0)</f>
        <v>400000</v>
      </c>
      <c r="AJ19" s="139">
        <f>IFERROR(IF(W19-VLOOKUP(D19,[1]COMERCIALES!$D:$AG,COLUMNS([1]COMERCIALES!D$11:W$11),FALSE)=0,"ISO",W19-VLOOKUP(D19,[1]COMERCIALES!$D:$AG,COLUMNS([1]COMERCIALES!D$11:W$11),FALSE)),0)</f>
        <v>400000</v>
      </c>
      <c r="AK19" s="317"/>
      <c r="AL19" s="55">
        <v>0.1</v>
      </c>
      <c r="AM19" s="54">
        <f>(G19)*(100%-AL19)</f>
        <v>33297390</v>
      </c>
      <c r="AN19" s="54">
        <f>AM19/1.19</f>
        <v>27981000</v>
      </c>
      <c r="AO19" s="318"/>
      <c r="AP19" s="319"/>
      <c r="AQ19" s="349">
        <f>IFERROR(K19/H19,0)</f>
        <v>0.11257639112254744</v>
      </c>
      <c r="AR19" s="350">
        <v>0.12</v>
      </c>
      <c r="AS19" s="350">
        <f>IFERROR(+R19/H19,0)</f>
        <v>0.12865873271148279</v>
      </c>
      <c r="AT19" s="350">
        <v>0.12</v>
      </c>
      <c r="AU19" s="348" t="s">
        <v>15</v>
      </c>
    </row>
    <row r="20" spans="1:50" s="322" customFormat="1" ht="24.95" customHeight="1" thickBot="1" x14ac:dyDescent="0.25">
      <c r="A20" s="312" t="s">
        <v>104</v>
      </c>
      <c r="B20" s="313"/>
      <c r="C20" s="173" t="s">
        <v>139</v>
      </c>
      <c r="D20" s="164" t="s">
        <v>141</v>
      </c>
      <c r="E20" s="164" t="s">
        <v>105</v>
      </c>
      <c r="F20" s="314"/>
      <c r="G20" s="115">
        <f>+H20*1.19</f>
        <v>37711100</v>
      </c>
      <c r="H20" s="115">
        <v>31690000</v>
      </c>
      <c r="I20" s="315"/>
      <c r="J20" s="116">
        <f>+K20*1.19</f>
        <v>4165000</v>
      </c>
      <c r="K20" s="116">
        <v>3500000</v>
      </c>
      <c r="L20" s="116">
        <f>+IF(K20/2&gt;H20*$O$7,H20*$O$7,K20/2)</f>
        <v>792250</v>
      </c>
      <c r="M20" s="116">
        <f>K20-L20</f>
        <v>2707750</v>
      </c>
      <c r="N20" s="116">
        <f>$G20-J20</f>
        <v>33546100</v>
      </c>
      <c r="O20" s="115">
        <f>+N20/1.19</f>
        <v>28190000</v>
      </c>
      <c r="P20" s="316"/>
      <c r="Q20" s="116">
        <f>R20*1.19</f>
        <v>4760000</v>
      </c>
      <c r="R20" s="116">
        <v>4000000</v>
      </c>
      <c r="S20" s="116">
        <f>+L20</f>
        <v>792250</v>
      </c>
      <c r="T20" s="116">
        <f>+M20</f>
        <v>2707750</v>
      </c>
      <c r="U20" s="116">
        <f>+R20-S20-T20</f>
        <v>500000</v>
      </c>
      <c r="V20" s="116">
        <f>$G20-Q20</f>
        <v>32951100</v>
      </c>
      <c r="W20" s="115">
        <f>+V20/1.19</f>
        <v>27690000</v>
      </c>
      <c r="X20" s="316"/>
      <c r="Y20" s="116" t="s">
        <v>15</v>
      </c>
      <c r="Z20" s="116" t="s">
        <v>15</v>
      </c>
      <c r="AA20" s="116" t="s">
        <v>15</v>
      </c>
      <c r="AB20" s="116" t="s">
        <v>15</v>
      </c>
      <c r="AC20" s="116" t="s">
        <v>15</v>
      </c>
      <c r="AD20" s="116" t="s">
        <v>15</v>
      </c>
      <c r="AE20" s="115" t="s">
        <v>15</v>
      </c>
      <c r="AF20" s="316"/>
      <c r="AG20" s="139" t="str">
        <f>IFERROR(IF(H20-VLOOKUP(D20,[1]COMERCIALES!$D:$AG,COLUMNS([1]COMERCIALES!D$11:H$11),FALSE)=0,"ISO",H20-VLOOKUP(D20,[1]COMERCIALES!$D:$AG,COLUMNS([1]COMERCIALES!D$11:H$11),FALSE)),0)</f>
        <v>ISO</v>
      </c>
      <c r="AH20" s="139">
        <f>IFERROR(IF(O20-VLOOKUP(D20,[1]COMERCIALES!$D:$AG,COLUMNS([1]COMERCIALES!D$11:O$11),FALSE)=0,"ISO",O20-VLOOKUP(D20,[1]COMERCIALES!$D:$AG,COLUMNS([1]COMERCIALES!D$11:O$11),FALSE)),0)</f>
        <v>400000</v>
      </c>
      <c r="AI20" s="139">
        <f>IFERROR(IF(W20-VLOOKUP(D20,[1]COMERCIALES!$D:$AG,COLUMNS([1]COMERCIALES!D$11:W$11),FALSE)=0,"ISO",W20-VLOOKUP(D20,[1]COMERCIALES!$D:$AG,COLUMNS([1]COMERCIALES!D$11:W$11),FALSE)),0)</f>
        <v>400000</v>
      </c>
      <c r="AJ20" s="139">
        <f>IFERROR(IF(W20-VLOOKUP(D20,[1]COMERCIALES!$D:$AG,COLUMNS([1]COMERCIALES!D$11:W$11),FALSE)=0,"ISO",W20-VLOOKUP(D20,[1]COMERCIALES!$D:$AG,COLUMNS([1]COMERCIALES!D$11:W$11),FALSE)),0)</f>
        <v>400000</v>
      </c>
      <c r="AK20" s="317"/>
      <c r="AL20" s="55">
        <v>0.1</v>
      </c>
      <c r="AM20" s="54">
        <f>(G20)*(100%-AL20)</f>
        <v>33939990</v>
      </c>
      <c r="AN20" s="54">
        <f>AM20/1.19</f>
        <v>28521000</v>
      </c>
      <c r="AO20" s="318"/>
      <c r="AP20" s="319"/>
      <c r="AQ20" s="349">
        <f>IFERROR(K20/H20,0)</f>
        <v>0.1104449353108236</v>
      </c>
      <c r="AR20" s="350">
        <v>0.12</v>
      </c>
      <c r="AS20" s="350">
        <f>IFERROR(+R20/H20,0)</f>
        <v>0.12622278321236982</v>
      </c>
      <c r="AT20" s="350">
        <v>0.12</v>
      </c>
      <c r="AU20" s="348" t="s">
        <v>15</v>
      </c>
    </row>
    <row r="21" spans="1:50" ht="24.95" customHeight="1" thickBot="1" x14ac:dyDescent="0.25">
      <c r="A21" s="268"/>
      <c r="B21" s="269"/>
      <c r="C21" s="275"/>
      <c r="D21" s="276"/>
      <c r="E21" s="276"/>
      <c r="F21" s="263"/>
      <c r="G21" s="264"/>
      <c r="H21" s="264"/>
      <c r="I21" s="274"/>
      <c r="J21" s="38"/>
      <c r="K21" s="38"/>
      <c r="L21" s="38"/>
      <c r="M21" s="38"/>
      <c r="N21" s="264"/>
      <c r="O21" s="264"/>
      <c r="P21" s="259"/>
      <c r="Q21" s="38"/>
      <c r="R21" s="38"/>
      <c r="S21" s="38"/>
      <c r="T21" s="38"/>
      <c r="U21" s="38"/>
      <c r="V21" s="264"/>
      <c r="W21" s="264"/>
      <c r="X21" s="259"/>
      <c r="Y21" s="38"/>
      <c r="Z21" s="38"/>
      <c r="AA21" s="38"/>
      <c r="AB21" s="38"/>
      <c r="AC21" s="38"/>
      <c r="AD21" s="264"/>
      <c r="AE21" s="264"/>
      <c r="AF21" s="259"/>
      <c r="AG21" s="38"/>
      <c r="AH21" s="38"/>
      <c r="AI21" s="38"/>
      <c r="AJ21" s="38"/>
      <c r="AK21" s="259"/>
      <c r="AL21" s="33"/>
      <c r="AM21" s="38"/>
      <c r="AN21" s="38"/>
      <c r="AO21" s="270"/>
      <c r="AP21" s="271"/>
      <c r="AQ21" s="265"/>
      <c r="AR21" s="267"/>
      <c r="AS21" s="267"/>
      <c r="AT21" s="267"/>
      <c r="AU21" s="267"/>
    </row>
    <row r="22" spans="1:50" s="94" customFormat="1" ht="24.95" customHeight="1" thickBot="1" x14ac:dyDescent="0.25">
      <c r="A22" s="169"/>
      <c r="B22" s="342"/>
      <c r="C22" s="370" t="s">
        <v>144</v>
      </c>
      <c r="D22" s="370"/>
      <c r="E22" s="370"/>
      <c r="F22" s="334"/>
      <c r="G22" s="172"/>
      <c r="H22" s="345"/>
      <c r="I22" s="343"/>
      <c r="J22" s="336"/>
      <c r="K22" s="336"/>
      <c r="L22" s="336"/>
      <c r="M22" s="336"/>
      <c r="N22" s="338"/>
      <c r="O22" s="338"/>
      <c r="P22" s="172"/>
      <c r="Q22" s="336"/>
      <c r="R22" s="336"/>
      <c r="S22" s="336"/>
      <c r="T22" s="336"/>
      <c r="U22" s="336"/>
      <c r="V22" s="338"/>
      <c r="W22" s="338"/>
      <c r="X22" s="172"/>
      <c r="Y22" s="336"/>
      <c r="Z22" s="336"/>
      <c r="AA22" s="336"/>
      <c r="AB22" s="336"/>
      <c r="AC22" s="336"/>
      <c r="AD22" s="338"/>
      <c r="AE22" s="338"/>
      <c r="AF22" s="172"/>
      <c r="AG22" s="336"/>
      <c r="AH22" s="336"/>
      <c r="AI22" s="336"/>
      <c r="AJ22" s="336"/>
      <c r="AK22" s="172"/>
      <c r="AL22" s="339"/>
      <c r="AM22" s="336"/>
      <c r="AN22" s="336"/>
      <c r="AO22" s="93"/>
      <c r="AP22" s="344"/>
      <c r="AQ22" s="340"/>
      <c r="AR22" s="341"/>
      <c r="AS22" s="341"/>
      <c r="AT22" s="341"/>
      <c r="AU22" s="341"/>
    </row>
    <row r="23" spans="1:50" s="322" customFormat="1" ht="24.95" customHeight="1" thickBot="1" x14ac:dyDescent="0.25">
      <c r="A23" s="312" t="s">
        <v>145</v>
      </c>
      <c r="B23" s="313"/>
      <c r="C23" s="173" t="s">
        <v>148</v>
      </c>
      <c r="D23" s="164" t="s">
        <v>153</v>
      </c>
      <c r="E23" s="164" t="s">
        <v>152</v>
      </c>
      <c r="F23" s="314"/>
      <c r="G23" s="115">
        <f>+H23*1.19</f>
        <v>37354100</v>
      </c>
      <c r="H23" s="115">
        <v>31390000</v>
      </c>
      <c r="I23" s="315"/>
      <c r="J23" s="116">
        <f>+K23*1.19</f>
        <v>5117000</v>
      </c>
      <c r="K23" s="116">
        <v>4300000</v>
      </c>
      <c r="L23" s="116">
        <f>+IF(K23/2&gt;H23*$O$7,H23*$O$7,K23/2)</f>
        <v>784750</v>
      </c>
      <c r="M23" s="116">
        <f>K23-L23</f>
        <v>3515250</v>
      </c>
      <c r="N23" s="116">
        <f>$G23-J23</f>
        <v>32237100</v>
      </c>
      <c r="O23" s="115">
        <f>+N23/1.19</f>
        <v>27090000</v>
      </c>
      <c r="P23" s="316"/>
      <c r="Q23" s="116">
        <f>R23*1.19</f>
        <v>6188000</v>
      </c>
      <c r="R23" s="116">
        <v>5200000</v>
      </c>
      <c r="S23" s="116">
        <f t="shared" ref="S23:T25" si="6">+L23</f>
        <v>784750</v>
      </c>
      <c r="T23" s="116">
        <f t="shared" si="6"/>
        <v>3515250</v>
      </c>
      <c r="U23" s="116">
        <f>+R23-S23-T23</f>
        <v>900000</v>
      </c>
      <c r="V23" s="116">
        <f>$G23-Q23</f>
        <v>31166100</v>
      </c>
      <c r="W23" s="115">
        <f>+V23/1.19</f>
        <v>26190000</v>
      </c>
      <c r="X23" s="323"/>
      <c r="Y23" s="116" t="s">
        <v>15</v>
      </c>
      <c r="Z23" s="116" t="s">
        <v>15</v>
      </c>
      <c r="AA23" s="116" t="s">
        <v>15</v>
      </c>
      <c r="AB23" s="116" t="s">
        <v>15</v>
      </c>
      <c r="AC23" s="116" t="s">
        <v>15</v>
      </c>
      <c r="AD23" s="116" t="s">
        <v>15</v>
      </c>
      <c r="AE23" s="115" t="s">
        <v>15</v>
      </c>
      <c r="AF23" s="323"/>
      <c r="AG23" s="139" t="str">
        <f>IFERROR(IF(H23-VLOOKUP(D23,[1]COMERCIALES!$D:$AG,COLUMNS([1]COMERCIALES!D$11:H$11),FALSE)=0,"ISO",H23-VLOOKUP(D23,[1]COMERCIALES!$D:$AG,COLUMNS([1]COMERCIALES!D$11:H$11),FALSE)),0)</f>
        <v>ISO</v>
      </c>
      <c r="AH23" s="139" t="str">
        <f>IFERROR(IF(O23-VLOOKUP(D23,[1]COMERCIALES!$D:$AG,COLUMNS([1]COMERCIALES!D$11:O$11),FALSE)=0,"ISO",O23-VLOOKUP(D23,[1]COMERCIALES!$D:$AG,COLUMNS([1]COMERCIALES!D$11:O$11),FALSE)),0)</f>
        <v>ISO</v>
      </c>
      <c r="AI23" s="139" t="str">
        <f>IFERROR(IF(W23-VLOOKUP(D23,[1]COMERCIALES!$D:$AG,COLUMNS([1]COMERCIALES!D$11:W$11),FALSE)=0,"ISO",W23-VLOOKUP(D23,[1]COMERCIALES!$D:$AG,COLUMNS([1]COMERCIALES!D$11:W$11),FALSE)),0)</f>
        <v>ISO</v>
      </c>
      <c r="AJ23" s="139" t="str">
        <f>IFERROR(IF(W23-VLOOKUP(D23,[1]COMERCIALES!$D:$AG,COLUMNS([1]COMERCIALES!D$11:W$11),FALSE)=0,"ISO",W23-VLOOKUP(D23,[1]COMERCIALES!$D:$AG,COLUMNS([1]COMERCIALES!D$11:W$11),FALSE)),0)</f>
        <v>ISO</v>
      </c>
      <c r="AK23" s="324"/>
      <c r="AL23" s="55">
        <v>0.1</v>
      </c>
      <c r="AM23" s="54">
        <f>(G23)*(100%-AL23)</f>
        <v>33618690</v>
      </c>
      <c r="AN23" s="54">
        <f>AM23/1.19</f>
        <v>28251000</v>
      </c>
      <c r="AO23" s="318"/>
      <c r="AP23" s="319"/>
      <c r="AQ23" s="349">
        <f>IFERROR(K23/H23,0)</f>
        <v>0.13698630136986301</v>
      </c>
      <c r="AR23" s="350">
        <v>0.15</v>
      </c>
      <c r="AS23" s="350">
        <f>IFERROR(+R23/H23,0)</f>
        <v>0.16565785281936923</v>
      </c>
      <c r="AT23" s="350">
        <v>0.17</v>
      </c>
      <c r="AU23" s="348" t="s">
        <v>15</v>
      </c>
      <c r="AV23" s="325"/>
      <c r="AW23" s="326"/>
      <c r="AX23" s="326"/>
    </row>
    <row r="24" spans="1:50" s="322" customFormat="1" ht="24.95" customHeight="1" thickBot="1" x14ac:dyDescent="0.25">
      <c r="A24" s="312" t="s">
        <v>146</v>
      </c>
      <c r="B24" s="313"/>
      <c r="C24" s="173" t="s">
        <v>149</v>
      </c>
      <c r="D24" s="164" t="s">
        <v>154</v>
      </c>
      <c r="E24" s="164" t="s">
        <v>156</v>
      </c>
      <c r="F24" s="314"/>
      <c r="G24" s="115">
        <f>+H24*1.19</f>
        <v>38663100</v>
      </c>
      <c r="H24" s="115">
        <v>32490000</v>
      </c>
      <c r="I24" s="315"/>
      <c r="J24" s="116">
        <f>+K24*1.19</f>
        <v>4760000</v>
      </c>
      <c r="K24" s="116">
        <v>4000000</v>
      </c>
      <c r="L24" s="116">
        <f>+IF(K24/2&gt;H24*$O$7,H24*$O$7,K24/2)</f>
        <v>812250</v>
      </c>
      <c r="M24" s="116">
        <f>K24-L24</f>
        <v>3187750</v>
      </c>
      <c r="N24" s="116">
        <f>$G24-J24</f>
        <v>33903100</v>
      </c>
      <c r="O24" s="115">
        <f>+N24/1.19</f>
        <v>28490000</v>
      </c>
      <c r="P24" s="316"/>
      <c r="Q24" s="116">
        <f>R24*1.19</f>
        <v>5831000</v>
      </c>
      <c r="R24" s="116">
        <v>4900000</v>
      </c>
      <c r="S24" s="116">
        <f t="shared" si="6"/>
        <v>812250</v>
      </c>
      <c r="T24" s="116">
        <f t="shared" si="6"/>
        <v>3187750</v>
      </c>
      <c r="U24" s="116">
        <f>+R24-S24-T24</f>
        <v>900000</v>
      </c>
      <c r="V24" s="116">
        <f>$G24-Q24</f>
        <v>32832100</v>
      </c>
      <c r="W24" s="115">
        <f>+V24/1.19</f>
        <v>27590000</v>
      </c>
      <c r="X24" s="323"/>
      <c r="Y24" s="116" t="s">
        <v>15</v>
      </c>
      <c r="Z24" s="116" t="s">
        <v>15</v>
      </c>
      <c r="AA24" s="116" t="s">
        <v>15</v>
      </c>
      <c r="AB24" s="116" t="s">
        <v>15</v>
      </c>
      <c r="AC24" s="116" t="s">
        <v>15</v>
      </c>
      <c r="AD24" s="116" t="s">
        <v>15</v>
      </c>
      <c r="AE24" s="115" t="s">
        <v>15</v>
      </c>
      <c r="AF24" s="323"/>
      <c r="AG24" s="139" t="str">
        <f>IFERROR(IF(H24-VLOOKUP(D24,[1]COMERCIALES!$D:$AG,COLUMNS([1]COMERCIALES!D$11:H$11),FALSE)=0,"ISO",H24-VLOOKUP(D24,[1]COMERCIALES!$D:$AG,COLUMNS([1]COMERCIALES!D$11:H$11),FALSE)),0)</f>
        <v>ISO</v>
      </c>
      <c r="AH24" s="139" t="str">
        <f>IFERROR(IF(O24-VLOOKUP(D24,[1]COMERCIALES!$D:$AG,COLUMNS([1]COMERCIALES!D$11:O$11),FALSE)=0,"ISO",O24-VLOOKUP(D24,[1]COMERCIALES!$D:$AG,COLUMNS([1]COMERCIALES!D$11:O$11),FALSE)),0)</f>
        <v>ISO</v>
      </c>
      <c r="AI24" s="139" t="str">
        <f>IFERROR(IF(W24-VLOOKUP(D24,[1]COMERCIALES!$D:$AG,COLUMNS([1]COMERCIALES!D$11:W$11),FALSE)=0,"ISO",W24-VLOOKUP(D24,[1]COMERCIALES!$D:$AG,COLUMNS([1]COMERCIALES!D$11:W$11),FALSE)),0)</f>
        <v>ISO</v>
      </c>
      <c r="AJ24" s="139" t="str">
        <f>IFERROR(IF(W24-VLOOKUP(D24,[1]COMERCIALES!$D:$AG,COLUMNS([1]COMERCIALES!D$11:W$11),FALSE)=0,"ISO",W24-VLOOKUP(D24,[1]COMERCIALES!$D:$AG,COLUMNS([1]COMERCIALES!D$11:W$11),FALSE)),0)</f>
        <v>ISO</v>
      </c>
      <c r="AK24" s="324"/>
      <c r="AL24" s="55">
        <v>0.1</v>
      </c>
      <c r="AM24" s="54">
        <f>(G24)*(100%-AL24)</f>
        <v>34796790</v>
      </c>
      <c r="AN24" s="54">
        <f>AM24/1.19</f>
        <v>29241000</v>
      </c>
      <c r="AO24" s="318"/>
      <c r="AP24" s="319"/>
      <c r="AQ24" s="349">
        <f>IFERROR(K24/H24,0)</f>
        <v>0.12311480455524777</v>
      </c>
      <c r="AR24" s="350">
        <v>0.14000000000000001</v>
      </c>
      <c r="AS24" s="350">
        <f>IFERROR(+R24/H24,0)</f>
        <v>0.15081563558017852</v>
      </c>
      <c r="AT24" s="350">
        <v>0.16</v>
      </c>
      <c r="AU24" s="348" t="s">
        <v>15</v>
      </c>
      <c r="AV24" s="325"/>
      <c r="AW24" s="326"/>
      <c r="AX24" s="326"/>
    </row>
    <row r="25" spans="1:50" s="322" customFormat="1" ht="24.95" customHeight="1" thickBot="1" x14ac:dyDescent="0.25">
      <c r="A25" s="312" t="s">
        <v>147</v>
      </c>
      <c r="B25" s="313"/>
      <c r="C25" s="173" t="s">
        <v>150</v>
      </c>
      <c r="D25" s="164" t="s">
        <v>155</v>
      </c>
      <c r="E25" s="164" t="s">
        <v>151</v>
      </c>
      <c r="F25" s="314"/>
      <c r="G25" s="115">
        <f>+H25*1.19</f>
        <v>39853100</v>
      </c>
      <c r="H25" s="115">
        <v>33490000</v>
      </c>
      <c r="I25" s="315"/>
      <c r="J25" s="116">
        <f>+K25*1.19</f>
        <v>4046000</v>
      </c>
      <c r="K25" s="116">
        <v>3400000</v>
      </c>
      <c r="L25" s="116">
        <f>+IF(K25/2&gt;H25*$O$7,H25*$O$7,K25/2)</f>
        <v>837250</v>
      </c>
      <c r="M25" s="116">
        <f>K25-L25</f>
        <v>2562750</v>
      </c>
      <c r="N25" s="116">
        <f>$G25-J25</f>
        <v>35807100</v>
      </c>
      <c r="O25" s="115">
        <f>+N25/1.19</f>
        <v>30090000</v>
      </c>
      <c r="P25" s="316"/>
      <c r="Q25" s="116">
        <f>R25*1.19</f>
        <v>5117000</v>
      </c>
      <c r="R25" s="116">
        <v>4300000</v>
      </c>
      <c r="S25" s="116">
        <f t="shared" si="6"/>
        <v>837250</v>
      </c>
      <c r="T25" s="116">
        <f t="shared" si="6"/>
        <v>2562750</v>
      </c>
      <c r="U25" s="116">
        <f>+R25-S25-T25</f>
        <v>900000</v>
      </c>
      <c r="V25" s="116">
        <f>$G25-Q25</f>
        <v>34736100</v>
      </c>
      <c r="W25" s="115">
        <f>+V25/1.19</f>
        <v>29190000</v>
      </c>
      <c r="X25" s="323"/>
      <c r="Y25" s="116" t="s">
        <v>15</v>
      </c>
      <c r="Z25" s="116" t="s">
        <v>15</v>
      </c>
      <c r="AA25" s="116" t="s">
        <v>15</v>
      </c>
      <c r="AB25" s="116" t="s">
        <v>15</v>
      </c>
      <c r="AC25" s="116" t="s">
        <v>15</v>
      </c>
      <c r="AD25" s="116" t="s">
        <v>15</v>
      </c>
      <c r="AE25" s="115" t="s">
        <v>15</v>
      </c>
      <c r="AF25" s="323"/>
      <c r="AG25" s="139" t="str">
        <f>IFERROR(IF(H25-VLOOKUP(D25,[1]COMERCIALES!$D:$AG,COLUMNS([1]COMERCIALES!D$11:H$11),FALSE)=0,"ISO",H25-VLOOKUP(D25,[1]COMERCIALES!$D:$AG,COLUMNS([1]COMERCIALES!D$11:H$11),FALSE)),0)</f>
        <v>ISO</v>
      </c>
      <c r="AH25" s="139" t="str">
        <f>IFERROR(IF(O25-VLOOKUP(D25,[1]COMERCIALES!$D:$AG,COLUMNS([1]COMERCIALES!D$11:O$11),FALSE)=0,"ISO",O25-VLOOKUP(D25,[1]COMERCIALES!$D:$AG,COLUMNS([1]COMERCIALES!D$11:O$11),FALSE)),0)</f>
        <v>ISO</v>
      </c>
      <c r="AI25" s="139" t="str">
        <f>IFERROR(IF(W25-VLOOKUP(D25,[1]COMERCIALES!$D:$AG,COLUMNS([1]COMERCIALES!D$11:W$11),FALSE)=0,"ISO",W25-VLOOKUP(D25,[1]COMERCIALES!$D:$AG,COLUMNS([1]COMERCIALES!D$11:W$11),FALSE)),0)</f>
        <v>ISO</v>
      </c>
      <c r="AJ25" s="139" t="str">
        <f>IFERROR(IF(W25-VLOOKUP(D25,[1]COMERCIALES!$D:$AG,COLUMNS([1]COMERCIALES!D$11:W$11),FALSE)=0,"ISO",W25-VLOOKUP(D25,[1]COMERCIALES!$D:$AG,COLUMNS([1]COMERCIALES!D$11:W$11),FALSE)),0)</f>
        <v>ISO</v>
      </c>
      <c r="AK25" s="324"/>
      <c r="AL25" s="55">
        <v>0.1</v>
      </c>
      <c r="AM25" s="54">
        <f>(G25)*(100%-AL25)</f>
        <v>35867790</v>
      </c>
      <c r="AN25" s="54">
        <f>AM25/1.19</f>
        <v>30141000</v>
      </c>
      <c r="AO25" s="318"/>
      <c r="AP25" s="319"/>
      <c r="AQ25" s="349">
        <f>IFERROR(K25/H25,0)</f>
        <v>0.10152284263959391</v>
      </c>
      <c r="AR25" s="350">
        <v>0.14000000000000001</v>
      </c>
      <c r="AS25" s="350">
        <f>IFERROR(+R25/H25,0)</f>
        <v>0.12839653627948641</v>
      </c>
      <c r="AT25" s="350">
        <v>0.16</v>
      </c>
      <c r="AU25" s="348" t="s">
        <v>15</v>
      </c>
      <c r="AV25" s="325"/>
      <c r="AW25" s="326"/>
      <c r="AX25" s="326"/>
    </row>
    <row r="26" spans="1:50" ht="24.95" customHeight="1" thickBot="1" x14ac:dyDescent="0.25">
      <c r="A26" s="268"/>
      <c r="B26" s="269"/>
      <c r="C26" s="278"/>
      <c r="D26" s="279"/>
      <c r="E26" s="279"/>
      <c r="F26" s="279"/>
      <c r="G26" s="280"/>
      <c r="H26" s="280"/>
      <c r="I26" s="281"/>
      <c r="J26" s="281"/>
      <c r="K26" s="281"/>
      <c r="L26" s="281"/>
      <c r="M26" s="281"/>
      <c r="N26" s="279"/>
      <c r="O26" s="282"/>
      <c r="P26" s="279"/>
      <c r="Q26" s="281"/>
      <c r="R26" s="281"/>
      <c r="S26" s="281"/>
      <c r="T26" s="281"/>
      <c r="U26" s="281"/>
      <c r="V26" s="279"/>
      <c r="W26" s="283"/>
      <c r="X26" s="279"/>
      <c r="Y26" s="281"/>
      <c r="Z26" s="281"/>
      <c r="AA26" s="281"/>
      <c r="AB26" s="281"/>
      <c r="AC26" s="281"/>
      <c r="AD26" s="279"/>
      <c r="AE26" s="282"/>
      <c r="AF26" s="279"/>
      <c r="AG26" s="279"/>
      <c r="AH26" s="279"/>
      <c r="AI26" s="279"/>
      <c r="AJ26" s="279"/>
      <c r="AK26" s="279"/>
      <c r="AL26" s="284"/>
      <c r="AM26" s="281"/>
      <c r="AN26" s="281"/>
      <c r="AO26" s="285"/>
      <c r="AQ26" s="265"/>
      <c r="AR26" s="267"/>
      <c r="AS26" s="267"/>
      <c r="AT26" s="267"/>
      <c r="AU26" s="267"/>
    </row>
    <row r="27" spans="1:50" s="94" customFormat="1" ht="24.95" customHeight="1" thickBot="1" x14ac:dyDescent="0.25">
      <c r="A27" s="169"/>
      <c r="B27" s="342"/>
      <c r="C27" s="370" t="s">
        <v>167</v>
      </c>
      <c r="D27" s="370"/>
      <c r="E27" s="370"/>
      <c r="F27" s="334"/>
      <c r="G27" s="172"/>
      <c r="H27" s="172"/>
      <c r="I27" s="335"/>
      <c r="J27" s="336"/>
      <c r="K27" s="336"/>
      <c r="L27" s="336"/>
      <c r="M27" s="336"/>
      <c r="N27" s="338"/>
      <c r="O27" s="338"/>
      <c r="P27" s="172"/>
      <c r="Q27" s="336"/>
      <c r="R27" s="336"/>
      <c r="S27" s="336"/>
      <c r="T27" s="336"/>
      <c r="U27" s="336"/>
      <c r="V27" s="338"/>
      <c r="W27" s="338"/>
      <c r="X27" s="172"/>
      <c r="Y27" s="336"/>
      <c r="Z27" s="336"/>
      <c r="AA27" s="336"/>
      <c r="AB27" s="336"/>
      <c r="AC27" s="336"/>
      <c r="AD27" s="338"/>
      <c r="AE27" s="338"/>
      <c r="AF27" s="172"/>
      <c r="AG27" s="336"/>
      <c r="AH27" s="336"/>
      <c r="AI27" s="336"/>
      <c r="AJ27" s="336"/>
      <c r="AK27" s="172"/>
      <c r="AL27" s="339"/>
      <c r="AM27" s="336"/>
      <c r="AN27" s="336"/>
      <c r="AO27" s="93"/>
      <c r="AP27" s="344"/>
      <c r="AQ27" s="340"/>
      <c r="AR27" s="341"/>
      <c r="AS27" s="341"/>
      <c r="AT27" s="341"/>
      <c r="AU27" s="341"/>
    </row>
    <row r="28" spans="1:50" s="322" customFormat="1" ht="24.95" customHeight="1" thickBot="1" x14ac:dyDescent="0.25">
      <c r="A28" s="312" t="s">
        <v>168</v>
      </c>
      <c r="B28" s="313"/>
      <c r="C28" s="173" t="s">
        <v>169</v>
      </c>
      <c r="D28" s="164" t="s">
        <v>171</v>
      </c>
      <c r="E28" s="164" t="s">
        <v>170</v>
      </c>
      <c r="F28" s="314"/>
      <c r="G28" s="115">
        <f>+H28*1.19</f>
        <v>37830100</v>
      </c>
      <c r="H28" s="115">
        <v>31790000</v>
      </c>
      <c r="I28" s="315"/>
      <c r="J28" s="116">
        <f>+K28*1.19</f>
        <v>8568000</v>
      </c>
      <c r="K28" s="116">
        <v>7200000</v>
      </c>
      <c r="L28" s="116">
        <f>+IF(K28/2&gt;H28*$O$7,H28*$O$7,K28/2)</f>
        <v>794750</v>
      </c>
      <c r="M28" s="116">
        <f>K28-L28</f>
        <v>6405250</v>
      </c>
      <c r="N28" s="116">
        <f>$G28-J28</f>
        <v>29262100</v>
      </c>
      <c r="O28" s="115">
        <f>+N28/1.19</f>
        <v>24590000</v>
      </c>
      <c r="P28" s="316"/>
      <c r="Q28" s="116">
        <f>R28*1.19</f>
        <v>9163000</v>
      </c>
      <c r="R28" s="116">
        <v>7700000</v>
      </c>
      <c r="S28" s="116">
        <f>+L28</f>
        <v>794750</v>
      </c>
      <c r="T28" s="116">
        <f>+M28</f>
        <v>6405250</v>
      </c>
      <c r="U28" s="116">
        <f>+R28-S28-T28</f>
        <v>500000</v>
      </c>
      <c r="V28" s="116">
        <f>$G28-Q28</f>
        <v>28667100</v>
      </c>
      <c r="W28" s="115">
        <f>+V28/1.19</f>
        <v>24090000</v>
      </c>
      <c r="X28" s="323"/>
      <c r="Y28" s="116">
        <f>Z28*1.19</f>
        <v>10115000</v>
      </c>
      <c r="Z28" s="116">
        <v>8500000</v>
      </c>
      <c r="AA28" s="116">
        <f>+S28</f>
        <v>794750</v>
      </c>
      <c r="AB28" s="116">
        <f>+T28</f>
        <v>6405250</v>
      </c>
      <c r="AC28" s="116">
        <f>+Z28-AA28-AB28</f>
        <v>1300000</v>
      </c>
      <c r="AD28" s="116">
        <f>$G28-Y28</f>
        <v>27715100</v>
      </c>
      <c r="AE28" s="115">
        <f>+AD28/1.19</f>
        <v>23290000</v>
      </c>
      <c r="AF28" s="323"/>
      <c r="AG28" s="139" t="str">
        <f>IFERROR(IF(H28-VLOOKUP(D28,[1]COMERCIALES!$D:$AG,COLUMNS([1]COMERCIALES!D$11:H$11),FALSE)=0,"ISO",H28-VLOOKUP(D28,[1]COMERCIALES!$D:$AG,COLUMNS([1]COMERCIALES!D$11:H$11),FALSE)),0)</f>
        <v>ISO</v>
      </c>
      <c r="AH28" s="139" t="str">
        <f>IFERROR(IF(O28-VLOOKUP(D28,[1]COMERCIALES!$D:$AG,COLUMNS([1]COMERCIALES!D$11:O$11),FALSE)=0,"ISO",O28-VLOOKUP(D28,[1]COMERCIALES!$D:$AG,COLUMNS([1]COMERCIALES!D$11:O$11),FALSE)),0)</f>
        <v>ISO</v>
      </c>
      <c r="AI28" s="139" t="str">
        <f>IFERROR(IF(W28-VLOOKUP(D28,[1]COMERCIALES!$D:$AG,COLUMNS([1]COMERCIALES!D$11:W$11),FALSE)=0,"ISO",W28-VLOOKUP(D28,[1]COMERCIALES!$D:$AG,COLUMNS([1]COMERCIALES!D$11:W$11),FALSE)),0)</f>
        <v>ISO</v>
      </c>
      <c r="AJ28" s="139" t="str">
        <f>IFERROR(IF(W28-VLOOKUP(D28,[1]COMERCIALES!$D:$AG,COLUMNS([1]COMERCIALES!D$11:W$11),FALSE)=0,"ISO",W28-VLOOKUP(D28,[1]COMERCIALES!$D:$AG,COLUMNS([1]COMERCIALES!D$11:W$11),FALSE)),0)</f>
        <v>ISO</v>
      </c>
      <c r="AK28" s="324"/>
      <c r="AL28" s="55">
        <v>0.1</v>
      </c>
      <c r="AM28" s="54">
        <f>(G28)*(100%-AL28)</f>
        <v>34047090</v>
      </c>
      <c r="AN28" s="54">
        <f>AM28/1.19</f>
        <v>28611000</v>
      </c>
      <c r="AO28" s="318"/>
      <c r="AP28" s="327"/>
      <c r="AQ28" s="320">
        <f>IFERROR(K28/H28,0)</f>
        <v>0.22648631645171438</v>
      </c>
      <c r="AR28" s="321">
        <v>0.25</v>
      </c>
      <c r="AS28" s="321">
        <f>IFERROR(+R28/H28,0)</f>
        <v>0.24221453287197231</v>
      </c>
      <c r="AT28" s="321">
        <v>0.25</v>
      </c>
      <c r="AU28" s="321">
        <f>IFERROR(+Z28/H28,0)</f>
        <v>0.26737967914438504</v>
      </c>
    </row>
    <row r="29" spans="1:50" ht="24.95" customHeight="1" x14ac:dyDescent="0.2">
      <c r="A29" s="255"/>
      <c r="B29" s="286"/>
      <c r="C29" s="78"/>
      <c r="D29" s="287"/>
      <c r="E29" s="44"/>
      <c r="F29" s="44"/>
      <c r="G29" s="288"/>
      <c r="H29" s="288"/>
      <c r="I29" s="43"/>
      <c r="J29" s="43"/>
      <c r="K29" s="43"/>
      <c r="L29" s="43"/>
      <c r="M29" s="43"/>
      <c r="N29" s="44"/>
      <c r="O29" s="289"/>
      <c r="P29" s="44"/>
      <c r="Q29" s="43"/>
      <c r="R29" s="43"/>
      <c r="S29" s="43"/>
      <c r="T29" s="43"/>
      <c r="U29" s="43"/>
      <c r="V29" s="44"/>
      <c r="W29" s="289"/>
      <c r="X29" s="44"/>
      <c r="Y29" s="43"/>
      <c r="Z29" s="43"/>
      <c r="AA29" s="43"/>
      <c r="AB29" s="43"/>
      <c r="AC29" s="43"/>
      <c r="AD29" s="44"/>
      <c r="AE29" s="289"/>
      <c r="AF29" s="44"/>
      <c r="AG29" s="44"/>
      <c r="AH29" s="44"/>
      <c r="AI29" s="44"/>
      <c r="AJ29" s="44"/>
      <c r="AK29" s="290"/>
      <c r="AL29" s="291"/>
      <c r="AM29" s="292"/>
      <c r="AN29" s="292"/>
      <c r="AO29" s="46"/>
      <c r="AQ29" s="266"/>
      <c r="AR29" s="266"/>
      <c r="AS29" s="266"/>
      <c r="AT29" s="266"/>
      <c r="AU29" s="266"/>
    </row>
    <row r="30" spans="1:50" ht="24.95" customHeight="1" x14ac:dyDescent="0.2">
      <c r="B30" s="293"/>
      <c r="Y30" s="295"/>
    </row>
  </sheetData>
  <mergeCells count="23">
    <mergeCell ref="C11:E11"/>
    <mergeCell ref="C15:E15"/>
    <mergeCell ref="C18:E18"/>
    <mergeCell ref="C22:E22"/>
    <mergeCell ref="C27:E27"/>
    <mergeCell ref="C8:C9"/>
    <mergeCell ref="G8:H8"/>
    <mergeCell ref="J8:O8"/>
    <mergeCell ref="AG8:AG9"/>
    <mergeCell ref="D8:D9"/>
    <mergeCell ref="Q8:W8"/>
    <mergeCell ref="Y8:AE8"/>
    <mergeCell ref="AN8:AN9"/>
    <mergeCell ref="E8:E9"/>
    <mergeCell ref="AJ8:AJ9"/>
    <mergeCell ref="AQ8:AU8"/>
    <mergeCell ref="D3:O3"/>
    <mergeCell ref="D4:H4"/>
    <mergeCell ref="D5:H5"/>
    <mergeCell ref="AL8:AL9"/>
    <mergeCell ref="AM8:AM9"/>
    <mergeCell ref="AH8:AH9"/>
    <mergeCell ref="AI8:AI9"/>
  </mergeCells>
  <conditionalFormatting sqref="D12:E14 D16:E17 D19:E21 D23:E26 D28:E28">
    <cfRule type="containsText" dxfId="3" priority="5" operator="containsText" text="Pendiente">
      <formula>NOT(ISERROR(SEARCH("Pendiente",D12)))</formula>
    </cfRule>
  </conditionalFormatting>
  <conditionalFormatting sqref="AQ10:AU29">
    <cfRule type="cellIs" dxfId="2" priority="1" operator="greater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0" orientation="landscape" r:id="rId1"/>
  <headerFooter scaleWithDoc="0" alignWithMargins="0">
    <oddHeader xml:space="preserve">&amp;C
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FE7691-AC4D-41BF-BBF1-8F24B8A1AE02}">
  <sheetPr>
    <tabColor rgb="FF9BB6F3"/>
  </sheetPr>
  <dimension ref="A1:AH19"/>
  <sheetViews>
    <sheetView showGridLines="0" zoomScale="70" zoomScaleNormal="70" zoomScaleSheetLayoutView="70" zoomScalePageLayoutView="44" workbookViewId="0">
      <pane xSplit="3" ySplit="9" topLeftCell="D10" activePane="bottomRight" state="frozen"/>
      <selection activeCell="B1" sqref="B1"/>
      <selection pane="topRight" activeCell="E1" sqref="E1"/>
      <selection pane="bottomLeft" activeCell="B11" sqref="B11"/>
      <selection pane="bottomRight" activeCell="O7" sqref="O7"/>
    </sheetView>
  </sheetViews>
  <sheetFormatPr baseColWidth="10" defaultColWidth="11.42578125" defaultRowHeight="15" outlineLevelCol="1" x14ac:dyDescent="0.2"/>
  <cols>
    <col min="1" max="1" width="2.7109375" style="10" customWidth="1"/>
    <col min="2" max="2" width="66" style="11" bestFit="1" customWidth="1"/>
    <col min="3" max="3" width="35.7109375" style="17" customWidth="1" outlineLevel="1"/>
    <col min="4" max="4" width="35.7109375" style="10" customWidth="1"/>
    <col min="5" max="5" width="2.7109375" style="10" customWidth="1"/>
    <col min="6" max="6" width="25" style="101" customWidth="1"/>
    <col min="7" max="7" width="0.85546875" style="12" customWidth="1"/>
    <col min="8" max="8" width="25" style="12" customWidth="1"/>
    <col min="9" max="9" width="26.85546875" style="12" customWidth="1"/>
    <col min="10" max="10" width="2.7109375" style="10" customWidth="1"/>
    <col min="11" max="11" width="24" style="102" customWidth="1"/>
    <col min="12" max="12" width="2.7109375" style="11" customWidth="1"/>
    <col min="13" max="13" width="12" style="11" customWidth="1"/>
    <col min="14" max="14" width="15.140625" style="11" customWidth="1"/>
    <col min="15" max="15" width="13.85546875" style="11" customWidth="1"/>
    <col min="16" max="16" width="13.85546875" style="11" bestFit="1" customWidth="1"/>
    <col min="17" max="16384" width="11.42578125" style="11"/>
  </cols>
  <sheetData>
    <row r="1" spans="1:21" s="13" customFormat="1" ht="24.95" customHeight="1" x14ac:dyDescent="0.2">
      <c r="A1" s="7"/>
      <c r="B1" s="146"/>
      <c r="C1" s="147"/>
      <c r="D1" s="147"/>
      <c r="E1" s="148"/>
      <c r="F1" s="149"/>
      <c r="G1" s="150"/>
      <c r="H1" s="151"/>
      <c r="I1" s="151"/>
      <c r="J1" s="148"/>
      <c r="K1" s="152"/>
      <c r="L1" s="88"/>
    </row>
    <row r="2" spans="1:21" s="13" customFormat="1" ht="24.95" customHeight="1" x14ac:dyDescent="0.2">
      <c r="A2" s="8"/>
      <c r="B2" s="146"/>
      <c r="C2" s="153"/>
      <c r="D2" s="154"/>
      <c r="E2" s="2"/>
      <c r="F2" s="150"/>
      <c r="G2" s="155"/>
      <c r="H2" s="151"/>
      <c r="I2" s="151"/>
      <c r="J2" s="2"/>
      <c r="K2" s="2"/>
      <c r="L2" s="88"/>
    </row>
    <row r="3" spans="1:21" s="13" customFormat="1" ht="24.95" customHeight="1" x14ac:dyDescent="0.2">
      <c r="A3" s="8"/>
      <c r="B3" s="146"/>
      <c r="C3" s="392" t="s">
        <v>159</v>
      </c>
      <c r="D3" s="392"/>
      <c r="E3" s="392"/>
      <c r="F3" s="392"/>
      <c r="G3" s="392"/>
      <c r="H3" s="392"/>
      <c r="I3" s="392"/>
      <c r="J3" s="392"/>
      <c r="K3" s="392"/>
      <c r="L3" s="88"/>
    </row>
    <row r="4" spans="1:21" s="13" customFormat="1" ht="24.95" customHeight="1" x14ac:dyDescent="0.2">
      <c r="A4" s="8"/>
      <c r="B4" s="146"/>
      <c r="C4" s="364"/>
      <c r="D4" s="364"/>
      <c r="E4" s="364"/>
      <c r="F4" s="364"/>
      <c r="G4" s="3"/>
      <c r="H4" s="3"/>
      <c r="I4" s="3"/>
      <c r="J4" s="2"/>
      <c r="K4" s="2"/>
      <c r="L4" s="88"/>
    </row>
    <row r="5" spans="1:21" s="13" customFormat="1" ht="24.95" customHeight="1" x14ac:dyDescent="0.2">
      <c r="A5" s="8"/>
      <c r="B5" s="146"/>
      <c r="C5" s="364"/>
      <c r="D5" s="364"/>
      <c r="E5" s="364"/>
      <c r="F5" s="364"/>
      <c r="G5" s="3"/>
      <c r="H5" s="3"/>
      <c r="I5" s="3"/>
      <c r="J5" s="2"/>
      <c r="K5" s="2"/>
      <c r="L5" s="88"/>
    </row>
    <row r="6" spans="1:21" s="14" customFormat="1" ht="24.95" customHeight="1" x14ac:dyDescent="0.2">
      <c r="A6" s="9"/>
      <c r="B6" s="146"/>
      <c r="C6" s="156"/>
      <c r="D6" s="2"/>
      <c r="E6" s="2"/>
      <c r="F6" s="3"/>
      <c r="G6" s="3"/>
      <c r="H6" s="1"/>
      <c r="I6" s="1"/>
      <c r="J6" s="2"/>
      <c r="K6" s="2"/>
      <c r="L6" s="89"/>
    </row>
    <row r="7" spans="1:21" s="14" customFormat="1" ht="24.95" customHeight="1" thickBot="1" x14ac:dyDescent="0.25">
      <c r="A7" s="9"/>
      <c r="B7" s="146"/>
      <c r="C7" s="156"/>
      <c r="D7" s="2"/>
      <c r="E7" s="2"/>
      <c r="F7" s="396" t="s">
        <v>160</v>
      </c>
      <c r="G7" s="396"/>
      <c r="H7" s="396"/>
      <c r="I7" s="396"/>
      <c r="J7" s="2"/>
      <c r="K7" s="2"/>
      <c r="L7" s="89"/>
      <c r="M7" s="13"/>
      <c r="N7" s="13"/>
      <c r="O7" s="13"/>
      <c r="P7" s="13"/>
      <c r="Q7" s="13"/>
      <c r="R7" s="13"/>
      <c r="S7" s="13"/>
      <c r="T7" s="13"/>
      <c r="U7" s="13"/>
    </row>
    <row r="8" spans="1:21" s="100" customFormat="1" ht="24.95" customHeight="1" thickBot="1" x14ac:dyDescent="0.25">
      <c r="A8" s="142"/>
      <c r="B8" s="393" t="s">
        <v>78</v>
      </c>
      <c r="C8" s="394" t="s">
        <v>1</v>
      </c>
      <c r="D8" s="394" t="s">
        <v>2</v>
      </c>
      <c r="E8" s="98"/>
      <c r="F8" s="397" t="s">
        <v>157</v>
      </c>
      <c r="G8" s="117"/>
      <c r="H8" s="399" t="s">
        <v>158</v>
      </c>
      <c r="I8" s="399" t="s">
        <v>166</v>
      </c>
      <c r="J8" s="118"/>
      <c r="K8" s="390" t="s">
        <v>161</v>
      </c>
      <c r="L8" s="99"/>
    </row>
    <row r="9" spans="1:21" s="97" customFormat="1" ht="35.1" customHeight="1" thickBot="1" x14ac:dyDescent="0.25">
      <c r="A9" s="131"/>
      <c r="B9" s="393"/>
      <c r="C9" s="395"/>
      <c r="D9" s="395"/>
      <c r="E9" s="95"/>
      <c r="F9" s="398"/>
      <c r="G9" s="119"/>
      <c r="H9" s="400"/>
      <c r="I9" s="400"/>
      <c r="J9" s="120"/>
      <c r="K9" s="391"/>
      <c r="L9" s="96"/>
    </row>
    <row r="10" spans="1:21" s="14" customFormat="1" ht="15" customHeight="1" thickBot="1" x14ac:dyDescent="0.25">
      <c r="A10" s="132"/>
      <c r="B10" s="4"/>
      <c r="C10" s="157"/>
      <c r="D10" s="4"/>
      <c r="E10" s="4"/>
      <c r="F10" s="158"/>
      <c r="G10" s="158"/>
      <c r="H10" s="159"/>
      <c r="I10" s="159"/>
      <c r="J10" s="4"/>
      <c r="K10" s="158"/>
      <c r="L10" s="89"/>
    </row>
    <row r="11" spans="1:21" s="15" customFormat="1" ht="27.95" customHeight="1" x14ac:dyDescent="0.2">
      <c r="A11" s="143"/>
      <c r="B11" s="128" t="s">
        <v>16</v>
      </c>
      <c r="C11" s="4"/>
      <c r="D11" s="4"/>
      <c r="E11" s="6"/>
      <c r="F11" s="4"/>
      <c r="G11" s="5"/>
      <c r="H11" s="159"/>
      <c r="I11" s="159"/>
      <c r="J11" s="4"/>
      <c r="K11" s="158"/>
      <c r="L11" s="90"/>
      <c r="M11" s="16"/>
    </row>
    <row r="12" spans="1:21" ht="24.95" customHeight="1" x14ac:dyDescent="0.2">
      <c r="A12" s="143"/>
      <c r="B12" s="125" t="s">
        <v>162</v>
      </c>
      <c r="C12" s="114" t="s">
        <v>164</v>
      </c>
      <c r="D12" s="114" t="s">
        <v>97</v>
      </c>
      <c r="E12" s="121"/>
      <c r="F12" s="115">
        <v>82230</v>
      </c>
      <c r="G12" s="122"/>
      <c r="H12" s="115">
        <v>817774.07725258649</v>
      </c>
      <c r="I12" s="115">
        <v>36030</v>
      </c>
      <c r="J12" s="123"/>
      <c r="K12" s="115">
        <v>30500</v>
      </c>
      <c r="L12" s="91"/>
      <c r="M12" s="82"/>
    </row>
    <row r="13" spans="1:21" ht="24.95" customHeight="1" x14ac:dyDescent="0.2">
      <c r="A13" s="143"/>
      <c r="B13" s="125" t="s">
        <v>163</v>
      </c>
      <c r="C13" s="114" t="s">
        <v>165</v>
      </c>
      <c r="D13" s="114" t="s">
        <v>19</v>
      </c>
      <c r="E13" s="121"/>
      <c r="F13" s="115">
        <v>82230</v>
      </c>
      <c r="G13" s="122"/>
      <c r="H13" s="115">
        <v>868010.30841334199</v>
      </c>
      <c r="I13" s="115">
        <v>36030</v>
      </c>
      <c r="J13" s="123"/>
      <c r="K13" s="115">
        <v>30500</v>
      </c>
      <c r="L13" s="91"/>
      <c r="M13" s="82"/>
    </row>
    <row r="14" spans="1:21" ht="24.95" customHeight="1" x14ac:dyDescent="0.2">
      <c r="A14" s="143"/>
      <c r="B14" s="125" t="s">
        <v>126</v>
      </c>
      <c r="C14" s="114" t="s">
        <v>17</v>
      </c>
      <c r="D14" s="114" t="s">
        <v>97</v>
      </c>
      <c r="E14" s="121"/>
      <c r="F14" s="115">
        <v>82230</v>
      </c>
      <c r="G14" s="122"/>
      <c r="H14" s="115">
        <v>975659.37518638989</v>
      </c>
      <c r="I14" s="115">
        <v>36030</v>
      </c>
      <c r="J14" s="123"/>
      <c r="K14" s="115">
        <v>30500</v>
      </c>
      <c r="L14" s="91"/>
      <c r="M14" s="82"/>
    </row>
    <row r="15" spans="1:21" ht="24.95" customHeight="1" x14ac:dyDescent="0.2">
      <c r="A15" s="143"/>
      <c r="B15" s="125" t="s">
        <v>127</v>
      </c>
      <c r="C15" s="114" t="s">
        <v>18</v>
      </c>
      <c r="D15" s="114" t="s">
        <v>19</v>
      </c>
      <c r="E15" s="121"/>
      <c r="F15" s="115">
        <v>82230</v>
      </c>
      <c r="G15" s="122"/>
      <c r="H15" s="115">
        <v>1040248.8152502185</v>
      </c>
      <c r="I15" s="115">
        <v>36030</v>
      </c>
      <c r="J15" s="123"/>
      <c r="K15" s="115">
        <v>30500</v>
      </c>
      <c r="L15" s="91"/>
      <c r="M15" s="82"/>
    </row>
    <row r="16" spans="1:21" ht="24.95" customHeight="1" x14ac:dyDescent="0.2">
      <c r="A16" s="143"/>
      <c r="B16" s="125" t="s">
        <v>128</v>
      </c>
      <c r="C16" s="114" t="s">
        <v>20</v>
      </c>
      <c r="D16" s="114" t="s">
        <v>21</v>
      </c>
      <c r="E16" s="121"/>
      <c r="F16" s="115">
        <v>82230</v>
      </c>
      <c r="G16" s="122"/>
      <c r="H16" s="115">
        <v>1260150.6950907859</v>
      </c>
      <c r="I16" s="115">
        <v>36030</v>
      </c>
      <c r="J16" s="123"/>
      <c r="K16" s="115">
        <v>30500</v>
      </c>
      <c r="L16" s="91"/>
      <c r="M16" s="82"/>
    </row>
    <row r="17" spans="1:34" ht="24.95" customHeight="1" x14ac:dyDescent="0.2">
      <c r="A17" s="144"/>
      <c r="B17" s="125" t="s">
        <v>129</v>
      </c>
      <c r="C17" s="114" t="s">
        <v>103</v>
      </c>
      <c r="D17" s="114" t="s">
        <v>19</v>
      </c>
      <c r="E17" s="121"/>
      <c r="F17" s="115">
        <v>82230</v>
      </c>
      <c r="G17" s="122"/>
      <c r="H17" s="115">
        <v>1212487.3220870951</v>
      </c>
      <c r="I17" s="115">
        <v>36030</v>
      </c>
      <c r="J17" s="123"/>
      <c r="K17" s="115">
        <v>30500</v>
      </c>
      <c r="L17" s="91"/>
      <c r="M17" s="82"/>
    </row>
    <row r="18" spans="1:34" ht="24.95" customHeight="1" x14ac:dyDescent="0.2">
      <c r="A18" s="143"/>
      <c r="B18" s="125" t="s">
        <v>130</v>
      </c>
      <c r="C18" s="114" t="s">
        <v>22</v>
      </c>
      <c r="D18" s="114" t="s">
        <v>21</v>
      </c>
      <c r="E18" s="121"/>
      <c r="F18" s="115">
        <v>82230</v>
      </c>
      <c r="G18" s="122"/>
      <c r="H18" s="115">
        <v>1458534.5368892697</v>
      </c>
      <c r="I18" s="115">
        <v>36030</v>
      </c>
      <c r="J18" s="123"/>
      <c r="K18" s="115">
        <v>30500</v>
      </c>
      <c r="L18" s="91"/>
      <c r="M18" s="82"/>
    </row>
    <row r="19" spans="1:34" s="41" customFormat="1" ht="24.95" customHeight="1" x14ac:dyDescent="0.2">
      <c r="A19" s="160"/>
      <c r="B19" s="78"/>
      <c r="C19" s="79"/>
      <c r="D19" s="44"/>
      <c r="E19" s="44"/>
      <c r="F19" s="43"/>
      <c r="G19" s="43"/>
      <c r="H19" s="43"/>
      <c r="I19" s="43"/>
      <c r="J19" s="43"/>
      <c r="K19" s="43"/>
      <c r="L19" s="161"/>
      <c r="M19" s="47"/>
      <c r="N19" s="47"/>
      <c r="O19" s="48"/>
      <c r="P19" s="48"/>
      <c r="Q19" s="48"/>
      <c r="R19" s="48"/>
      <c r="S19" s="47"/>
      <c r="T19" s="47"/>
      <c r="U19" s="48"/>
      <c r="V19" s="48"/>
      <c r="W19" s="48"/>
      <c r="X19" s="48"/>
      <c r="Y19" s="47"/>
      <c r="Z19" s="47"/>
      <c r="AA19" s="48"/>
      <c r="AB19" s="48"/>
      <c r="AC19" s="47"/>
      <c r="AD19" s="49"/>
      <c r="AE19" s="48"/>
      <c r="AF19" s="48"/>
      <c r="AG19" s="145"/>
      <c r="AH19" s="76"/>
    </row>
  </sheetData>
  <mergeCells count="11">
    <mergeCell ref="K8:K9"/>
    <mergeCell ref="C3:K3"/>
    <mergeCell ref="C4:F4"/>
    <mergeCell ref="C5:F5"/>
    <mergeCell ref="B8:B9"/>
    <mergeCell ref="C8:C9"/>
    <mergeCell ref="D8:D9"/>
    <mergeCell ref="F7:I7"/>
    <mergeCell ref="F8:F9"/>
    <mergeCell ref="I8:I9"/>
    <mergeCell ref="H8:H9"/>
  </mergeCells>
  <conditionalFormatting sqref="C11:D18">
    <cfRule type="containsText" dxfId="1" priority="2" operator="containsText" text="Pendiente">
      <formula>NOT(ISERROR(SEARCH("Pendiente",C11)))</formula>
    </cfRule>
  </conditionalFormatting>
  <conditionalFormatting sqref="D19">
    <cfRule type="containsText" dxfId="0" priority="1" operator="containsText" text="Pendiente">
      <formula>NOT(ISERROR(SEARCH("Pendiente",D19)))</formula>
    </cfRule>
  </conditionalFormatting>
  <pageMargins left="0.70866141732283472" right="0.70866141732283472" top="0.74803149606299213" bottom="0.74803149606299213" header="0.31496062992125984" footer="0.31496062992125984"/>
  <pageSetup paperSize="9" scale="40" orientation="landscape" r:id="rId1"/>
  <headerFooter scaleWithDoc="0" alignWithMargins="0">
    <oddHeader xml:space="preserve">&amp;C
</oddHead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65BBF7-94B4-43E7-9002-47CC174442BF}">
  <dimension ref="A1:B12"/>
  <sheetViews>
    <sheetView workbookViewId="0">
      <selection activeCell="F13" sqref="F13"/>
    </sheetView>
  </sheetViews>
  <sheetFormatPr baseColWidth="10" defaultRowHeight="12.75" x14ac:dyDescent="0.2"/>
  <sheetData>
    <row r="1" spans="1:2" x14ac:dyDescent="0.2">
      <c r="A1" s="83">
        <v>1</v>
      </c>
      <c r="B1" s="83" t="s">
        <v>49</v>
      </c>
    </row>
    <row r="2" spans="1:2" x14ac:dyDescent="0.2">
      <c r="A2" s="83">
        <v>2</v>
      </c>
      <c r="B2" s="83" t="s">
        <v>50</v>
      </c>
    </row>
    <row r="3" spans="1:2" x14ac:dyDescent="0.2">
      <c r="A3" s="83">
        <v>3</v>
      </c>
      <c r="B3" s="83" t="s">
        <v>51</v>
      </c>
    </row>
    <row r="4" spans="1:2" x14ac:dyDescent="0.2">
      <c r="A4" s="83">
        <v>4</v>
      </c>
      <c r="B4" s="83" t="s">
        <v>52</v>
      </c>
    </row>
    <row r="5" spans="1:2" x14ac:dyDescent="0.2">
      <c r="A5" s="83">
        <v>5</v>
      </c>
      <c r="B5" s="83" t="s">
        <v>53</v>
      </c>
    </row>
    <row r="6" spans="1:2" x14ac:dyDescent="0.2">
      <c r="A6" s="83">
        <v>6</v>
      </c>
      <c r="B6" s="83" t="s">
        <v>54</v>
      </c>
    </row>
    <row r="7" spans="1:2" x14ac:dyDescent="0.2">
      <c r="A7" s="83">
        <v>7</v>
      </c>
      <c r="B7" s="83" t="s">
        <v>55</v>
      </c>
    </row>
    <row r="8" spans="1:2" x14ac:dyDescent="0.2">
      <c r="A8" s="83">
        <v>8</v>
      </c>
      <c r="B8" s="83" t="s">
        <v>56</v>
      </c>
    </row>
    <row r="9" spans="1:2" x14ac:dyDescent="0.2">
      <c r="A9" s="83">
        <v>9</v>
      </c>
      <c r="B9" s="83" t="s">
        <v>57</v>
      </c>
    </row>
    <row r="10" spans="1:2" x14ac:dyDescent="0.2">
      <c r="A10" s="83">
        <v>10</v>
      </c>
      <c r="B10" s="83" t="s">
        <v>58</v>
      </c>
    </row>
    <row r="11" spans="1:2" x14ac:dyDescent="0.2">
      <c r="A11" s="83">
        <v>11</v>
      </c>
      <c r="B11" s="83" t="s">
        <v>59</v>
      </c>
    </row>
    <row r="12" spans="1:2" x14ac:dyDescent="0.2">
      <c r="A12" s="83">
        <v>12</v>
      </c>
      <c r="B12" s="83" t="s">
        <v>60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c8b3300-50d1-4f26-8e59-ad83ef287955" xsi:nil="true"/>
    <lcf76f155ced4ddcb4097134ff3c332f xmlns="55287ef3-d835-4936-bb6f-381c5a8f8fc4">
      <Terms xmlns="http://schemas.microsoft.com/office/infopath/2007/PartnerControls"/>
    </lcf76f155ced4ddcb4097134ff3c332f>
    <SharedWithUsers xmlns="7c8b3300-50d1-4f26-8e59-ad83ef287955">
      <UserInfo>
        <DisplayName>FERNANDO PICCOLI</DisplayName>
        <AccountId>22</AccountId>
        <AccountType/>
      </UserInfo>
      <UserInfo>
        <DisplayName>JOSE DIAZ VILLABLANCA</DisplayName>
        <AccountId>24</AccountId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F16AF0FE4E9F64C9FC9589AA365C574" ma:contentTypeVersion="15" ma:contentTypeDescription="Create a new document." ma:contentTypeScope="" ma:versionID="15ee85c2526433b635e3fcc67f9e76f1">
  <xsd:schema xmlns:xsd="http://www.w3.org/2001/XMLSchema" xmlns:xs="http://www.w3.org/2001/XMLSchema" xmlns:p="http://schemas.microsoft.com/office/2006/metadata/properties" xmlns:ns2="55287ef3-d835-4936-bb6f-381c5a8f8fc4" xmlns:ns3="7c8b3300-50d1-4f26-8e59-ad83ef287955" targetNamespace="http://schemas.microsoft.com/office/2006/metadata/properties" ma:root="true" ma:fieldsID="2f58115d231ae33be98b0677566ae6cb" ns2:_="" ns3:_="">
    <xsd:import namespace="55287ef3-d835-4936-bb6f-381c5a8f8fc4"/>
    <xsd:import namespace="7c8b3300-50d1-4f26-8e59-ad83ef28795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5287ef3-d835-4936-bb6f-381c5a8f8f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9247bebf-ce0e-4fa1-bae7-748a1283d6f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BillingMetadata" ma:index="22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c8b3300-50d1-4f26-8e59-ad83ef287955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eb4145c4-41c7-4a8b-a70d-51bc93dc9323}" ma:internalName="TaxCatchAll" ma:showField="CatchAllData" ma:web="7c8b3300-50d1-4f26-8e59-ad83ef28795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5D605D-6C1E-4754-909B-F6CAA833372A}">
  <ds:schemaRefs>
    <ds:schemaRef ds:uri="7c8b3300-50d1-4f26-8e59-ad83ef287955"/>
    <ds:schemaRef ds:uri="http://purl.org/dc/terms/"/>
    <ds:schemaRef ds:uri="55287ef3-d835-4936-bb6f-381c5a8f8fc4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CE37BEB-FA63-4093-B9E8-E9AE481304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5287ef3-d835-4936-bb6f-381c5a8f8fc4"/>
    <ds:schemaRef ds:uri="7c8b3300-50d1-4f26-8e59-ad83ef28795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35C732C-4B15-4FE1-838B-D0FBEAA3378B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2fd53d93-3f4c-4b90-b511-bd6bdbb4fba9}" enabled="1" method="Standard" siteId="{d852d5cd-724c-4128-8812-ffa5db3f850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5</vt:i4>
      </vt:variant>
    </vt:vector>
  </HeadingPairs>
  <TitlesOfParts>
    <vt:vector size="9" baseType="lpstr">
      <vt:lpstr>PASAJEROS</vt:lpstr>
      <vt:lpstr>COMERCIALES</vt:lpstr>
      <vt:lpstr>Trámites Preinscripciones</vt:lpstr>
      <vt:lpstr>MESES</vt:lpstr>
      <vt:lpstr>COMERCIALES!Área_de_impresión</vt:lpstr>
      <vt:lpstr>'Trámites Preinscripciones'!Área_de_impresión</vt:lpstr>
      <vt:lpstr>COMERCIALES!Títulos_a_imprimir</vt:lpstr>
      <vt:lpstr>PASAJEROS!Títulos_a_imprimir</vt:lpstr>
      <vt:lpstr>'Trámites Preinscripciones'!Títulos_a_imprimir</vt:lpstr>
    </vt:vector>
  </TitlesOfParts>
  <Manager/>
  <Company>PSA PEUGEOT CITROEN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u303165</dc:creator>
  <cp:keywords/>
  <dc:description/>
  <cp:lastModifiedBy>KEVIN PATRICIO FAUNDEZ</cp:lastModifiedBy>
  <cp:revision/>
  <dcterms:created xsi:type="dcterms:W3CDTF">2010-07-01T17:49:30Z</dcterms:created>
  <dcterms:modified xsi:type="dcterms:W3CDTF">2026-06-01T13:25:01Z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  <property fmtid="{D5CDD505-2E9C-101B-9397-08002B2CF9AE}" pid="3" name="MSIP_Label_2fd53d93-3f4c-4b90-b511-bd6bdbb4fba9_Enabled">
    <vt:lpwstr>true</vt:lpwstr>
  </property>
  <property fmtid="{D5CDD505-2E9C-101B-9397-08002B2CF9AE}" pid="4" name="MSIP_Label_2fd53d93-3f4c-4b90-b511-bd6bdbb4fba9_SetDate">
    <vt:lpwstr>2020-12-21T17:57:12Z</vt:lpwstr>
  </property>
  <property fmtid="{D5CDD505-2E9C-101B-9397-08002B2CF9AE}" pid="5" name="MSIP_Label_2fd53d93-3f4c-4b90-b511-bd6bdbb4fba9_Method">
    <vt:lpwstr>Standard</vt:lpwstr>
  </property>
  <property fmtid="{D5CDD505-2E9C-101B-9397-08002B2CF9AE}" pid="6" name="MSIP_Label_2fd53d93-3f4c-4b90-b511-bd6bdbb4fba9_Name">
    <vt:lpwstr>2fd53d93-3f4c-4b90-b511-bd6bdbb4fba9</vt:lpwstr>
  </property>
  <property fmtid="{D5CDD505-2E9C-101B-9397-08002B2CF9AE}" pid="7" name="MSIP_Label_2fd53d93-3f4c-4b90-b511-bd6bdbb4fba9_SiteId">
    <vt:lpwstr>d852d5cd-724c-4128-8812-ffa5db3f8507</vt:lpwstr>
  </property>
  <property fmtid="{D5CDD505-2E9C-101B-9397-08002B2CF9AE}" pid="8" name="MSIP_Label_2fd53d93-3f4c-4b90-b511-bd6bdbb4fba9_ActionId">
    <vt:lpwstr/>
  </property>
  <property fmtid="{D5CDD505-2E9C-101B-9397-08002B2CF9AE}" pid="9" name="MSIP_Label_2fd53d93-3f4c-4b90-b511-bd6bdbb4fba9_ContentBits">
    <vt:lpwstr>0</vt:lpwstr>
  </property>
  <property fmtid="{D5CDD505-2E9C-101B-9397-08002B2CF9AE}" pid="10" name="ContentTypeId">
    <vt:lpwstr>0x010100EF16AF0FE4E9F64C9FC9589AA365C574</vt:lpwstr>
  </property>
  <property fmtid="{D5CDD505-2E9C-101B-9397-08002B2CF9AE}" pid="11" name="MediaServiceImageTags">
    <vt:lpwstr/>
  </property>
</Properties>
</file>