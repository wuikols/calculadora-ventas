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ko\Desktop\Documenotos Pompeyo\Lista de Precios\Junio\"/>
    </mc:Choice>
  </mc:AlternateContent>
  <xr:revisionPtr revIDLastSave="0" documentId="13_ncr:1_{AD247274-EECF-495E-8B50-27C51A9EAF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Precios" sheetId="8" r:id="rId1"/>
    <sheet name="MESES" sheetId="10" state="hidden" r:id="rId2"/>
  </sheets>
  <externalReferences>
    <externalReference r:id="rId3"/>
  </externalReferences>
  <definedNames>
    <definedName name="_xlnm._FilterDatabase" localSheetId="0" hidden="1">'Lista de Precios'!$C$8:$G$17</definedName>
    <definedName name="_xlnm.Print_Area" localSheetId="0">'Lista de Precios'!$B$2:$Z$17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8" l="1"/>
  <c r="AA15" i="8"/>
  <c r="AA12" i="8"/>
  <c r="H15" i="8" l="1"/>
  <c r="H16" i="8"/>
  <c r="H12" i="8"/>
  <c r="AG12" i="8"/>
  <c r="AH12" i="8" s="1"/>
  <c r="AG16" i="8"/>
  <c r="AH16" i="8" s="1"/>
  <c r="AG15" i="8"/>
  <c r="AH15" i="8" s="1"/>
  <c r="K15" i="8" l="1"/>
  <c r="M15" i="8"/>
  <c r="AB15" i="8" s="1"/>
  <c r="L15" i="8"/>
  <c r="Q15" i="8" s="1"/>
  <c r="W15" i="8" s="1"/>
  <c r="K12" i="8"/>
  <c r="M12" i="8"/>
  <c r="AB12" i="8" s="1"/>
  <c r="L12" i="8"/>
  <c r="Q12" i="8" s="1"/>
  <c r="W12" i="8" s="1"/>
  <c r="K16" i="8"/>
  <c r="M16" i="8"/>
  <c r="AB16" i="8" s="1"/>
  <c r="V16" i="8" l="1"/>
  <c r="P16" i="8"/>
  <c r="P12" i="8"/>
  <c r="V12" i="8"/>
  <c r="L16" i="8"/>
  <c r="Q16" i="8" s="1"/>
  <c r="W16" i="8" s="1"/>
  <c r="V15" i="8"/>
  <c r="P15" i="8"/>
  <c r="S16" i="8" l="1"/>
  <c r="R16" i="8"/>
  <c r="S12" i="8"/>
  <c r="R12" i="8"/>
  <c r="S15" i="8"/>
  <c r="R15" i="8"/>
  <c r="Y16" i="8" l="1"/>
  <c r="X16" i="8"/>
  <c r="Y15" i="8"/>
  <c r="X15" i="8"/>
  <c r="Y12" i="8"/>
  <c r="X12" i="8"/>
  <c r="AC15" i="8" l="1"/>
  <c r="AD15" i="8"/>
  <c r="AC16" i="8"/>
  <c r="AD16" i="8"/>
  <c r="AC12" i="8"/>
  <c r="AD12" i="8"/>
</calcChain>
</file>

<file path=xl/sharedStrings.xml><?xml version="1.0" encoding="utf-8"?>
<sst xmlns="http://schemas.openxmlformats.org/spreadsheetml/2006/main" count="60" uniqueCount="51">
  <si>
    <t>CIT</t>
  </si>
  <si>
    <t>LISTA DE PRECIOS VEHÍCULOS NUEVOS</t>
  </si>
  <si>
    <t>LCDV</t>
  </si>
  <si>
    <t>CÓDIGO REF</t>
  </si>
  <si>
    <t>Margen Red</t>
  </si>
  <si>
    <t>Costo CE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</si>
  <si>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</si>
  <si>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</si>
  <si>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</si>
  <si>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</si>
  <si>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</si>
  <si>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</si>
  <si>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</si>
  <si>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</si>
  <si>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</si>
  <si>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</si>
  <si>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</si>
  <si>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</si>
  <si>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Tope CE</t>
  </si>
  <si>
    <t>MODELO</t>
  </si>
  <si>
    <t>PRECIO LISTA</t>
  </si>
  <si>
    <t>TODO MEDIO DE PAGO</t>
  </si>
  <si>
    <t>CRÉDITO CONVENCIONAL</t>
  </si>
  <si>
    <t>COMPRA INTELIGENTE</t>
  </si>
  <si>
    <t>B117CR1JCLLSCAB000</t>
  </si>
  <si>
    <t>B1185R1MCLLSCAG000</t>
  </si>
  <si>
    <t>C10 REEV</t>
  </si>
  <si>
    <t>C10 BEV</t>
  </si>
  <si>
    <t>C10 BEV DESIGN</t>
  </si>
  <si>
    <t>LP9634EL0924S01-6</t>
  </si>
  <si>
    <t>C10 REEV DESIGN</t>
  </si>
  <si>
    <t>LP9991E60525S00-1</t>
  </si>
  <si>
    <t>C10</t>
  </si>
  <si>
    <t>B10 BEV</t>
  </si>
  <si>
    <t>Factura 
Neta</t>
  </si>
  <si>
    <t>B10</t>
  </si>
  <si>
    <t>CON IVA</t>
  </si>
  <si>
    <t>SIN IVA</t>
  </si>
  <si>
    <t>BONO CON IVA</t>
  </si>
  <si>
    <t>APORTE CE</t>
  </si>
  <si>
    <t>APORTE STELLANTIS</t>
  </si>
  <si>
    <t>PRECIO PROMO</t>
  </si>
  <si>
    <t>APORTE FINANCIERA</t>
  </si>
  <si>
    <t>Δ Precio 
Lista M-1</t>
  </si>
  <si>
    <t>Δ Precio 
TMP M-1</t>
  </si>
  <si>
    <t>Δ Precio 
CC M-1</t>
  </si>
  <si>
    <t>Δ Precio 
CI M-1</t>
  </si>
  <si>
    <t>B108CR1TCLLSCAC000</t>
  </si>
  <si>
    <t>B10 BEV LIFE</t>
  </si>
  <si>
    <t>LP10228EL0825S00-9</t>
  </si>
  <si>
    <t>Nº 06 - 2026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</si>
</sst>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164" formatCode="_-* #,##0.00_-;\-* #,##0.00_-;_-* &quot;-&quot;??_-;_-@_-"/>
    <numFmt numFmtId="165" formatCode="_-* #,##0\ _P_t_s_-;\-* #,##0\ _P_t_s_-;_-* &quot;-&quot;??\ _P_t_s_-;_-@_-"/>
    <numFmt numFmtId="166" formatCode="[$-F800]dddd\,\ mmmm\ dd\,\ yyyy"/>
    <numFmt numFmtId="167" formatCode="d\ &quot;de&quot;\ mmmm\ &quot;de&quot;\ yyyy"/>
    <numFmt numFmtId="168" formatCode="\+&quot;$&quot;#,##0;\-&quot;$&quot;#,##0"/>
    <numFmt numFmtId="169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Montserrat"/>
    </font>
    <font>
      <sz val="12"/>
      <name val="Montserrat"/>
    </font>
    <font>
      <b/>
      <sz val="12"/>
      <name val="Montserrat"/>
    </font>
    <font>
      <b/>
      <sz val="12"/>
      <color theme="0"/>
      <name val="Montserrat"/>
    </font>
    <font>
      <sz val="14"/>
      <name val="Montserrat"/>
    </font>
    <font>
      <b/>
      <sz val="12"/>
      <color indexed="9"/>
      <name val="Montserrat"/>
    </font>
    <font>
      <sz val="12"/>
      <color theme="1"/>
      <name val="Montserrat"/>
    </font>
    <font>
      <b/>
      <sz val="12"/>
      <color theme="1"/>
      <name val="Montserrat"/>
    </font>
    <font>
      <sz val="12"/>
      <color indexed="9"/>
      <name val="Montserrat"/>
    </font>
    <font>
      <sz val="12"/>
      <color rgb="FF333333"/>
      <name val="Montserrat"/>
    </font>
    <font>
      <b/>
      <sz val="13"/>
      <color theme="0"/>
      <name val="Montserrat"/>
    </font>
    <font>
      <b/>
      <sz val="13"/>
      <color indexed="9"/>
      <name val="Montserrat"/>
    </font>
    <font>
      <sz val="13"/>
      <name val="Montserrat"/>
    </font>
    <font>
      <b/>
      <sz val="16"/>
      <name val="Montserrat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12472D"/>
        <bgColor indexed="64"/>
      </patternFill>
    </fill>
    <fill>
      <patternFill patternType="solid">
        <fgColor rgb="FFB39A64"/>
        <bgColor indexed="64"/>
      </patternFill>
    </fill>
    <fill>
      <patternFill patternType="solid">
        <fgColor rgb="FFE2DFD5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5" fontId="4" fillId="2" borderId="0" xfId="1" applyNumberFormat="1" applyFont="1" applyFill="1" applyBorder="1" applyAlignment="1">
      <alignment horizontal="center" vertical="center"/>
    </xf>
    <xf numFmtId="165" fontId="5" fillId="2" borderId="0" xfId="1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5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4" fontId="5" fillId="2" borderId="0" xfId="1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6" fillId="4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42" fontId="5" fillId="0" borderId="0" xfId="3" applyFont="1" applyFill="1" applyBorder="1" applyAlignment="1">
      <alignment horizontal="center" vertical="center"/>
    </xf>
    <xf numFmtId="42" fontId="4" fillId="0" borderId="0" xfId="3" applyFont="1" applyFill="1" applyBorder="1" applyAlignment="1">
      <alignment horizontal="center" vertical="center"/>
    </xf>
    <xf numFmtId="42" fontId="4" fillId="0" borderId="0" xfId="3" applyFont="1" applyFill="1" applyBorder="1" applyAlignment="1">
      <alignment horizontal="center" vertical="center" wrapText="1"/>
    </xf>
    <xf numFmtId="168" fontId="4" fillId="0" borderId="0" xfId="3" applyNumberFormat="1" applyFont="1" applyFill="1" applyBorder="1" applyAlignment="1">
      <alignment horizontal="center" vertical="center"/>
    </xf>
    <xf numFmtId="9" fontId="4" fillId="0" borderId="0" xfId="2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0" borderId="0" xfId="1" applyNumberFormat="1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/>
    </xf>
    <xf numFmtId="165" fontId="8" fillId="0" borderId="0" xfId="1" applyNumberFormat="1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169" fontId="4" fillId="0" borderId="0" xfId="2" applyNumberFormat="1" applyFont="1" applyBorder="1" applyAlignment="1">
      <alignment vertical="center"/>
    </xf>
    <xf numFmtId="42" fontId="4" fillId="0" borderId="0" xfId="3" applyFont="1" applyBorder="1" applyAlignment="1">
      <alignment horizontal="center" vertical="center" wrapText="1"/>
    </xf>
    <xf numFmtId="169" fontId="4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3" fontId="5" fillId="4" borderId="0" xfId="0" applyNumberFormat="1" applyFont="1" applyFill="1" applyAlignment="1">
      <alignment vertical="center"/>
    </xf>
    <xf numFmtId="3" fontId="4" fillId="4" borderId="0" xfId="0" applyNumberFormat="1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165" fontId="5" fillId="4" borderId="0" xfId="1" applyNumberFormat="1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168" fontId="4" fillId="7" borderId="9" xfId="3" applyNumberFormat="1" applyFont="1" applyFill="1" applyBorder="1" applyAlignment="1">
      <alignment horizontal="center" vertical="center"/>
    </xf>
    <xf numFmtId="165" fontId="6" fillId="5" borderId="9" xfId="1" applyNumberFormat="1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left" vertical="center" indent="2"/>
    </xf>
    <xf numFmtId="0" fontId="4" fillId="7" borderId="9" xfId="0" applyFont="1" applyFill="1" applyBorder="1" applyAlignment="1">
      <alignment horizontal="center" vertical="center"/>
    </xf>
    <xf numFmtId="42" fontId="5" fillId="7" borderId="9" xfId="3" applyFont="1" applyFill="1" applyBorder="1" applyAlignment="1">
      <alignment horizontal="center" vertical="center"/>
    </xf>
    <xf numFmtId="42" fontId="4" fillId="7" borderId="9" xfId="3" applyFont="1" applyFill="1" applyBorder="1" applyAlignment="1">
      <alignment horizontal="center" vertical="center"/>
    </xf>
    <xf numFmtId="9" fontId="4" fillId="7" borderId="9" xfId="2" applyFont="1" applyFill="1" applyBorder="1" applyAlignment="1">
      <alignment horizontal="center" vertical="center"/>
    </xf>
    <xf numFmtId="165" fontId="6" fillId="6" borderId="10" xfId="1" applyNumberFormat="1" applyFont="1" applyFill="1" applyBorder="1" applyAlignment="1">
      <alignment horizontal="center" vertical="center" wrapText="1"/>
    </xf>
    <xf numFmtId="165" fontId="6" fillId="6" borderId="11" xfId="1" applyNumberFormat="1" applyFont="1" applyFill="1" applyBorder="1" applyAlignment="1">
      <alignment horizontal="center" vertical="center" wrapText="1"/>
    </xf>
    <xf numFmtId="165" fontId="6" fillId="6" borderId="12" xfId="1" applyNumberFormat="1" applyFont="1" applyFill="1" applyBorder="1" applyAlignment="1">
      <alignment horizontal="center" vertical="center" wrapText="1"/>
    </xf>
    <xf numFmtId="165" fontId="6" fillId="6" borderId="9" xfId="1" applyNumberFormat="1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/>
    </xf>
    <xf numFmtId="165" fontId="9" fillId="7" borderId="13" xfId="1" applyNumberFormat="1" applyFont="1" applyFill="1" applyBorder="1" applyAlignment="1">
      <alignment horizontal="center" vertical="center"/>
    </xf>
    <xf numFmtId="0" fontId="9" fillId="7" borderId="13" xfId="0" applyFont="1" applyFill="1" applyBorder="1"/>
    <xf numFmtId="169" fontId="10" fillId="7" borderId="1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13" fillId="4" borderId="0" xfId="0" applyFont="1" applyFill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5" fillId="0" borderId="16" xfId="0" applyFont="1" applyBorder="1"/>
    <xf numFmtId="165" fontId="13" fillId="0" borderId="0" xfId="1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4" borderId="0" xfId="0" applyFont="1" applyFill="1" applyAlignment="1">
      <alignment horizontal="center" wrapText="1"/>
    </xf>
    <xf numFmtId="0" fontId="5" fillId="8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7" fontId="7" fillId="0" borderId="0" xfId="0" applyNumberFormat="1" applyFont="1" applyAlignment="1">
      <alignment horizontal="left" vertical="center"/>
    </xf>
    <xf numFmtId="165" fontId="13" fillId="6" borderId="13" xfId="1" applyNumberFormat="1" applyFont="1" applyFill="1" applyBorder="1" applyAlignment="1">
      <alignment horizontal="center" wrapText="1"/>
    </xf>
    <xf numFmtId="165" fontId="13" fillId="6" borderId="9" xfId="1" applyNumberFormat="1" applyFont="1" applyFill="1" applyBorder="1" applyAlignment="1">
      <alignment horizontal="center" wrapText="1"/>
    </xf>
    <xf numFmtId="165" fontId="13" fillId="5" borderId="9" xfId="1" applyNumberFormat="1" applyFont="1" applyFill="1" applyBorder="1" applyAlignment="1">
      <alignment horizontal="center" vertical="center" wrapText="1"/>
    </xf>
    <xf numFmtId="165" fontId="13" fillId="5" borderId="9" xfId="1" applyNumberFormat="1" applyFont="1" applyFill="1" applyBorder="1" applyAlignment="1">
      <alignment horizontal="center" wrapText="1"/>
    </xf>
    <xf numFmtId="165" fontId="13" fillId="6" borderId="6" xfId="1" applyNumberFormat="1" applyFont="1" applyFill="1" applyBorder="1" applyAlignment="1">
      <alignment horizontal="center" wrapText="1"/>
    </xf>
    <xf numFmtId="165" fontId="13" fillId="6" borderId="7" xfId="1" applyNumberFormat="1" applyFont="1" applyFill="1" applyBorder="1" applyAlignment="1">
      <alignment horizontal="center" wrapText="1"/>
    </xf>
    <xf numFmtId="165" fontId="13" fillId="6" borderId="8" xfId="1" applyNumberFormat="1" applyFont="1" applyFill="1" applyBorder="1" applyAlignment="1">
      <alignment horizontal="center" wrapText="1"/>
    </xf>
    <xf numFmtId="0" fontId="6" fillId="6" borderId="17" xfId="0" applyFont="1" applyFill="1" applyBorder="1" applyAlignment="1">
      <alignment horizontal="left" vertical="center" indent="1"/>
    </xf>
    <xf numFmtId="0" fontId="6" fillId="6" borderId="18" xfId="0" applyFont="1" applyFill="1" applyBorder="1" applyAlignment="1">
      <alignment horizontal="left" vertical="center" indent="1"/>
    </xf>
    <xf numFmtId="0" fontId="6" fillId="6" borderId="19" xfId="0" applyFont="1" applyFill="1" applyBorder="1" applyAlignment="1">
      <alignment horizontal="left" vertical="center" inden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</cellXfs>
  <cellStyles count="4">
    <cellStyle name="Millares" xfId="1" builtinId="3"/>
    <cellStyle name="Moneda [0]" xfId="3" builtinId="7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C0D665"/>
      <color rgb="FFB39A64"/>
      <color rgb="FFE2DFD5"/>
      <color rgb="FF12472D"/>
      <color rgb="FFF5F5F1"/>
      <color rgb="FFB79B5C"/>
      <color rgb="FFB39E62"/>
      <color rgb="FFCBD569"/>
      <color rgb="FFB2B2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911674</xdr:colOff>
      <xdr:row>1</xdr:row>
      <xdr:rowOff>0</xdr:rowOff>
    </xdr:from>
    <xdr:to>
      <xdr:col>2</xdr:col>
      <xdr:colOff>3483424</xdr:colOff>
      <xdr:row>5</xdr:row>
      <xdr:rowOff>228600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47F7879F-6E44-D105-8135-53E3372E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67" y="312964"/>
          <a:ext cx="2571750" cy="14804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iftup.sharepoint.com/sites/SALESMANAGEMENT/Shared%20Documents/General/ACCIONES%20COMERCIALES/LISTAS%20DE%20PRECIO/2026/5.%20Mayo/Lista%20de%20Precios%20Leapmotor%20Mayo%202026.xlsx" TargetMode="External"/><Relationship Id="rId1" Type="http://schemas.openxmlformats.org/officeDocument/2006/relationships/externalLinkPath" Target="https://shiftup.sharepoint.com/sites/SALESMANAGEMENT/Shared%20Documents/General/ACCIONES%20COMERCIALES/LISTAS%20DE%20PRECIO/2026/5.%20Mayo/Lista%20de%20Precios%20Leapmotor%20May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de Precios"/>
      <sheetName val="MESES"/>
    </sheetNames>
    <sheetDataSet>
      <sheetData sheetId="0">
        <row r="1"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</row>
        <row r="2">
          <cell r="C2"/>
          <cell r="D2"/>
          <cell r="E2" t="str">
            <v>LISTA DE PRECIOS VEHÍCULOS NUEVOS</v>
          </cell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</row>
        <row r="3">
          <cell r="C3"/>
          <cell r="D3"/>
          <cell r="E3" t="str">
            <v>Nº 05 - 2026</v>
          </cell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</row>
        <row r="4">
          <cell r="C4"/>
          <cell r="D4"/>
          <cell r="E4">
            <v>46143</v>
          </cell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</row>
        <row r="5"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</row>
        <row r="6"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</row>
        <row r="7">
          <cell r="C7"/>
          <cell r="D7"/>
          <cell r="E7"/>
          <cell r="F7"/>
          <cell r="G7"/>
          <cell r="H7"/>
          <cell r="I7"/>
          <cell r="J7" t="str">
            <v>Tope CE</v>
          </cell>
          <cell r="K7"/>
          <cell r="L7"/>
          <cell r="M7">
            <v>2.5000000000000001E-2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</row>
        <row r="8">
          <cell r="C8" t="str">
            <v>MODELO</v>
          </cell>
          <cell r="D8" t="str">
            <v>LCDV</v>
          </cell>
          <cell r="E8" t="str">
            <v>CIT</v>
          </cell>
          <cell r="F8"/>
          <cell r="G8" t="str">
            <v>PRECIO LISTA</v>
          </cell>
          <cell r="H8"/>
          <cell r="I8"/>
          <cell r="J8" t="str">
            <v>TODO MEDIO DE PAGO</v>
          </cell>
          <cell r="K8"/>
          <cell r="L8"/>
          <cell r="M8"/>
          <cell r="N8"/>
          <cell r="O8" t="str">
            <v>CRÉDITO CONVENCIONAL</v>
          </cell>
          <cell r="P8"/>
          <cell r="Q8"/>
          <cell r="R8"/>
          <cell r="S8"/>
          <cell r="T8"/>
          <cell r="U8" t="str">
            <v>COMPRA INTELIGENTE</v>
          </cell>
          <cell r="V8"/>
          <cell r="W8"/>
          <cell r="X8"/>
          <cell r="Y8"/>
          <cell r="Z8"/>
          <cell r="AA8" t="str">
            <v>Δ Precio 
Lista M-1</v>
          </cell>
          <cell r="AB8" t="str">
            <v>Δ Precio 
TMP M-1</v>
          </cell>
          <cell r="AC8" t="str">
            <v>Δ Precio 
CC M-1</v>
          </cell>
          <cell r="AD8" t="str">
            <v>Δ Precio 
CI M-1</v>
          </cell>
          <cell r="AE8"/>
          <cell r="AF8" t="str">
            <v>Margen Red</v>
          </cell>
          <cell r="AG8" t="str">
            <v>Costo CE</v>
          </cell>
        </row>
        <row r="9">
          <cell r="C9"/>
          <cell r="D9"/>
          <cell r="E9"/>
          <cell r="F9"/>
          <cell r="G9" t="str">
            <v>CON IVA</v>
          </cell>
          <cell r="H9" t="str">
            <v>SIN IVA</v>
          </cell>
          <cell r="I9"/>
          <cell r="J9" t="str">
            <v>BONO CON IVA</v>
          </cell>
          <cell r="K9" t="str">
            <v>APORTE CE</v>
          </cell>
          <cell r="L9" t="str">
            <v>APORTE STELLANTIS</v>
          </cell>
          <cell r="M9" t="str">
            <v>PRECIO PROMO</v>
          </cell>
          <cell r="N9"/>
          <cell r="O9" t="str">
            <v>BONO CON IVA</v>
          </cell>
          <cell r="P9" t="str">
            <v>APORTE CE</v>
          </cell>
          <cell r="Q9" t="str">
            <v>APORTE STELLANTIS</v>
          </cell>
          <cell r="R9" t="str">
            <v>APORTE FINANCIERA</v>
          </cell>
          <cell r="S9" t="str">
            <v>PRECIO PROMO</v>
          </cell>
          <cell r="T9"/>
          <cell r="U9" t="str">
            <v>BONO CON IVA</v>
          </cell>
          <cell r="V9" t="str">
            <v>APORTE CE</v>
          </cell>
          <cell r="W9" t="str">
            <v>APORTE STELLANTIS</v>
          </cell>
          <cell r="X9" t="str">
            <v>APORTE FINANCIERA</v>
          </cell>
          <cell r="Y9" t="str">
            <v>PRECIO PROMO</v>
          </cell>
          <cell r="Z9"/>
          <cell r="AA9"/>
          <cell r="AB9"/>
          <cell r="AC9"/>
          <cell r="AD9"/>
          <cell r="AE9"/>
          <cell r="AF9"/>
          <cell r="AG9"/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</row>
        <row r="11">
          <cell r="C11" t="str">
            <v>B10</v>
          </cell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</row>
        <row r="12">
          <cell r="C12" t="str">
            <v>B10 BEV LIFE</v>
          </cell>
          <cell r="D12" t="str">
            <v>B108CR1TCLLSCAC000</v>
          </cell>
          <cell r="E12" t="str">
            <v>LP10228EL0825S00-9</v>
          </cell>
          <cell r="F12"/>
          <cell r="G12">
            <v>24990000</v>
          </cell>
          <cell r="H12">
            <v>21000000</v>
          </cell>
          <cell r="I12"/>
          <cell r="J12">
            <v>4000000</v>
          </cell>
          <cell r="K12">
            <v>624750</v>
          </cell>
          <cell r="L12">
            <v>3375250</v>
          </cell>
          <cell r="M12">
            <v>20990000</v>
          </cell>
          <cell r="N12"/>
          <cell r="O12">
            <v>4500000</v>
          </cell>
          <cell r="P12">
            <v>624750</v>
          </cell>
          <cell r="Q12">
            <v>3375250</v>
          </cell>
          <cell r="R12">
            <v>500000</v>
          </cell>
          <cell r="S12">
            <v>20490000</v>
          </cell>
          <cell r="T12"/>
          <cell r="U12">
            <v>5000000</v>
          </cell>
          <cell r="V12">
            <v>624750</v>
          </cell>
          <cell r="W12">
            <v>3375250</v>
          </cell>
          <cell r="X12">
            <v>1000000</v>
          </cell>
          <cell r="Y12">
            <v>19990000</v>
          </cell>
          <cell r="Z12"/>
          <cell r="AA12" t="str">
            <v>ISO</v>
          </cell>
          <cell r="AB12" t="str">
            <v>ISO</v>
          </cell>
          <cell r="AC12" t="str">
            <v>ISO</v>
          </cell>
          <cell r="AD12" t="str">
            <v>ISO</v>
          </cell>
          <cell r="AE12"/>
          <cell r="AF12">
            <v>0.09</v>
          </cell>
          <cell r="AG12">
            <v>22740900</v>
          </cell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</row>
        <row r="14">
          <cell r="C14" t="str">
            <v>C10</v>
          </cell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</row>
        <row r="15">
          <cell r="C15" t="str">
            <v>C10 BEV DESIGN</v>
          </cell>
          <cell r="D15" t="str">
            <v>B117CR1JCLLSCAB000</v>
          </cell>
          <cell r="E15" t="str">
            <v>LP9634EL0924S01-6</v>
          </cell>
          <cell r="F15"/>
          <cell r="G15">
            <v>29490000</v>
          </cell>
          <cell r="H15">
            <v>24781512.605042018</v>
          </cell>
          <cell r="I15"/>
          <cell r="J15">
            <v>2000000</v>
          </cell>
          <cell r="K15">
            <v>737250</v>
          </cell>
          <cell r="L15">
            <v>1262750</v>
          </cell>
          <cell r="M15">
            <v>27490000</v>
          </cell>
          <cell r="N15"/>
          <cell r="O15">
            <v>2500000</v>
          </cell>
          <cell r="P15">
            <v>737250</v>
          </cell>
          <cell r="Q15">
            <v>1262750</v>
          </cell>
          <cell r="R15">
            <v>500000</v>
          </cell>
          <cell r="S15">
            <v>26990000</v>
          </cell>
          <cell r="T15"/>
          <cell r="U15">
            <v>3000000</v>
          </cell>
          <cell r="V15">
            <v>737250</v>
          </cell>
          <cell r="W15">
            <v>1262750</v>
          </cell>
          <cell r="X15">
            <v>1000000</v>
          </cell>
          <cell r="Y15">
            <v>26490000</v>
          </cell>
          <cell r="Z15"/>
          <cell r="AA15" t="str">
            <v>ISO</v>
          </cell>
          <cell r="AB15" t="str">
            <v>ISO</v>
          </cell>
          <cell r="AC15" t="str">
            <v>ISO</v>
          </cell>
          <cell r="AD15" t="str">
            <v>ISO</v>
          </cell>
          <cell r="AE15"/>
          <cell r="AF15">
            <v>0.1</v>
          </cell>
          <cell r="AG15">
            <v>26541000</v>
          </cell>
        </row>
        <row r="16">
          <cell r="C16" t="str">
            <v>C10 REEV DESIGN</v>
          </cell>
          <cell r="D16" t="str">
            <v>B1185R1MCLLSCAG000</v>
          </cell>
          <cell r="E16" t="str">
            <v>LP9991E60525S00-1</v>
          </cell>
          <cell r="F16"/>
          <cell r="G16">
            <v>30990000</v>
          </cell>
          <cell r="H16">
            <v>26042016.806722689</v>
          </cell>
          <cell r="I16"/>
          <cell r="J16">
            <v>2500000</v>
          </cell>
          <cell r="K16">
            <v>774750</v>
          </cell>
          <cell r="L16">
            <v>1725250</v>
          </cell>
          <cell r="M16">
            <v>28490000</v>
          </cell>
          <cell r="N16"/>
          <cell r="O16">
            <v>3000000</v>
          </cell>
          <cell r="P16">
            <v>774750</v>
          </cell>
          <cell r="Q16">
            <v>1725250</v>
          </cell>
          <cell r="R16">
            <v>500000</v>
          </cell>
          <cell r="S16">
            <v>27990000</v>
          </cell>
          <cell r="T16"/>
          <cell r="U16">
            <v>3500000</v>
          </cell>
          <cell r="V16">
            <v>774750</v>
          </cell>
          <cell r="W16">
            <v>1725250</v>
          </cell>
          <cell r="X16">
            <v>1000000</v>
          </cell>
          <cell r="Y16">
            <v>27490000</v>
          </cell>
          <cell r="Z16"/>
          <cell r="AA16" t="str">
            <v>ISO</v>
          </cell>
          <cell r="AB16" t="str">
            <v>ISO</v>
          </cell>
          <cell r="AC16" t="str">
            <v>ISO</v>
          </cell>
          <cell r="AD16" t="str">
            <v>ISO</v>
          </cell>
          <cell r="AE16"/>
          <cell r="AF16">
            <v>0.1</v>
          </cell>
          <cell r="AG16">
            <v>27891000</v>
          </cell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</row>
        <row r="18">
          <cell r="G18"/>
          <cell r="H18"/>
          <cell r="J18"/>
          <cell r="K18"/>
          <cell r="L18"/>
          <cell r="M18"/>
          <cell r="O18"/>
          <cell r="P18"/>
          <cell r="Q18"/>
          <cell r="R18"/>
          <cell r="S18"/>
          <cell r="U18"/>
          <cell r="V18"/>
          <cell r="W18"/>
          <cell r="X18"/>
          <cell r="Y18"/>
        </row>
        <row r="19">
          <cell r="G19"/>
          <cell r="H19"/>
          <cell r="J19"/>
          <cell r="K19"/>
          <cell r="L19"/>
          <cell r="M19"/>
          <cell r="O19"/>
          <cell r="P19"/>
          <cell r="Q19"/>
          <cell r="R19"/>
          <cell r="S19"/>
          <cell r="U19"/>
          <cell r="V19"/>
          <cell r="W19"/>
          <cell r="X19"/>
          <cell r="Y19"/>
        </row>
        <row r="20">
          <cell r="C20"/>
          <cell r="D20"/>
          <cell r="E20"/>
          <cell r="F20"/>
          <cell r="G20"/>
          <cell r="H20"/>
          <cell r="J20"/>
          <cell r="K20"/>
          <cell r="L20"/>
          <cell r="M20"/>
          <cell r="O20"/>
          <cell r="P20"/>
          <cell r="Q20"/>
          <cell r="R20"/>
          <cell r="S20"/>
          <cell r="U20"/>
          <cell r="V20"/>
          <cell r="W20"/>
          <cell r="X20"/>
          <cell r="Y20"/>
        </row>
        <row r="21">
          <cell r="C21"/>
          <cell r="D21"/>
          <cell r="E21"/>
          <cell r="F21"/>
          <cell r="G21"/>
          <cell r="H21"/>
          <cell r="J21"/>
          <cell r="K21"/>
          <cell r="L21"/>
          <cell r="M21"/>
          <cell r="O21"/>
          <cell r="P21"/>
          <cell r="Q21"/>
          <cell r="R21"/>
          <cell r="S21"/>
          <cell r="U21"/>
          <cell r="V21"/>
          <cell r="W21"/>
          <cell r="X21"/>
          <cell r="Y21"/>
        </row>
        <row r="22">
          <cell r="C22"/>
          <cell r="D22"/>
          <cell r="E22"/>
          <cell r="F22"/>
        </row>
        <row r="23">
          <cell r="C23"/>
          <cell r="D23"/>
          <cell r="E23"/>
          <cell r="F23"/>
        </row>
        <row r="24">
          <cell r="C24"/>
          <cell r="D24"/>
          <cell r="E24"/>
          <cell r="F24"/>
        </row>
        <row r="25">
          <cell r="C25"/>
          <cell r="D25"/>
          <cell r="E25"/>
          <cell r="F25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25"/>
  <sheetViews>
    <sheetView showGridLines="0" tabSelected="1" zoomScale="70" zoomScaleNormal="70" workbookViewId="0">
      <pane xSplit="5" ySplit="9" topLeftCell="M10" activePane="bottomRight" state="frozen"/>
      <selection activeCell="B1" sqref="B1"/>
      <selection pane="topRight" activeCell="F1" sqref="F1"/>
      <selection pane="bottomLeft" activeCell="B10" sqref="B10"/>
      <selection pane="bottomRight" activeCell="O23" sqref="O23"/>
    </sheetView>
  </sheetViews>
  <sheetFormatPr baseColWidth="10" defaultColWidth="2.7109375" defaultRowHeight="24.95" customHeight="1" outlineLevelCol="1" x14ac:dyDescent="0.25"/>
  <cols>
    <col min="1" max="1" width="35" style="2" hidden="1" customWidth="1" outlineLevel="1"/>
    <col min="2" max="2" width="2.7109375" style="8" customWidth="1" collapsed="1"/>
    <col min="3" max="3" width="65.7109375" style="8" customWidth="1"/>
    <col min="4" max="4" width="35.7109375" style="46" hidden="1" customWidth="1" outlineLevel="1"/>
    <col min="5" max="5" width="35.7109375" style="46" customWidth="1" collapsed="1"/>
    <col min="6" max="6" width="2.7109375" style="46" customWidth="1"/>
    <col min="7" max="7" width="25.7109375" style="52" customWidth="1"/>
    <col min="8" max="8" width="25.7109375" style="53" customWidth="1" outlineLevel="1"/>
    <col min="9" max="9" width="2.7109375" style="8" customWidth="1"/>
    <col min="10" max="10" width="25.7109375" style="53" customWidth="1"/>
    <col min="11" max="12" width="25.7109375" style="53" customWidth="1" outlineLevel="1"/>
    <col min="13" max="13" width="25.7109375" style="52" customWidth="1"/>
    <col min="14" max="14" width="2.7109375" style="8" customWidth="1"/>
    <col min="15" max="15" width="25.7109375" style="53" customWidth="1"/>
    <col min="16" max="18" width="25.7109375" style="53" customWidth="1" outlineLevel="1"/>
    <col min="19" max="19" width="25.7109375" style="52" customWidth="1"/>
    <col min="20" max="20" width="2.7109375" style="8" customWidth="1"/>
    <col min="21" max="21" width="25.7109375" style="53" customWidth="1"/>
    <col min="22" max="24" width="25.7109375" style="53" customWidth="1" outlineLevel="1"/>
    <col min="25" max="25" width="25.7109375" style="52" customWidth="1"/>
    <col min="26" max="26" width="2.7109375" style="8" customWidth="1"/>
    <col min="27" max="30" width="20.7109375" style="8" customWidth="1"/>
    <col min="31" max="31" width="2.7109375" style="72" hidden="1" customWidth="1" outlineLevel="1"/>
    <col min="32" max="32" width="15.7109375" style="8" hidden="1" customWidth="1" outlineLevel="1"/>
    <col min="33" max="34" width="20.7109375" style="8" hidden="1" customWidth="1" outlineLevel="1"/>
    <col min="35" max="35" width="2.7109375" style="8" customWidth="1" collapsed="1"/>
    <col min="36" max="16384" width="2.7109375" style="8"/>
  </cols>
  <sheetData>
    <row r="1" spans="1:35" ht="24.95" customHeight="1" x14ac:dyDescent="0.25">
      <c r="B1" s="3"/>
      <c r="C1" s="4"/>
      <c r="D1" s="5"/>
      <c r="E1" s="4"/>
      <c r="F1" s="4"/>
      <c r="G1" s="4"/>
      <c r="H1" s="4"/>
      <c r="I1" s="4"/>
      <c r="J1" s="12"/>
      <c r="K1" s="12"/>
      <c r="L1" s="12"/>
      <c r="M1" s="12"/>
      <c r="N1" s="12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6"/>
      <c r="AB1" s="6"/>
      <c r="AC1" s="6"/>
      <c r="AD1" s="6"/>
      <c r="AE1" s="69"/>
      <c r="AF1" s="6"/>
      <c r="AG1" s="6"/>
      <c r="AH1" s="6"/>
      <c r="AI1" s="7"/>
    </row>
    <row r="2" spans="1:35" ht="24.95" customHeight="1" x14ac:dyDescent="0.25">
      <c r="B2" s="9"/>
      <c r="C2" s="10"/>
      <c r="D2" s="11"/>
      <c r="E2" s="83" t="s">
        <v>1</v>
      </c>
      <c r="F2" s="12"/>
      <c r="G2" s="12"/>
      <c r="H2" s="12"/>
      <c r="I2" s="12"/>
      <c r="J2" s="12"/>
      <c r="K2" s="12"/>
      <c r="L2" s="12"/>
      <c r="M2" s="81"/>
      <c r="N2" s="12"/>
      <c r="O2" s="12"/>
      <c r="P2" s="12"/>
      <c r="Q2" s="12"/>
      <c r="R2" s="12"/>
      <c r="S2" s="12"/>
      <c r="T2" s="10"/>
      <c r="U2" s="13"/>
      <c r="V2" s="13"/>
      <c r="W2" s="13"/>
      <c r="X2" s="13"/>
      <c r="Y2" s="14"/>
      <c r="Z2" s="10"/>
      <c r="AA2" s="10"/>
      <c r="AB2" s="10"/>
      <c r="AC2" s="10"/>
      <c r="AD2" s="10"/>
      <c r="AE2" s="70"/>
      <c r="AF2" s="10"/>
      <c r="AG2" s="10"/>
      <c r="AH2" s="10"/>
      <c r="AI2" s="15"/>
    </row>
    <row r="3" spans="1:35" ht="24.95" customHeight="1" x14ac:dyDescent="0.25">
      <c r="B3" s="9"/>
      <c r="C3" s="16"/>
      <c r="D3" s="16"/>
      <c r="E3" s="84" t="s">
        <v>50</v>
      </c>
      <c r="F3" s="84"/>
      <c r="G3" s="84"/>
      <c r="H3" s="17"/>
      <c r="I3" s="10"/>
      <c r="J3" s="12"/>
      <c r="K3" s="12"/>
      <c r="L3" s="12"/>
      <c r="M3" s="12"/>
      <c r="N3" s="12"/>
      <c r="O3" s="13"/>
      <c r="P3" s="13"/>
      <c r="Q3" s="13"/>
      <c r="R3" s="13"/>
      <c r="S3" s="14"/>
      <c r="T3" s="10"/>
      <c r="U3" s="13"/>
      <c r="V3" s="13"/>
      <c r="W3" s="13"/>
      <c r="X3" s="13"/>
      <c r="Y3" s="14"/>
      <c r="Z3" s="10"/>
      <c r="AA3" s="10"/>
      <c r="AB3" s="10"/>
      <c r="AC3" s="10"/>
      <c r="AD3" s="10"/>
      <c r="AE3" s="70"/>
      <c r="AF3" s="10"/>
      <c r="AG3" s="10"/>
      <c r="AH3" s="10"/>
      <c r="AI3" s="15"/>
    </row>
    <row r="4" spans="1:35" ht="24.95" customHeight="1" x14ac:dyDescent="0.25">
      <c r="B4" s="9"/>
      <c r="C4" s="18"/>
      <c r="D4" s="18"/>
      <c r="E4" s="85">
        <v>46174</v>
      </c>
      <c r="F4" s="85"/>
      <c r="G4" s="85"/>
      <c r="H4" s="19"/>
      <c r="I4" s="20"/>
      <c r="J4" s="12"/>
      <c r="K4" s="12"/>
      <c r="L4" s="12"/>
      <c r="M4" s="81"/>
      <c r="N4" s="12"/>
      <c r="O4" s="13"/>
      <c r="P4" s="13"/>
      <c r="Q4" s="13"/>
      <c r="R4" s="13"/>
      <c r="S4" s="14"/>
      <c r="T4" s="10"/>
      <c r="U4" s="13"/>
      <c r="V4" s="13"/>
      <c r="W4" s="13"/>
      <c r="X4" s="13"/>
      <c r="Y4" s="14"/>
      <c r="Z4" s="10"/>
      <c r="AA4" s="10"/>
      <c r="AB4" s="10"/>
      <c r="AC4" s="10"/>
      <c r="AD4" s="10"/>
      <c r="AE4" s="70"/>
      <c r="AF4" s="10"/>
      <c r="AG4" s="10"/>
      <c r="AH4" s="10"/>
      <c r="AI4" s="15"/>
    </row>
    <row r="5" spans="1:35" ht="24.95" customHeight="1" x14ac:dyDescent="0.25">
      <c r="B5" s="9"/>
      <c r="C5" s="10"/>
      <c r="D5" s="11"/>
      <c r="E5" s="11"/>
      <c r="F5" s="11"/>
      <c r="G5" s="21"/>
      <c r="H5" s="21"/>
      <c r="I5" s="10"/>
      <c r="J5" s="12"/>
      <c r="K5" s="12"/>
      <c r="L5" s="12"/>
      <c r="M5" s="81"/>
      <c r="N5" s="12"/>
      <c r="O5" s="82"/>
      <c r="P5" s="22"/>
      <c r="Q5" s="13"/>
      <c r="R5" s="13"/>
      <c r="S5" s="14"/>
      <c r="T5" s="10"/>
      <c r="U5" s="13"/>
      <c r="V5" s="13"/>
      <c r="W5" s="13"/>
      <c r="X5" s="13"/>
      <c r="Y5" s="14"/>
      <c r="Z5" s="10"/>
      <c r="AA5" s="10"/>
      <c r="AB5" s="10"/>
      <c r="AC5" s="10"/>
      <c r="AD5" s="10"/>
      <c r="AE5" s="70"/>
      <c r="AF5" s="10"/>
      <c r="AG5" s="10"/>
      <c r="AH5" s="10"/>
      <c r="AI5" s="15"/>
    </row>
    <row r="6" spans="1:35" ht="24.95" customHeight="1" x14ac:dyDescent="0.25">
      <c r="B6" s="9"/>
      <c r="C6" s="10"/>
      <c r="D6" s="11"/>
      <c r="E6" s="11"/>
      <c r="F6" s="11"/>
      <c r="G6" s="21"/>
      <c r="H6" s="21"/>
      <c r="I6" s="10"/>
      <c r="J6" s="13"/>
      <c r="K6" s="13"/>
      <c r="L6" s="13"/>
      <c r="M6" s="14"/>
      <c r="N6" s="10"/>
      <c r="O6" s="22"/>
      <c r="P6" s="22"/>
      <c r="Q6" s="13"/>
      <c r="R6" s="13"/>
      <c r="S6" s="14"/>
      <c r="T6" s="10"/>
      <c r="U6" s="13"/>
      <c r="V6" s="13"/>
      <c r="W6" s="13"/>
      <c r="X6" s="13"/>
      <c r="Y6" s="14"/>
      <c r="Z6" s="10"/>
      <c r="AA6" s="10"/>
      <c r="AB6" s="10"/>
      <c r="AC6" s="10"/>
      <c r="AD6" s="10"/>
      <c r="AE6" s="70"/>
      <c r="AF6" s="10"/>
      <c r="AG6" s="10"/>
      <c r="AH6" s="10"/>
      <c r="AI6" s="15"/>
    </row>
    <row r="7" spans="1:35" ht="24.95" customHeight="1" x14ac:dyDescent="0.35">
      <c r="B7" s="9"/>
      <c r="C7" s="23"/>
      <c r="D7" s="24"/>
      <c r="E7" s="11"/>
      <c r="F7" s="11"/>
      <c r="G7" s="14"/>
      <c r="H7" s="13"/>
      <c r="I7" s="10"/>
      <c r="J7" s="65" t="s">
        <v>18</v>
      </c>
      <c r="K7" s="66"/>
      <c r="L7" s="67"/>
      <c r="M7" s="68">
        <v>2.5000000000000001E-2</v>
      </c>
      <c r="N7" s="10"/>
      <c r="O7" s="23"/>
      <c r="P7" s="23"/>
      <c r="Q7" s="23"/>
      <c r="R7" s="23"/>
      <c r="S7" s="25"/>
      <c r="T7" s="23"/>
      <c r="U7" s="23"/>
      <c r="V7" s="23"/>
      <c r="W7" s="23"/>
      <c r="X7" s="23"/>
      <c r="Y7" s="25"/>
      <c r="Z7" s="23"/>
      <c r="AA7" s="10"/>
      <c r="AB7" s="10"/>
      <c r="AC7" s="10"/>
      <c r="AD7" s="10"/>
      <c r="AE7" s="70"/>
      <c r="AF7" s="10"/>
      <c r="AG7" s="10"/>
      <c r="AH7" s="10"/>
      <c r="AI7" s="15"/>
    </row>
    <row r="8" spans="1:35" s="80" customFormat="1" ht="24.95" customHeight="1" x14ac:dyDescent="0.4">
      <c r="A8" s="73"/>
      <c r="B8" s="74"/>
      <c r="C8" s="96" t="s">
        <v>19</v>
      </c>
      <c r="D8" s="98" t="s">
        <v>2</v>
      </c>
      <c r="E8" s="97" t="s">
        <v>0</v>
      </c>
      <c r="F8" s="75"/>
      <c r="G8" s="89" t="s">
        <v>20</v>
      </c>
      <c r="H8" s="89"/>
      <c r="I8" s="76"/>
      <c r="J8" s="90" t="s">
        <v>21</v>
      </c>
      <c r="K8" s="91"/>
      <c r="L8" s="91"/>
      <c r="M8" s="92"/>
      <c r="N8" s="77"/>
      <c r="O8" s="86" t="s">
        <v>22</v>
      </c>
      <c r="P8" s="86"/>
      <c r="Q8" s="86"/>
      <c r="R8" s="86"/>
      <c r="S8" s="86"/>
      <c r="T8" s="77"/>
      <c r="U8" s="87" t="s">
        <v>23</v>
      </c>
      <c r="V8" s="87"/>
      <c r="W8" s="87"/>
      <c r="X8" s="87"/>
      <c r="Y8" s="87"/>
      <c r="Z8" s="77"/>
      <c r="AA8" s="88" t="s">
        <v>43</v>
      </c>
      <c r="AB8" s="88" t="s">
        <v>44</v>
      </c>
      <c r="AC8" s="88" t="s">
        <v>45</v>
      </c>
      <c r="AD8" s="88" t="s">
        <v>46</v>
      </c>
      <c r="AE8" s="78"/>
      <c r="AF8" s="88" t="s">
        <v>4</v>
      </c>
      <c r="AG8" s="88" t="s">
        <v>5</v>
      </c>
      <c r="AH8" s="88" t="s">
        <v>34</v>
      </c>
      <c r="AI8" s="79"/>
    </row>
    <row r="9" spans="1:35" s="31" customFormat="1" ht="35.1" customHeight="1" x14ac:dyDescent="0.25">
      <c r="A9" s="26" t="s">
        <v>3</v>
      </c>
      <c r="B9" s="27"/>
      <c r="C9" s="96"/>
      <c r="D9" s="98"/>
      <c r="E9" s="97"/>
      <c r="F9" s="28"/>
      <c r="G9" s="55" t="s">
        <v>36</v>
      </c>
      <c r="H9" s="55" t="s">
        <v>37</v>
      </c>
      <c r="I9" s="10"/>
      <c r="J9" s="61" t="s">
        <v>38</v>
      </c>
      <c r="K9" s="62" t="s">
        <v>39</v>
      </c>
      <c r="L9" s="62" t="s">
        <v>40</v>
      </c>
      <c r="M9" s="63" t="s">
        <v>41</v>
      </c>
      <c r="N9" s="29"/>
      <c r="O9" s="61" t="s">
        <v>38</v>
      </c>
      <c r="P9" s="62" t="s">
        <v>39</v>
      </c>
      <c r="Q9" s="62" t="s">
        <v>40</v>
      </c>
      <c r="R9" s="62" t="s">
        <v>42</v>
      </c>
      <c r="S9" s="63" t="s">
        <v>41</v>
      </c>
      <c r="T9" s="29"/>
      <c r="U9" s="64" t="s">
        <v>38</v>
      </c>
      <c r="V9" s="64" t="s">
        <v>39</v>
      </c>
      <c r="W9" s="64" t="s">
        <v>40</v>
      </c>
      <c r="X9" s="64" t="s">
        <v>42</v>
      </c>
      <c r="Y9" s="64" t="s">
        <v>41</v>
      </c>
      <c r="Z9" s="29"/>
      <c r="AA9" s="88"/>
      <c r="AB9" s="88"/>
      <c r="AC9" s="88"/>
      <c r="AD9" s="88"/>
      <c r="AE9" s="71"/>
      <c r="AF9" s="88"/>
      <c r="AG9" s="88"/>
      <c r="AH9" s="88"/>
      <c r="AI9" s="30"/>
    </row>
    <row r="10" spans="1:35" ht="15" customHeight="1" x14ac:dyDescent="0.25">
      <c r="B10" s="9"/>
      <c r="C10" s="17"/>
      <c r="D10" s="11"/>
      <c r="E10" s="11"/>
      <c r="F10" s="11"/>
      <c r="G10" s="32"/>
      <c r="H10" s="33"/>
      <c r="I10" s="10"/>
      <c r="J10" s="33"/>
      <c r="K10" s="33"/>
      <c r="L10" s="33"/>
      <c r="M10" s="32"/>
      <c r="N10" s="34"/>
      <c r="O10" s="33"/>
      <c r="P10" s="33"/>
      <c r="Q10" s="33"/>
      <c r="R10" s="33"/>
      <c r="S10" s="32"/>
      <c r="T10" s="34"/>
      <c r="U10" s="33"/>
      <c r="V10" s="33"/>
      <c r="W10" s="33"/>
      <c r="X10" s="33"/>
      <c r="Y10" s="32"/>
      <c r="Z10" s="34"/>
      <c r="AA10" s="35"/>
      <c r="AB10" s="35"/>
      <c r="AC10" s="35"/>
      <c r="AD10" s="35"/>
      <c r="AE10" s="70"/>
      <c r="AF10" s="36"/>
      <c r="AG10" s="33"/>
      <c r="AH10" s="33"/>
      <c r="AI10" s="15"/>
    </row>
    <row r="11" spans="1:35" ht="24.95" customHeight="1" x14ac:dyDescent="0.25">
      <c r="B11" s="9"/>
      <c r="C11" s="93" t="s">
        <v>35</v>
      </c>
      <c r="D11" s="94"/>
      <c r="E11" s="95"/>
      <c r="F11" s="37"/>
      <c r="G11" s="38"/>
      <c r="H11" s="38"/>
      <c r="I11" s="10"/>
      <c r="J11" s="39"/>
      <c r="K11" s="39"/>
      <c r="L11" s="39"/>
      <c r="M11" s="40"/>
      <c r="N11" s="41"/>
      <c r="O11" s="39"/>
      <c r="P11" s="39"/>
      <c r="Q11" s="39"/>
      <c r="R11" s="39"/>
      <c r="S11" s="40"/>
      <c r="T11" s="41"/>
      <c r="U11" s="39"/>
      <c r="V11" s="39"/>
      <c r="W11" s="39"/>
      <c r="X11" s="39"/>
      <c r="Y11" s="40"/>
      <c r="Z11" s="41"/>
      <c r="AA11" s="39"/>
      <c r="AB11" s="39"/>
      <c r="AC11" s="39"/>
      <c r="AD11" s="39"/>
      <c r="AE11" s="70"/>
      <c r="AF11" s="39"/>
      <c r="AG11" s="39"/>
      <c r="AH11" s="39"/>
      <c r="AI11" s="15"/>
    </row>
    <row r="12" spans="1:35" ht="24.95" customHeight="1" x14ac:dyDescent="0.25">
      <c r="A12" s="2" t="s">
        <v>33</v>
      </c>
      <c r="B12" s="9"/>
      <c r="C12" s="56" t="s">
        <v>48</v>
      </c>
      <c r="D12" s="57" t="s">
        <v>47</v>
      </c>
      <c r="E12" s="57" t="s">
        <v>49</v>
      </c>
      <c r="F12" s="42"/>
      <c r="G12" s="58">
        <v>24990000</v>
      </c>
      <c r="H12" s="59">
        <f t="shared" ref="H12" si="0">+G12/1.19</f>
        <v>21000000</v>
      </c>
      <c r="I12" s="43"/>
      <c r="J12" s="59">
        <v>4000000</v>
      </c>
      <c r="K12" s="59">
        <f>IF(J12/2&gt;G12*$M$7,G12*$M$7,J12/2)</f>
        <v>624750</v>
      </c>
      <c r="L12" s="59">
        <f t="shared" ref="L12" si="1">+J12-K12</f>
        <v>3375250</v>
      </c>
      <c r="M12" s="58">
        <f t="shared" ref="M12" si="2">+$G12-J12</f>
        <v>20990000</v>
      </c>
      <c r="N12" s="44"/>
      <c r="O12" s="59">
        <v>4500000</v>
      </c>
      <c r="P12" s="59">
        <f t="shared" ref="P12" si="3">+K12</f>
        <v>624750</v>
      </c>
      <c r="Q12" s="59">
        <f t="shared" ref="Q12" si="4">+L12</f>
        <v>3375250</v>
      </c>
      <c r="R12" s="59">
        <f t="shared" ref="R12" si="5">+O12-P12-Q12</f>
        <v>500000</v>
      </c>
      <c r="S12" s="58">
        <f t="shared" ref="S12" si="6">+G12-O12</f>
        <v>20490000</v>
      </c>
      <c r="T12" s="44"/>
      <c r="U12" s="59">
        <v>5000000</v>
      </c>
      <c r="V12" s="59">
        <f t="shared" ref="V12" si="7">+K12</f>
        <v>624750</v>
      </c>
      <c r="W12" s="59">
        <f t="shared" ref="W12" si="8">+Q12</f>
        <v>3375250</v>
      </c>
      <c r="X12" s="59">
        <f t="shared" ref="X12" si="9">+U12-V12-W12</f>
        <v>1000000</v>
      </c>
      <c r="Y12" s="58">
        <f t="shared" ref="Y12" si="10">+G12-U12</f>
        <v>19990000</v>
      </c>
      <c r="Z12" s="44"/>
      <c r="AA12" s="54" t="str">
        <f>IFERROR(IF(G12-VLOOKUP($C12,'[1]Lista de Precios'!$C:$AG,COLUMNS('[1]Lista de Precios'!$C$12:$G$12),0)=0,"ISO",$G12-VLOOKUP($C12,'[1]Lista de Precios'!$C:$AG,COLUMNS('[1]Lista de Precios'!$C$12:$G$12),0)),"N/A")</f>
        <v>ISO</v>
      </c>
      <c r="AB12" s="54" t="str">
        <f>IFERROR(IF(M12-VLOOKUP($C12,'[1]Lista de Precios'!$C:$AG,COLUMNS('[1]Lista de Precios'!$C$12:$M$12),0)=0,"ISO",$M12-VLOOKUP($C12,'[1]Lista de Precios'!$C:$AG,COLUMNS('[1]Lista de Precios'!$C$12:$M$12),0)),"N/A")</f>
        <v>ISO</v>
      </c>
      <c r="AC12" s="54" t="str">
        <f>IFERROR(IF(Y12-VLOOKUP($C12,'[1]Lista de Precios'!$C:$AG,COLUMNS('[1]Lista de Precios'!$C$12:$Y$12),0)=0,"ISO",$Y12-VLOOKUP($C12,'[1]Lista de Precios'!$C:$AG,COLUMNS('[1]Lista de Precios'!$C$12:$Y$12),0)),"N/A")</f>
        <v>ISO</v>
      </c>
      <c r="AD12" s="54" t="str">
        <f>IFERROR(IF(Y12-VLOOKUP($C12,'[1]Lista de Precios'!$C:$AG,COLUMNS('[1]Lista de Precios'!$C$12:$Y$12),0)=0,"ISO",$Y12-VLOOKUP($C12,'[1]Lista de Precios'!$C:$AG,COLUMNS('[1]Lista de Precios'!$C$12:$Y$12),0)),"N/A")</f>
        <v>ISO</v>
      </c>
      <c r="AE12" s="70"/>
      <c r="AF12" s="60">
        <v>0.09</v>
      </c>
      <c r="AG12" s="59">
        <f>G12*(100%-AF12)</f>
        <v>22740900</v>
      </c>
      <c r="AH12" s="59">
        <f>AG12/1.19</f>
        <v>19110000</v>
      </c>
      <c r="AI12" s="15"/>
    </row>
    <row r="13" spans="1:35" ht="24.95" customHeight="1" x14ac:dyDescent="0.25">
      <c r="B13" s="9"/>
      <c r="C13" s="17"/>
      <c r="D13" s="11"/>
      <c r="E13" s="11"/>
      <c r="F13" s="11"/>
      <c r="G13" s="32"/>
      <c r="H13" s="33"/>
      <c r="I13" s="10"/>
      <c r="J13" s="33"/>
      <c r="K13" s="33"/>
      <c r="L13" s="33"/>
      <c r="M13" s="32"/>
      <c r="N13" s="34"/>
      <c r="O13" s="33"/>
      <c r="P13" s="33"/>
      <c r="Q13" s="33"/>
      <c r="R13" s="33"/>
      <c r="S13" s="32"/>
      <c r="T13" s="34"/>
      <c r="U13" s="33"/>
      <c r="V13" s="33"/>
      <c r="W13" s="33"/>
      <c r="X13" s="33"/>
      <c r="Y13" s="32"/>
      <c r="Z13" s="34"/>
      <c r="AA13" s="35"/>
      <c r="AB13" s="35"/>
      <c r="AC13" s="35"/>
      <c r="AD13" s="35"/>
      <c r="AE13" s="70"/>
      <c r="AF13" s="36"/>
      <c r="AG13" s="33"/>
      <c r="AH13" s="33"/>
      <c r="AI13" s="15"/>
    </row>
    <row r="14" spans="1:35" ht="24.95" customHeight="1" x14ac:dyDescent="0.25">
      <c r="B14" s="9"/>
      <c r="C14" s="93" t="s">
        <v>32</v>
      </c>
      <c r="D14" s="94"/>
      <c r="E14" s="95"/>
      <c r="F14" s="37"/>
      <c r="G14" s="38"/>
      <c r="H14" s="38"/>
      <c r="I14" s="10"/>
      <c r="J14" s="39"/>
      <c r="K14" s="39"/>
      <c r="L14" s="39"/>
      <c r="M14" s="40"/>
      <c r="N14" s="41"/>
      <c r="O14" s="39"/>
      <c r="P14" s="39"/>
      <c r="Q14" s="39"/>
      <c r="R14" s="39"/>
      <c r="S14" s="40"/>
      <c r="T14" s="41"/>
      <c r="U14" s="39"/>
      <c r="V14" s="39"/>
      <c r="W14" s="39"/>
      <c r="X14" s="39"/>
      <c r="Y14" s="40"/>
      <c r="Z14" s="41"/>
      <c r="AA14" s="39"/>
      <c r="AB14" s="39"/>
      <c r="AC14" s="39"/>
      <c r="AD14" s="39"/>
      <c r="AE14" s="70"/>
      <c r="AF14" s="39"/>
      <c r="AG14" s="39"/>
      <c r="AH14" s="39"/>
      <c r="AI14" s="15"/>
    </row>
    <row r="15" spans="1:35" ht="24.95" customHeight="1" x14ac:dyDescent="0.25">
      <c r="A15" s="2" t="s">
        <v>27</v>
      </c>
      <c r="B15" s="9"/>
      <c r="C15" s="56" t="s">
        <v>28</v>
      </c>
      <c r="D15" s="57" t="s">
        <v>24</v>
      </c>
      <c r="E15" s="57" t="s">
        <v>29</v>
      </c>
      <c r="F15" s="42"/>
      <c r="G15" s="58">
        <v>29490000</v>
      </c>
      <c r="H15" s="59">
        <f t="shared" ref="H15:H16" si="11">+G15/1.19</f>
        <v>24781512.605042018</v>
      </c>
      <c r="I15" s="43"/>
      <c r="J15" s="59">
        <v>2500000</v>
      </c>
      <c r="K15" s="59">
        <f>IF(J15/2&gt;G15*$M$7,G15*$M$7,J15/2)</f>
        <v>737250</v>
      </c>
      <c r="L15" s="59">
        <f t="shared" ref="L15:L16" si="12">+J15-K15</f>
        <v>1762750</v>
      </c>
      <c r="M15" s="58">
        <f t="shared" ref="M15:M16" si="13">+$G15-J15</f>
        <v>26990000</v>
      </c>
      <c r="N15" s="44"/>
      <c r="O15" s="59">
        <v>3000000</v>
      </c>
      <c r="P15" s="59">
        <f t="shared" ref="P15:P16" si="14">+K15</f>
        <v>737250</v>
      </c>
      <c r="Q15" s="59">
        <f t="shared" ref="Q15:Q16" si="15">+L15</f>
        <v>1762750</v>
      </c>
      <c r="R15" s="59">
        <f t="shared" ref="R15:R16" si="16">+O15-P15-Q15</f>
        <v>500000</v>
      </c>
      <c r="S15" s="58">
        <f t="shared" ref="S15:S16" si="17">+G15-O15</f>
        <v>26490000</v>
      </c>
      <c r="T15" s="44"/>
      <c r="U15" s="59">
        <v>3500000</v>
      </c>
      <c r="V15" s="59">
        <f t="shared" ref="V15:V16" si="18">+K15</f>
        <v>737250</v>
      </c>
      <c r="W15" s="59">
        <f t="shared" ref="W15:W16" si="19">+Q15</f>
        <v>1762750</v>
      </c>
      <c r="X15" s="59">
        <f t="shared" ref="X15:X16" si="20">+U15-V15-W15</f>
        <v>1000000</v>
      </c>
      <c r="Y15" s="58">
        <f t="shared" ref="Y15:Y16" si="21">+G15-U15</f>
        <v>25990000</v>
      </c>
      <c r="Z15" s="44"/>
      <c r="AA15" s="54" t="str">
        <f>IFERROR(IF(G15-VLOOKUP($C15,'[1]Lista de Precios'!$C:$AG,COLUMNS('[1]Lista de Precios'!$C$12:$G$12),0)=0,"ISO",$G15-VLOOKUP($C15,'[1]Lista de Precios'!$C:$AG,COLUMNS('[1]Lista de Precios'!$C$12:$G$12),0)),"N/A")</f>
        <v>ISO</v>
      </c>
      <c r="AB15" s="54">
        <f>IFERROR(IF(M15-VLOOKUP($C15,'[1]Lista de Precios'!$C:$AG,COLUMNS('[1]Lista de Precios'!$C$12:$M$12),0)=0,"ISO",$M15-VLOOKUP($C15,'[1]Lista de Precios'!$C:$AG,COLUMNS('[1]Lista de Precios'!$C$12:$M$12),0)),"N/A")</f>
        <v>-500000</v>
      </c>
      <c r="AC15" s="54">
        <f>IFERROR(IF(Y15-VLOOKUP($C15,'[1]Lista de Precios'!$C:$AG,COLUMNS('[1]Lista de Precios'!$C$12:$Y$12),0)=0,"ISO",$Y15-VLOOKUP($C15,'[1]Lista de Precios'!$C:$AG,COLUMNS('[1]Lista de Precios'!$C$12:$Y$12),0)),"N/A")</f>
        <v>-500000</v>
      </c>
      <c r="AD15" s="54">
        <f>IFERROR(IF(Y15-VLOOKUP($C15,'[1]Lista de Precios'!$C:$AG,COLUMNS('[1]Lista de Precios'!$C$12:$Y$12),0)=0,"ISO",$Y15-VLOOKUP($C15,'[1]Lista de Precios'!$C:$AG,COLUMNS('[1]Lista de Precios'!$C$12:$Y$12),0)),"N/A")</f>
        <v>-500000</v>
      </c>
      <c r="AE15" s="70"/>
      <c r="AF15" s="60">
        <v>0.1</v>
      </c>
      <c r="AG15" s="59">
        <f>G15*(100%-AF15)</f>
        <v>26541000</v>
      </c>
      <c r="AH15" s="59">
        <f>AG15/1.19</f>
        <v>22303361.344537817</v>
      </c>
      <c r="AI15" s="15"/>
    </row>
    <row r="16" spans="1:35" ht="24.95" customHeight="1" x14ac:dyDescent="0.25">
      <c r="A16" s="2" t="s">
        <v>26</v>
      </c>
      <c r="B16" s="9"/>
      <c r="C16" s="56" t="s">
        <v>30</v>
      </c>
      <c r="D16" s="57" t="s">
        <v>25</v>
      </c>
      <c r="E16" s="57" t="s">
        <v>31</v>
      </c>
      <c r="F16" s="42"/>
      <c r="G16" s="58">
        <v>30990000</v>
      </c>
      <c r="H16" s="59">
        <f t="shared" si="11"/>
        <v>26042016.806722689</v>
      </c>
      <c r="I16" s="43"/>
      <c r="J16" s="59">
        <v>3000000</v>
      </c>
      <c r="K16" s="59">
        <f>IF(J16/2&gt;G16*$M$7,G16*$M$7,J16/2)</f>
        <v>774750</v>
      </c>
      <c r="L16" s="59">
        <f t="shared" si="12"/>
        <v>2225250</v>
      </c>
      <c r="M16" s="58">
        <f t="shared" si="13"/>
        <v>27990000</v>
      </c>
      <c r="N16" s="44"/>
      <c r="O16" s="59">
        <v>3500000</v>
      </c>
      <c r="P16" s="59">
        <f t="shared" si="14"/>
        <v>774750</v>
      </c>
      <c r="Q16" s="59">
        <f t="shared" si="15"/>
        <v>2225250</v>
      </c>
      <c r="R16" s="59">
        <f t="shared" si="16"/>
        <v>500000</v>
      </c>
      <c r="S16" s="58">
        <f t="shared" si="17"/>
        <v>27490000</v>
      </c>
      <c r="T16" s="44"/>
      <c r="U16" s="59">
        <v>4000000</v>
      </c>
      <c r="V16" s="59">
        <f t="shared" si="18"/>
        <v>774750</v>
      </c>
      <c r="W16" s="59">
        <f t="shared" si="19"/>
        <v>2225250</v>
      </c>
      <c r="X16" s="59">
        <f t="shared" si="20"/>
        <v>1000000</v>
      </c>
      <c r="Y16" s="58">
        <f t="shared" si="21"/>
        <v>26990000</v>
      </c>
      <c r="Z16" s="44"/>
      <c r="AA16" s="54" t="str">
        <f>IFERROR(IF(G16-VLOOKUP($C16,'[1]Lista de Precios'!$C:$AG,COLUMNS('[1]Lista de Precios'!$C$12:$G$12),0)=0,"ISO",$G16-VLOOKUP($C16,'[1]Lista de Precios'!$C:$AG,COLUMNS('[1]Lista de Precios'!$C$12:$G$12),0)),"N/A")</f>
        <v>ISO</v>
      </c>
      <c r="AB16" s="54">
        <f>IFERROR(IF(M16-VLOOKUP($C16,'[1]Lista de Precios'!$C:$AG,COLUMNS('[1]Lista de Precios'!$C$12:$M$12),0)=0,"ISO",$M16-VLOOKUP($C16,'[1]Lista de Precios'!$C:$AG,COLUMNS('[1]Lista de Precios'!$C$12:$M$12),0)),"N/A")</f>
        <v>-500000</v>
      </c>
      <c r="AC16" s="54">
        <f>IFERROR(IF(Y16-VLOOKUP($C16,'[1]Lista de Precios'!$C:$AG,COLUMNS('[1]Lista de Precios'!$C$12:$Y$12),0)=0,"ISO",$Y16-VLOOKUP($C16,'[1]Lista de Precios'!$C:$AG,COLUMNS('[1]Lista de Precios'!$C$12:$Y$12),0)),"N/A")</f>
        <v>-500000</v>
      </c>
      <c r="AD16" s="54">
        <f>IFERROR(IF(Y16-VLOOKUP($C16,'[1]Lista de Precios'!$C:$AG,COLUMNS('[1]Lista de Precios'!$C$12:$Y$12),0)=0,"ISO",$Y16-VLOOKUP($C16,'[1]Lista de Precios'!$C:$AG,COLUMNS('[1]Lista de Precios'!$C$12:$Y$12),0)),"N/A")</f>
        <v>-500000</v>
      </c>
      <c r="AE16" s="70"/>
      <c r="AF16" s="60">
        <v>0.1</v>
      </c>
      <c r="AG16" s="59">
        <f>G16*(100%-AF16)</f>
        <v>27891000</v>
      </c>
      <c r="AH16" s="59">
        <f>AG16/1.19</f>
        <v>23437815.12605042</v>
      </c>
      <c r="AI16" s="15"/>
    </row>
    <row r="17" spans="2:35" ht="24.95" customHeight="1" x14ac:dyDescent="0.25">
      <c r="B17" s="9"/>
      <c r="C17" s="17"/>
      <c r="D17" s="11"/>
      <c r="E17" s="11"/>
      <c r="F17" s="11"/>
      <c r="G17" s="32"/>
      <c r="H17" s="33"/>
      <c r="I17" s="45"/>
      <c r="J17" s="33"/>
      <c r="K17" s="33"/>
      <c r="L17" s="33"/>
      <c r="M17" s="32"/>
      <c r="N17" s="34"/>
      <c r="O17" s="33"/>
      <c r="P17" s="33"/>
      <c r="Q17" s="33"/>
      <c r="R17" s="33"/>
      <c r="S17" s="32"/>
      <c r="T17" s="34"/>
      <c r="U17" s="33"/>
      <c r="V17" s="33"/>
      <c r="W17" s="33"/>
      <c r="X17" s="33"/>
      <c r="Y17" s="32"/>
      <c r="Z17" s="34"/>
      <c r="AA17" s="35"/>
      <c r="AB17" s="35"/>
      <c r="AC17" s="35"/>
      <c r="AD17" s="35"/>
      <c r="AE17" s="70"/>
      <c r="AF17" s="36"/>
      <c r="AG17" s="33"/>
      <c r="AH17" s="33"/>
      <c r="AI17" s="15"/>
    </row>
    <row r="18" spans="2:35" ht="24.95" customHeight="1" x14ac:dyDescent="0.25">
      <c r="G18" s="47"/>
      <c r="H18" s="48"/>
      <c r="J18" s="48"/>
      <c r="K18" s="8"/>
      <c r="L18" s="8"/>
      <c r="M18" s="47"/>
      <c r="O18" s="8"/>
      <c r="P18" s="8"/>
      <c r="Q18" s="48"/>
      <c r="R18" s="8"/>
      <c r="S18" s="47"/>
      <c r="U18" s="8"/>
      <c r="V18" s="8"/>
      <c r="W18" s="8"/>
      <c r="X18" s="8"/>
      <c r="Y18" s="47"/>
    </row>
    <row r="19" spans="2:35" ht="24.95" customHeight="1" x14ac:dyDescent="0.25">
      <c r="G19" s="47"/>
      <c r="H19" s="48"/>
      <c r="J19" s="8"/>
      <c r="K19" s="8"/>
      <c r="L19" s="8"/>
      <c r="M19" s="49"/>
      <c r="O19" s="8"/>
      <c r="P19" s="8"/>
      <c r="Q19" s="8"/>
      <c r="R19" s="8"/>
      <c r="S19" s="49"/>
      <c r="U19" s="8"/>
      <c r="V19" s="8"/>
      <c r="W19" s="8"/>
      <c r="X19" s="8"/>
      <c r="Y19" s="49"/>
    </row>
    <row r="20" spans="2:35" ht="24.95" customHeight="1" x14ac:dyDescent="0.25">
      <c r="C20" s="50"/>
      <c r="D20" s="51"/>
      <c r="E20" s="51"/>
      <c r="F20" s="51"/>
      <c r="G20" s="49"/>
      <c r="H20" s="8"/>
      <c r="J20" s="8"/>
      <c r="K20" s="8"/>
      <c r="L20" s="8"/>
      <c r="M20" s="49"/>
      <c r="O20" s="8"/>
      <c r="P20" s="8"/>
      <c r="Q20" s="8"/>
      <c r="R20" s="8"/>
      <c r="S20" s="49"/>
      <c r="U20" s="8"/>
      <c r="V20" s="8"/>
      <c r="W20" s="8"/>
      <c r="X20" s="8"/>
      <c r="Y20" s="49"/>
    </row>
    <row r="21" spans="2:35" ht="24.95" customHeight="1" x14ac:dyDescent="0.25">
      <c r="C21" s="50"/>
      <c r="D21" s="51"/>
      <c r="E21" s="51"/>
      <c r="F21" s="51"/>
      <c r="G21" s="49"/>
      <c r="H21" s="8"/>
      <c r="J21" s="8"/>
      <c r="K21" s="8"/>
      <c r="L21" s="8"/>
      <c r="M21" s="49"/>
      <c r="O21" s="8"/>
      <c r="P21" s="8"/>
      <c r="Q21" s="8"/>
      <c r="R21" s="8"/>
      <c r="S21" s="49"/>
      <c r="U21" s="8"/>
      <c r="V21" s="8"/>
      <c r="W21" s="8"/>
      <c r="X21" s="8"/>
      <c r="Y21" s="49"/>
    </row>
    <row r="22" spans="2:35" ht="24.95" customHeight="1" x14ac:dyDescent="0.25">
      <c r="C22" s="50"/>
      <c r="D22" s="51"/>
      <c r="E22" s="51"/>
      <c r="F22" s="51"/>
    </row>
    <row r="23" spans="2:35" ht="24.95" customHeight="1" x14ac:dyDescent="0.25">
      <c r="C23" s="50"/>
      <c r="D23" s="51"/>
      <c r="E23" s="51"/>
      <c r="F23" s="51"/>
    </row>
    <row r="24" spans="2:35" ht="24.95" customHeight="1" x14ac:dyDescent="0.25">
      <c r="C24" s="50"/>
      <c r="D24" s="51"/>
      <c r="E24" s="51"/>
      <c r="F24" s="51"/>
    </row>
    <row r="25" spans="2:35" ht="24.95" customHeight="1" x14ac:dyDescent="0.25">
      <c r="C25" s="50"/>
      <c r="D25" s="51"/>
      <c r="E25" s="51"/>
      <c r="F25" s="51"/>
    </row>
  </sheetData>
  <dataConsolidate link="1"/>
  <mergeCells count="18">
    <mergeCell ref="C11:E11"/>
    <mergeCell ref="C14:E14"/>
    <mergeCell ref="C8:C9"/>
    <mergeCell ref="E8:E9"/>
    <mergeCell ref="D8:D9"/>
    <mergeCell ref="AF8:AF9"/>
    <mergeCell ref="AG8:AG9"/>
    <mergeCell ref="AH8:AH9"/>
    <mergeCell ref="AD8:AD9"/>
    <mergeCell ref="AB8:AB9"/>
    <mergeCell ref="AC8:AC9"/>
    <mergeCell ref="E3:G3"/>
    <mergeCell ref="E4:G4"/>
    <mergeCell ref="O8:S8"/>
    <mergeCell ref="U8:Y8"/>
    <mergeCell ref="AA8:AA9"/>
    <mergeCell ref="G8:H8"/>
    <mergeCell ref="J8:M8"/>
  </mergeCells>
  <phoneticPr fontId="2" type="noConversion"/>
  <conditionalFormatting sqref="D1:D10 D12:D13 D15:D1048576">
    <cfRule type="containsText" dxfId="3" priority="3" operator="containsText" text="PENDIENTE">
      <formula>NOT(ISERROR(SEARCH("PENDIENTE",D1)))</formula>
    </cfRule>
  </conditionalFormatting>
  <conditionalFormatting sqref="D15:D1048576 D1:D10 D12:D13">
    <cfRule type="duplicateValues" dxfId="2" priority="2"/>
  </conditionalFormatting>
  <conditionalFormatting sqref="E12">
    <cfRule type="cellIs" dxfId="1" priority="1" operator="equal">
      <formula>"PENDIENTE"</formula>
    </cfRule>
  </conditionalFormatting>
  <conditionalFormatting sqref="E15:E17">
    <cfRule type="cellIs" dxfId="0" priority="4" operator="equal">
      <formula>"PENDIENTE"</formula>
    </cfRule>
  </conditionalFormatting>
  <printOptions horizontalCentered="1" verticalCentered="1"/>
  <pageMargins left="0.25" right="0.25" top="0.75" bottom="0.75" header="0.3" footer="0.3"/>
  <pageSetup paperSize="9" scale="4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AAA1-87DF-4F21-841E-0F992F3ED12B}">
  <dimension ref="A1:B12"/>
  <sheetViews>
    <sheetView workbookViewId="0">
      <selection activeCell="E6" sqref="E6"/>
    </sheetView>
  </sheetViews>
  <sheetFormatPr baseColWidth="10" defaultRowHeight="15" x14ac:dyDescent="0.25"/>
  <sheetData>
    <row r="1" spans="1:2" x14ac:dyDescent="0.25">
      <c r="A1" s="1">
        <v>1</v>
      </c>
      <c r="B1" s="1" t="s">
        <v>6</v>
      </c>
    </row>
    <row r="2" spans="1:2" x14ac:dyDescent="0.25">
      <c r="A2" s="1">
        <v>2</v>
      </c>
      <c r="B2" s="1" t="s">
        <v>7</v>
      </c>
    </row>
    <row r="3" spans="1:2" x14ac:dyDescent="0.25">
      <c r="A3" s="1">
        <v>3</v>
      </c>
      <c r="B3" s="1" t="s">
        <v>8</v>
      </c>
    </row>
    <row r="4" spans="1:2" x14ac:dyDescent="0.25">
      <c r="A4" s="1">
        <v>4</v>
      </c>
      <c r="B4" s="1" t="s">
        <v>9</v>
      </c>
    </row>
    <row r="5" spans="1:2" x14ac:dyDescent="0.25">
      <c r="A5" s="1">
        <v>5</v>
      </c>
      <c r="B5" s="1" t="s">
        <v>10</v>
      </c>
    </row>
    <row r="6" spans="1:2" x14ac:dyDescent="0.25">
      <c r="A6" s="1">
        <v>6</v>
      </c>
      <c r="B6" s="1" t="s">
        <v>11</v>
      </c>
    </row>
    <row r="7" spans="1:2" x14ac:dyDescent="0.25">
      <c r="A7" s="1">
        <v>7</v>
      </c>
      <c r="B7" s="1" t="s">
        <v>12</v>
      </c>
    </row>
    <row r="8" spans="1:2" x14ac:dyDescent="0.25">
      <c r="A8" s="1">
        <v>8</v>
      </c>
      <c r="B8" s="1" t="s">
        <v>13</v>
      </c>
    </row>
    <row r="9" spans="1:2" x14ac:dyDescent="0.25">
      <c r="A9" s="1">
        <v>9</v>
      </c>
      <c r="B9" s="1" t="s">
        <v>14</v>
      </c>
    </row>
    <row r="10" spans="1:2" x14ac:dyDescent="0.25">
      <c r="A10" s="1">
        <v>10</v>
      </c>
      <c r="B10" s="1" t="s">
        <v>15</v>
      </c>
    </row>
    <row r="11" spans="1:2" x14ac:dyDescent="0.25">
      <c r="A11" s="1">
        <v>11</v>
      </c>
      <c r="B11" s="1" t="s">
        <v>16</v>
      </c>
    </row>
    <row r="12" spans="1:2" x14ac:dyDescent="0.25">
      <c r="A12" s="1">
        <v>12</v>
      </c>
      <c r="B12" s="1" t="s">
        <v>17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6AF0FE4E9F64C9FC9589AA365C574" ma:contentTypeVersion="15" ma:contentTypeDescription="Create a new document." ma:contentTypeScope="" ma:versionID="15ee85c2526433b635e3fcc67f9e76f1">
  <xsd:schema xmlns:xsd="http://www.w3.org/2001/XMLSchema" xmlns:xs="http://www.w3.org/2001/XMLSchema" xmlns:p="http://schemas.microsoft.com/office/2006/metadata/properties" xmlns:ns2="55287ef3-d835-4936-bb6f-381c5a8f8fc4" xmlns:ns3="7c8b3300-50d1-4f26-8e59-ad83ef287955" targetNamespace="http://schemas.microsoft.com/office/2006/metadata/properties" ma:root="true" ma:fieldsID="2f58115d231ae33be98b0677566ae6cb" ns2:_="" ns3:_="">
    <xsd:import namespace="55287ef3-d835-4936-bb6f-381c5a8f8fc4"/>
    <xsd:import namespace="7c8b3300-50d1-4f26-8e59-ad83ef2879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87ef3-d835-4936-bb6f-381c5a8f8f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b3300-50d1-4f26-8e59-ad83ef2879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4145c4-41c7-4a8b-a70d-51bc93dc9323}" ma:internalName="TaxCatchAll" ma:showField="CatchAllData" ma:web="7c8b3300-50d1-4f26-8e59-ad83ef2879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8b3300-50d1-4f26-8e59-ad83ef287955" xsi:nil="true"/>
    <lcf76f155ced4ddcb4097134ff3c332f xmlns="55287ef3-d835-4936-bb6f-381c5a8f8f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C0789-DCB0-4AC5-96EB-AEB7455BC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87ef3-d835-4936-bb6f-381c5a8f8fc4"/>
    <ds:schemaRef ds:uri="7c8b3300-50d1-4f26-8e59-ad83ef2879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0CF0EA-5EC6-4CDD-9B39-8F1799D7A3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8A838F-E986-4369-8444-1F780A5A4D4F}">
  <ds:schemaRefs>
    <ds:schemaRef ds:uri="http://www.w3.org/XML/1998/namespace"/>
    <ds:schemaRef ds:uri="http://purl.org/dc/dcmitype/"/>
    <ds:schemaRef ds:uri="http://schemas.microsoft.com/office/2006/documentManagement/types"/>
    <ds:schemaRef ds:uri="55287ef3-d835-4936-bb6f-381c5a8f8fc4"/>
    <ds:schemaRef ds:uri="7c8b3300-50d1-4f26-8e59-ad83ef287955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 de Precios</vt:lpstr>
      <vt:lpstr>MESES</vt:lpstr>
      <vt:lpstr>'Lista de Precios'!Área_de_impresión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ANTILEO</dc:creator>
  <cp:lastModifiedBy>MAYKOL ARDILES AVALOS</cp:lastModifiedBy>
  <cp:lastPrinted>2026-04-17T22:33:35Z</cp:lastPrinted>
  <dcterms:created xsi:type="dcterms:W3CDTF">2017-09-04T13:56:39Z</dcterms:created>
  <dcterms:modified xsi:type="dcterms:W3CDTF">2026-06-12T17:14:17Z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0x010100EF16AF0FE4E9F64C9FC9589AA365C574</vt:lpwstr>
  </property>
  <property fmtid="{D5CDD505-2E9C-101B-9397-08002B2CF9AE}" pid="3" name="MSIP_Label_725ca717-11da-4935-b601-f527b9741f2e_Enabled">
    <vt:lpwstr>true</vt:lpwstr>
  </property>
  <property fmtid="{D5CDD505-2E9C-101B-9397-08002B2CF9AE}" pid="4" name="MSIP_Label_725ca717-11da-4935-b601-f527b9741f2e_SetDate">
    <vt:lpwstr>2024-11-04T19:07:31Z</vt:lpwstr>
  </property>
  <property fmtid="{D5CDD505-2E9C-101B-9397-08002B2CF9AE}" pid="5" name="MSIP_Label_725ca717-11da-4935-b601-f527b9741f2e_Method">
    <vt:lpwstr>Standard</vt:lpwstr>
  </property>
  <property fmtid="{D5CDD505-2E9C-101B-9397-08002B2CF9AE}" pid="6" name="MSIP_Label_725ca717-11da-4935-b601-f527b9741f2e_Name">
    <vt:lpwstr>C2 - Internal</vt:lpwstr>
  </property>
  <property fmtid="{D5CDD505-2E9C-101B-9397-08002B2CF9AE}" pid="7" name="MSIP_Label_725ca717-11da-4935-b601-f527b9741f2e_SiteId">
    <vt:lpwstr>d852d5cd-724c-4128-8812-ffa5db3f8507</vt:lpwstr>
  </property>
  <property fmtid="{D5CDD505-2E9C-101B-9397-08002B2CF9AE}" pid="8" name="MSIP_Label_725ca717-11da-4935-b601-f527b9741f2e_ActionId">
    <vt:lpwstr>26e714bb-6bd8-4c68-a7ad-7ca96f3056ae</vt:lpwstr>
  </property>
  <property fmtid="{D5CDD505-2E9C-101B-9397-08002B2CF9AE}" pid="9" name="MSIP_Label_725ca717-11da-4935-b601-f527b9741f2e_ContentBits">
    <vt:lpwstr>0</vt:lpwstr>
  </property>
  <property fmtid="{D5CDD505-2E9C-101B-9397-08002B2CF9AE}" pid="10" name="MediaServiceImageTags">
    <vt:lpwstr/>
  </property>
</Properties>
</file>