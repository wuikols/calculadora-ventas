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hiftup.sharepoint.com/sites/SALESMANAGEMENT/Shared Documents/General/ACCIONES COMERCIALES/LISTAS DE PRECIO/2026/6. Junio/"/>
    </mc:Choice>
  </mc:AlternateContent>
  <xr:revisionPtr revIDLastSave="9" documentId="8_{6F93AE31-EAE9-4EF7-B92A-F615FBB2D5B4}" xr6:coauthVersionLast="47" xr6:coauthVersionMax="47" xr10:uidLastSave="{52035915-598F-4B99-8AFB-5DE70E3846DA}"/>
  <bookViews>
    <workbookView xWindow="-120" yWindow="-120" windowWidth="29040" windowHeight="15720" xr2:uid="{00000000-000D-0000-FFFF-FFFF00000000}"/>
  </bookViews>
  <sheets>
    <sheet name="PASAJEROS" sheetId="15" r:id="rId1"/>
    <sheet name="COMERCIALES" sheetId="26" r:id="rId2"/>
    <sheet name="MESES" sheetId="29" state="hidden" r:id="rId3"/>
  </sheets>
  <externalReferences>
    <externalReference r:id="rId4"/>
  </externalReferences>
  <definedNames>
    <definedName name="_xlnm._FilterDatabase" localSheetId="1" hidden="1">COMERCIALES!$C$9:$AE$10</definedName>
    <definedName name="_xlnm._FilterDatabase" localSheetId="0" hidden="1">PASAJEROS!$C$9:$Y$15</definedName>
    <definedName name="_xlnm.Print_Area" localSheetId="1">COMERCIALES!$A$1:$AE$12</definedName>
    <definedName name="_xlnm.Print_Area" localSheetId="0">PASAJEROS!$A$1:$Y$38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2" i="15" l="1"/>
  <c r="AC32" i="15"/>
  <c r="AB32" i="15"/>
  <c r="AA32" i="15"/>
  <c r="AD23" i="15"/>
  <c r="AC23" i="15"/>
  <c r="AB23" i="15"/>
  <c r="AA23" i="15"/>
  <c r="AD22" i="15"/>
  <c r="AC22" i="15"/>
  <c r="AB22" i="15"/>
  <c r="AA22" i="15"/>
  <c r="AA36" i="15" l="1"/>
  <c r="AA35" i="15"/>
  <c r="AA29" i="15"/>
  <c r="AA28" i="15"/>
  <c r="AA27" i="15"/>
  <c r="AA26" i="15"/>
  <c r="AA19" i="15"/>
  <c r="AA18" i="15"/>
  <c r="AA17" i="15"/>
  <c r="AA14" i="15"/>
  <c r="AA13" i="15"/>
  <c r="AA12" i="15"/>
  <c r="AA37" i="15" l="1"/>
  <c r="H19" i="15" l="1"/>
  <c r="AG19" i="15" l="1"/>
  <c r="AH19" i="15" s="1"/>
  <c r="O7" i="26" l="1"/>
  <c r="E4" i="26" l="1"/>
  <c r="E3" i="26"/>
  <c r="AG12" i="26" l="1"/>
  <c r="H23" i="15"/>
  <c r="H22" i="15"/>
  <c r="AG23" i="15" l="1"/>
  <c r="AH23" i="15" s="1"/>
  <c r="AG22" i="15"/>
  <c r="AH22" i="15" s="1"/>
  <c r="AG28" i="15" l="1"/>
  <c r="AH28" i="15" s="1"/>
  <c r="H28" i="15"/>
  <c r="H14" i="15" l="1"/>
  <c r="AG14" i="15"/>
  <c r="AH14" i="15" s="1"/>
  <c r="H29" i="15"/>
  <c r="AG29" i="15"/>
  <c r="AH29" i="15" s="1"/>
  <c r="AG32" i="15"/>
  <c r="AH32" i="15" s="1"/>
  <c r="H32" i="15"/>
  <c r="H26" i="15"/>
  <c r="AG26" i="15"/>
  <c r="AH26" i="15" s="1"/>
  <c r="AG35" i="15"/>
  <c r="AH35" i="15" s="1"/>
  <c r="H35" i="15"/>
  <c r="AG27" i="15"/>
  <c r="AH27" i="15" s="1"/>
  <c r="H27" i="15"/>
  <c r="AG12" i="15"/>
  <c r="AH12" i="15" s="1"/>
  <c r="H12" i="15"/>
  <c r="G12" i="26"/>
  <c r="H13" i="15"/>
  <c r="AG13" i="15"/>
  <c r="AH13" i="15" s="1"/>
  <c r="H37" i="15" l="1"/>
  <c r="AG37" i="15"/>
  <c r="AH37" i="15" s="1"/>
  <c r="H36" i="15"/>
  <c r="AG36" i="15"/>
  <c r="AH36" i="15" s="1"/>
  <c r="AL12" i="26"/>
  <c r="AM12" i="26" s="1"/>
  <c r="Y32" i="15" l="1"/>
  <c r="S32" i="15"/>
  <c r="S23" i="15" l="1"/>
  <c r="M22" i="15"/>
  <c r="K22" i="15"/>
  <c r="L22" i="15" s="1"/>
  <c r="S22" i="15"/>
  <c r="Y23" i="15"/>
  <c r="M32" i="15"/>
  <c r="K32" i="15"/>
  <c r="L32" i="15" s="1"/>
  <c r="Y22" i="15"/>
  <c r="P22" i="15" l="1"/>
  <c r="V22" i="15"/>
  <c r="W32" i="15"/>
  <c r="Q32" i="15"/>
  <c r="M23" i="15"/>
  <c r="K23" i="15"/>
  <c r="L23" i="15" s="1"/>
  <c r="P32" i="15"/>
  <c r="V32" i="15"/>
  <c r="W22" i="15"/>
  <c r="Q22" i="15"/>
  <c r="R22" i="15" l="1"/>
  <c r="X22" i="15"/>
  <c r="R32" i="15"/>
  <c r="Q23" i="15"/>
  <c r="W23" i="15"/>
  <c r="P23" i="15"/>
  <c r="V23" i="15"/>
  <c r="X32" i="15"/>
  <c r="X23" i="15" l="1"/>
  <c r="R23" i="15"/>
  <c r="AG18" i="15" l="1"/>
  <c r="AH18" i="15" s="1"/>
  <c r="H18" i="15"/>
  <c r="H17" i="15"/>
  <c r="AG17" i="15"/>
  <c r="AH17" i="15" s="1"/>
  <c r="M17" i="15" l="1"/>
  <c r="AB17" i="15" s="1"/>
  <c r="K17" i="15"/>
  <c r="L17" i="15" l="1"/>
  <c r="V17" i="15"/>
  <c r="P17" i="15"/>
  <c r="Q17" i="15" l="1"/>
  <c r="W17" i="15"/>
  <c r="M27" i="15" l="1"/>
  <c r="AB27" i="15" s="1"/>
  <c r="K27" i="15"/>
  <c r="L27" i="15" s="1"/>
  <c r="Q27" i="15" l="1"/>
  <c r="W27" i="15"/>
  <c r="V27" i="15"/>
  <c r="P27" i="15"/>
  <c r="Y17" i="15" l="1"/>
  <c r="AD17" i="15" s="1"/>
  <c r="X17" i="15"/>
  <c r="R17" i="15"/>
  <c r="S17" i="15"/>
  <c r="AC17" i="15" s="1"/>
  <c r="Y27" i="15" l="1"/>
  <c r="AD27" i="15" s="1"/>
  <c r="X27" i="15"/>
  <c r="Y28" i="15"/>
  <c r="AD28" i="15" s="1"/>
  <c r="S28" i="15"/>
  <c r="AC28" i="15" s="1"/>
  <c r="Y18" i="15" l="1"/>
  <c r="AD18" i="15" s="1"/>
  <c r="S18" i="15"/>
  <c r="AC18" i="15" s="1"/>
  <c r="Y29" i="15"/>
  <c r="AD29" i="15" s="1"/>
  <c r="R27" i="15"/>
  <c r="S27" i="15"/>
  <c r="AC27" i="15" s="1"/>
  <c r="Y14" i="15"/>
  <c r="AD14" i="15" s="1"/>
  <c r="Y19" i="15"/>
  <c r="AD19" i="15" s="1"/>
  <c r="S14" i="15"/>
  <c r="AC14" i="15" s="1"/>
  <c r="S29" i="15"/>
  <c r="AC29" i="15" s="1"/>
  <c r="S19" i="15"/>
  <c r="AC19" i="15" s="1"/>
  <c r="Y13" i="15" l="1"/>
  <c r="AD13" i="15" s="1"/>
  <c r="S35" i="15"/>
  <c r="AC35" i="15" s="1"/>
  <c r="Y26" i="15"/>
  <c r="AD26" i="15" s="1"/>
  <c r="Y35" i="15"/>
  <c r="AD35" i="15" s="1"/>
  <c r="S12" i="15"/>
  <c r="AC12" i="15" s="1"/>
  <c r="K26" i="15"/>
  <c r="M26" i="15"/>
  <c r="AB26" i="15" s="1"/>
  <c r="M29" i="15"/>
  <c r="AB29" i="15" s="1"/>
  <c r="K29" i="15"/>
  <c r="L29" i="15" s="1"/>
  <c r="Y12" i="15"/>
  <c r="AD12" i="15" s="1"/>
  <c r="S26" i="15"/>
  <c r="AC26" i="15" s="1"/>
  <c r="S13" i="15"/>
  <c r="AC13" i="15" s="1"/>
  <c r="V29" i="15" l="1"/>
  <c r="P29" i="15"/>
  <c r="Y36" i="15"/>
  <c r="M12" i="15"/>
  <c r="AB12" i="15" s="1"/>
  <c r="K12" i="15"/>
  <c r="L12" i="15"/>
  <c r="M18" i="15"/>
  <c r="AB18" i="15" s="1"/>
  <c r="K18" i="15"/>
  <c r="K14" i="15"/>
  <c r="M14" i="15"/>
  <c r="AB14" i="15" s="1"/>
  <c r="Y37" i="15"/>
  <c r="AP12" i="26"/>
  <c r="J12" i="26"/>
  <c r="N12" i="26" s="1"/>
  <c r="O12" i="26" s="1"/>
  <c r="AH12" i="26" s="1"/>
  <c r="L12" i="26"/>
  <c r="S12" i="26" s="1"/>
  <c r="Q12" i="26"/>
  <c r="V12" i="26" s="1"/>
  <c r="W12" i="26" s="1"/>
  <c r="AI12" i="26" s="1"/>
  <c r="AR12" i="26"/>
  <c r="K19" i="15"/>
  <c r="M19" i="15"/>
  <c r="AB19" i="15" s="1"/>
  <c r="S37" i="15"/>
  <c r="K28" i="15"/>
  <c r="M28" i="15"/>
  <c r="AB28" i="15" s="1"/>
  <c r="L26" i="15"/>
  <c r="V26" i="15"/>
  <c r="P26" i="15"/>
  <c r="K13" i="15"/>
  <c r="L13" i="15" s="1"/>
  <c r="M13" i="15"/>
  <c r="AB13" i="15" s="1"/>
  <c r="S36" i="15"/>
  <c r="M35" i="15"/>
  <c r="AB35" i="15" s="1"/>
  <c r="K35" i="15"/>
  <c r="W29" i="15"/>
  <c r="X29" i="15" s="1"/>
  <c r="Q29" i="15"/>
  <c r="R29" i="15" s="1"/>
  <c r="M12" i="26" l="1"/>
  <c r="T12" i="26" s="1"/>
  <c r="U12" i="26" s="1"/>
  <c r="M37" i="15"/>
  <c r="K37" i="15"/>
  <c r="AC36" i="15"/>
  <c r="AC37" i="15" s="1"/>
  <c r="L14" i="15"/>
  <c r="P14" i="15"/>
  <c r="V14" i="15"/>
  <c r="AD36" i="15"/>
  <c r="AD37" i="15" s="1"/>
  <c r="P13" i="15"/>
  <c r="V13" i="15"/>
  <c r="P12" i="15"/>
  <c r="V12" i="15"/>
  <c r="L35" i="15"/>
  <c r="P35" i="15"/>
  <c r="V35" i="15"/>
  <c r="L19" i="15"/>
  <c r="V19" i="15"/>
  <c r="P19" i="15"/>
  <c r="L28" i="15"/>
  <c r="V28" i="15"/>
  <c r="P28" i="15"/>
  <c r="L18" i="15"/>
  <c r="P18" i="15"/>
  <c r="V18" i="15"/>
  <c r="W26" i="15"/>
  <c r="X26" i="15" s="1"/>
  <c r="Q26" i="15"/>
  <c r="R26" i="15" s="1"/>
  <c r="M36" i="15"/>
  <c r="K36" i="15"/>
  <c r="L36" i="15" s="1"/>
  <c r="Q13" i="15"/>
  <c r="R13" i="15" s="1"/>
  <c r="W13" i="15"/>
  <c r="X13" i="15" s="1"/>
  <c r="Q12" i="15"/>
  <c r="W12" i="15"/>
  <c r="X12" i="15" s="1"/>
  <c r="R12" i="15" l="1"/>
  <c r="L37" i="15"/>
  <c r="P37" i="15"/>
  <c r="V37" i="15"/>
  <c r="W14" i="15"/>
  <c r="X14" i="15" s="1"/>
  <c r="Q14" i="15"/>
  <c r="R14" i="15" s="1"/>
  <c r="Q18" i="15"/>
  <c r="R18" i="15" s="1"/>
  <c r="W18" i="15"/>
  <c r="X18" i="15" s="1"/>
  <c r="Q36" i="15"/>
  <c r="W36" i="15"/>
  <c r="P36" i="15"/>
  <c r="V36" i="15"/>
  <c r="AB36" i="15"/>
  <c r="AB37" i="15" s="1"/>
  <c r="W28" i="15"/>
  <c r="X28" i="15" s="1"/>
  <c r="Q28" i="15"/>
  <c r="R28" i="15" s="1"/>
  <c r="Q35" i="15"/>
  <c r="R35" i="15" s="1"/>
  <c r="W35" i="15"/>
  <c r="X35" i="15" s="1"/>
  <c r="Q19" i="15"/>
  <c r="R19" i="15" s="1"/>
  <c r="W19" i="15"/>
  <c r="X19" i="15" s="1"/>
  <c r="R36" i="15" l="1"/>
  <c r="X36" i="15"/>
  <c r="Q37" i="15"/>
  <c r="R37" i="15" s="1"/>
  <c r="W37" i="15"/>
  <c r="X37" i="15" s="1"/>
</calcChain>
</file>

<file path=xl/sharedStrings.xml><?xml version="1.0" encoding="utf-8"?>
<sst xmlns="http://schemas.openxmlformats.org/spreadsheetml/2006/main" count="184" uniqueCount="122">
  <si>
    <t xml:space="preserve"> </t>
  </si>
  <si>
    <t>Margen Red</t>
  </si>
  <si>
    <t>Costo CE</t>
  </si>
  <si>
    <t>Factura Neta</t>
  </si>
  <si>
    <t>COD EDS</t>
  </si>
  <si>
    <t>VEHÍCULOS PASAJEROS</t>
  </si>
  <si>
    <t>LCDV</t>
  </si>
  <si>
    <t>CIT</t>
  </si>
  <si>
    <t>CORSA MCA</t>
  </si>
  <si>
    <t>NEW CORSA MCA EDITION 1.2T AT8</t>
  </si>
  <si>
    <t>1GJOA5HL71J0A0F0018</t>
  </si>
  <si>
    <t>OP9007E60323S00-0</t>
  </si>
  <si>
    <t>NEW CORSA MCA GS 1.2T AT8</t>
  </si>
  <si>
    <t>1GJOA5TL71J0A0G0000</t>
  </si>
  <si>
    <t>MOKKA</t>
  </si>
  <si>
    <t>MOKKA ELEGANCE 1.2T AT8</t>
  </si>
  <si>
    <t>1GQOSYKI21JRA033031</t>
  </si>
  <si>
    <t>MOKKA GS 1.2T AT8</t>
  </si>
  <si>
    <t>1GQOSYHI21JRA033109</t>
  </si>
  <si>
    <t>GRANDLAND</t>
  </si>
  <si>
    <t>GRANDLAND GS 1.2T MT6</t>
  </si>
  <si>
    <t>1GUOSYKNPKJ0TPH0000</t>
  </si>
  <si>
    <t>VEHÍCULOS COMERCIALES</t>
  </si>
  <si>
    <t>N/A</t>
  </si>
  <si>
    <t>OP9014E60323S00-9</t>
  </si>
  <si>
    <t>OP9510E60524S01-8</t>
  </si>
  <si>
    <t>LISTA DE PRECIOS VEHÍCULOS NUEVOS</t>
  </si>
  <si>
    <t>OP8838E61122S00-5</t>
  </si>
  <si>
    <t>TODO MEDIO DE PAGO</t>
  </si>
  <si>
    <t>CRÉDITO CONVENCIONAL</t>
  </si>
  <si>
    <t>COMPRA INTELIGENTE</t>
  </si>
  <si>
    <t>PRECIO LISTA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</si>
  <si>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</si>
  <si>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</si>
  <si>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</si>
  <si>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</si>
  <si>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</si>
  <si>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</si>
  <si>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</si>
  <si>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</si>
  <si>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</si>
  <si>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</si>
  <si>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</si>
  <si>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</si>
  <si>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Tope CE</t>
  </si>
  <si>
    <t>TMP</t>
  </si>
  <si>
    <t>T1</t>
  </si>
  <si>
    <t>CC</t>
  </si>
  <si>
    <t>T2</t>
  </si>
  <si>
    <t>NEW CORSA MCA EDITION 1.2 MT6</t>
  </si>
  <si>
    <t>MOKKA MCA EDITION 1.2T MT6</t>
  </si>
  <si>
    <t>MOKKA MCA EDITION 1.2T AT8</t>
  </si>
  <si>
    <t>MOKKA MCA EDITION PLUS 1.2T AT8</t>
  </si>
  <si>
    <t>MOKKA MCA GS 1.2T AT8</t>
  </si>
  <si>
    <t>1GJOA5HL6KJRA0H0178</t>
  </si>
  <si>
    <t>1GQOSYKM61JRA050261</t>
  </si>
  <si>
    <t>1GQOSYKP9KJRA050183</t>
  </si>
  <si>
    <t>OP9014E61124S01-3</t>
  </si>
  <si>
    <t>OP9015E61124S01-9</t>
  </si>
  <si>
    <t>MOKKA MCA</t>
  </si>
  <si>
    <t>OP9883E60325S00-6</t>
  </si>
  <si>
    <t>1GQOSYKM61JRA050000</t>
  </si>
  <si>
    <t>1GQOSYHM61JRA050179</t>
  </si>
  <si>
    <t>COMBO MCA LITE 1.5 TD</t>
  </si>
  <si>
    <t>NEW GRANDLAND</t>
  </si>
  <si>
    <t>New Grandland GS Hybrid</t>
  </si>
  <si>
    <t>New Grandland GS Plus Hybrid</t>
  </si>
  <si>
    <t>OP9820E60125S00-4</t>
  </si>
  <si>
    <t>1GO6SYUJH7NXA0B0000</t>
  </si>
  <si>
    <t>1GO6SYUJH7NXA0B0153</t>
  </si>
  <si>
    <t>1GO6SYUJH7NXA0B0343</t>
  </si>
  <si>
    <t>2GK91C4MNKJRA080302</t>
  </si>
  <si>
    <t>Corsa Edition Gasolina 100HP MT</t>
  </si>
  <si>
    <t>Corsa Edition Gasolina 100HP AT</t>
  </si>
  <si>
    <t>Corsa GS Gasolina 100HP AT</t>
  </si>
  <si>
    <t>Mokka Elegance Gasolina 130HP AT</t>
  </si>
  <si>
    <t>Mokka MCA Edition Plus Gasolina 130HP MT</t>
  </si>
  <si>
    <t>Mokka MCA Edition Gasolina 130HP AT</t>
  </si>
  <si>
    <t>Mokka MCA Edition Plus Gasolina 130HP AT</t>
  </si>
  <si>
    <t>Mokka MCA GS Plus Gasolina 130HP AT</t>
  </si>
  <si>
    <t>Grandland GS Gasolina 130HP MT</t>
  </si>
  <si>
    <t>Mokka GS Gasolina 130HP AT</t>
  </si>
  <si>
    <t>New Grandland GS Hybrid 136HP AT</t>
  </si>
  <si>
    <t>New Grandland GS Line Hybrid 136HP AT</t>
  </si>
  <si>
    <t>New Grandland GS Plus Hybrid 136HP AT</t>
  </si>
  <si>
    <t>Combo Lite Diesel 100HP MT</t>
  </si>
  <si>
    <t>COMBO MCA</t>
  </si>
  <si>
    <t>NEW CROSSLAND</t>
  </si>
  <si>
    <t>New Crossland GS Hybrid</t>
  </si>
  <si>
    <t>New Crossland GS Hybrid 7P</t>
  </si>
  <si>
    <t>1GO3SUPJHWGLA0B0346</t>
  </si>
  <si>
    <t>New Crossland GS 5P Hybrid 136 HP AT</t>
  </si>
  <si>
    <t>New Crossland GS 7P Hybrid 136 HP AT</t>
  </si>
  <si>
    <t>OP9928E60425S00-9</t>
  </si>
  <si>
    <t>OP9928E60425S01-2</t>
  </si>
  <si>
    <t>New Crossland GS Eletric</t>
  </si>
  <si>
    <t>New Crossland GS Electric</t>
  </si>
  <si>
    <t>1GO3SUPZFFGLA0B0171</t>
  </si>
  <si>
    <t>1GO3SUPJHWGLA0B0171</t>
  </si>
  <si>
    <t>OP9757EL1224S00-6</t>
  </si>
  <si>
    <t>OV24</t>
  </si>
  <si>
    <t>OV64</t>
  </si>
  <si>
    <t>∆ Precio Lista M-1</t>
  </si>
  <si>
    <t>∆ Precio TMP M-1</t>
  </si>
  <si>
    <t>DESCUENTOS B2B</t>
  </si>
  <si>
    <t>SIN IVA</t>
  </si>
  <si>
    <t>CON IVA</t>
  </si>
  <si>
    <t/>
  </si>
  <si>
    <t>BONO CON IVA</t>
  </si>
  <si>
    <t>APORTE RED</t>
  </si>
  <si>
    <t>APORTE STELLANTIS</t>
  </si>
  <si>
    <t>PRECIO PROMO</t>
  </si>
  <si>
    <t>APORTE FINANCIERA</t>
  </si>
  <si>
    <t>BONO SIN IVA</t>
  </si>
  <si>
    <t>APORTE CE</t>
  </si>
  <si>
    <t>PRECIO CON IVA</t>
  </si>
  <si>
    <t>PRECIO SIN IVA</t>
  </si>
  <si>
    <t>∆ Precio 
TMP M-1</t>
  </si>
  <si>
    <t>∆ Precio 
CC M-1</t>
  </si>
  <si>
    <t>∆ Precio CC
M-1</t>
  </si>
  <si>
    <t>∆ Precio CI
M-1</t>
  </si>
  <si>
    <t>Nº 06 - 2026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</si>
</sst>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[$$-340A]\ #,##0.00"/>
    <numFmt numFmtId="165" formatCode="[$$-340A]\ #,##0"/>
    <numFmt numFmtId="166" formatCode="0.0%"/>
    <numFmt numFmtId="167" formatCode="[$-340A]d&quot; de &quot;mmmm&quot; de &quot;yyyy;@"/>
    <numFmt numFmtId="168" formatCode="_-* #,##0\ _P_t_s_-;\-* #,##0\ _P_t_s_-;_-* &quot;-&quot;??\ _P_t_s_-;_-@_-"/>
    <numFmt numFmtId="169" formatCode="\+&quot;$&quot;#,##0;\-&quot;$&quot;#,##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name val="Opel Next Light"/>
      <family val="2"/>
    </font>
    <font>
      <sz val="10"/>
      <name val="Arial"/>
      <family val="2"/>
    </font>
    <font>
      <sz val="10"/>
      <name val="MS Sans Serif"/>
      <family val="2"/>
    </font>
    <font>
      <sz val="10"/>
      <name val="Univers"/>
      <family val="2"/>
    </font>
    <font>
      <b/>
      <sz val="14"/>
      <name val="Opel Next Light"/>
      <family val="2"/>
    </font>
    <font>
      <sz val="14"/>
      <color indexed="8"/>
      <name val="Opel Next Light"/>
      <family val="2"/>
    </font>
    <font>
      <sz val="14"/>
      <name val="Opel Next Light"/>
      <family val="2"/>
    </font>
    <font>
      <sz val="14"/>
      <color theme="1"/>
      <name val="Calibri"/>
      <family val="2"/>
      <scheme val="minor"/>
    </font>
    <font>
      <b/>
      <sz val="14"/>
      <color indexed="8"/>
      <name val="Opel Next Light"/>
      <family val="2"/>
    </font>
    <font>
      <sz val="14"/>
      <color theme="1"/>
      <name val="Opel Next Light"/>
      <family val="2"/>
    </font>
    <font>
      <b/>
      <sz val="14"/>
      <color theme="0"/>
      <name val="Opel Next Light"/>
      <family val="2"/>
    </font>
    <font>
      <b/>
      <sz val="14"/>
      <color theme="1"/>
      <name val="Opel Next Light"/>
      <family val="2"/>
    </font>
    <font>
      <b/>
      <sz val="14"/>
      <color theme="8"/>
      <name val="Opel Next Light"/>
      <family val="2"/>
    </font>
    <font>
      <sz val="14"/>
      <color theme="8"/>
      <name val="Opel Next Light"/>
      <family val="2"/>
    </font>
    <font>
      <sz val="14"/>
      <color rgb="FF0070C0"/>
      <name val="Opel Next Light"/>
      <family val="2"/>
    </font>
    <font>
      <b/>
      <sz val="14"/>
      <color rgb="FFC00000"/>
      <name val="Opel Next Light"/>
      <family val="2"/>
    </font>
    <font>
      <b/>
      <sz val="16"/>
      <color theme="0"/>
      <name val="Opel Next Light"/>
      <family val="2"/>
    </font>
    <font>
      <sz val="16"/>
      <color indexed="8"/>
      <name val="Opel Next Light"/>
      <family val="2"/>
    </font>
    <font>
      <b/>
      <sz val="18"/>
      <name val="Opel Next Light"/>
      <family val="2"/>
    </font>
    <font>
      <sz val="18"/>
      <color indexed="8"/>
      <name val="Opel Next Light"/>
      <family val="2"/>
    </font>
    <font>
      <sz val="16"/>
      <color theme="1"/>
      <name val="Opel Next Light"/>
      <family val="2"/>
    </font>
    <font>
      <b/>
      <sz val="16"/>
      <color indexed="8"/>
      <name val="Opel Next Light"/>
      <family val="2"/>
    </font>
    <font>
      <sz val="16"/>
      <color theme="1"/>
      <name val="Calibri"/>
      <family val="2"/>
      <scheme val="minor"/>
    </font>
    <font>
      <b/>
      <sz val="16"/>
      <color theme="1"/>
      <name val="Opel Next Light"/>
      <family val="2"/>
    </font>
    <font>
      <sz val="8"/>
      <name val="Calibri"/>
      <family val="2"/>
      <scheme val="minor"/>
    </font>
    <font>
      <b/>
      <sz val="14"/>
      <name val="Peugeot"/>
    </font>
    <font>
      <sz val="14"/>
      <name val="Peugeot"/>
    </font>
    <font>
      <sz val="14"/>
      <color theme="0"/>
      <name val="Opel Next Light"/>
      <family val="2"/>
    </font>
    <font>
      <b/>
      <sz val="14"/>
      <color indexed="9"/>
      <name val="Opel Next Light"/>
      <family val="2"/>
    </font>
    <font>
      <b/>
      <sz val="12"/>
      <color theme="1"/>
      <name val="Opel Next Light"/>
      <family val="2"/>
    </font>
    <font>
      <b/>
      <sz val="14"/>
      <color theme="2" tint="-0.749992370372631"/>
      <name val="Opel Next Light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7FF14"/>
        <bgColor indexed="64"/>
      </patternFill>
    </fill>
  </fills>
  <borders count="2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auto="1"/>
      </left>
      <right style="medium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theme="0"/>
      </left>
      <right/>
      <top style="thin">
        <color theme="0"/>
      </top>
      <bottom style="thin">
        <color theme="0"/>
      </bottom>
      <diagonal/>
    </border>
    <border>
      <left/>
      <right style="medium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medium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theme="0"/>
      </left>
      <right style="medium">
        <color theme="0"/>
      </right>
      <top/>
      <bottom style="medium">
        <color theme="0"/>
      </bottom>
      <diagonal/>
    </border>
    <border>
      <left/>
      <right style="thin">
        <color theme="0"/>
      </right>
      <top/>
      <bottom/>
      <diagonal/>
    </border>
    <border>
      <left style="medium">
        <color theme="0"/>
      </left>
      <right style="thin">
        <color theme="0"/>
      </right>
      <top style="medium">
        <color theme="0"/>
      </top>
      <bottom/>
      <diagonal/>
    </border>
    <border>
      <left style="medium">
        <color theme="0"/>
      </left>
      <right style="thin">
        <color theme="0"/>
      </right>
      <top/>
      <bottom style="medium">
        <color theme="0"/>
      </bottom>
      <diagonal/>
    </border>
    <border>
      <left style="medium">
        <color theme="0"/>
      </left>
      <right/>
      <top/>
      <bottom/>
      <diagonal/>
    </border>
  </borders>
  <cellStyleXfs count="14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3" fillId="0" borderId="0"/>
    <xf numFmtId="41" fontId="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3" fillId="0" borderId="0"/>
    <xf numFmtId="0" fontId="3" fillId="0" borderId="0"/>
    <xf numFmtId="43" fontId="1" fillId="0" borderId="0" applyFont="0" applyFill="0" applyBorder="0" applyAlignment="0" applyProtection="0"/>
  </cellStyleXfs>
  <cellXfs count="194">
    <xf numFmtId="0" fontId="0" fillId="0" borderId="0" xfId="0"/>
    <xf numFmtId="0" fontId="2" fillId="2" borderId="0" xfId="0" applyFont="1" applyFill="1" applyAlignment="1">
      <alignment vertical="center"/>
    </xf>
    <xf numFmtId="0" fontId="7" fillId="3" borderId="0" xfId="0" applyFont="1" applyFill="1" applyAlignment="1">
      <alignment horizontal="center" vertical="center"/>
    </xf>
    <xf numFmtId="1" fontId="7" fillId="3" borderId="0" xfId="0" applyNumberFormat="1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7" fillId="0" borderId="2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8" fillId="0" borderId="0" xfId="0" applyFont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6" fillId="2" borderId="0" xfId="0" quotePrefix="1" applyFont="1" applyFill="1" applyAlignment="1">
      <alignment vertical="center" wrapText="1"/>
    </xf>
    <xf numFmtId="0" fontId="6" fillId="2" borderId="0" xfId="0" quotePrefix="1" applyFont="1" applyFill="1" applyAlignment="1">
      <alignment horizontal="center" vertical="center" wrapText="1"/>
    </xf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11" fillId="0" borderId="0" xfId="0" applyFont="1"/>
    <xf numFmtId="1" fontId="7" fillId="3" borderId="0" xfId="0" applyNumberFormat="1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65" fontId="12" fillId="0" borderId="0" xfId="11" applyNumberFormat="1" applyFont="1" applyAlignment="1">
      <alignment horizontal="center" vertical="center" wrapText="1"/>
    </xf>
    <xf numFmtId="9" fontId="12" fillId="0" borderId="0" xfId="2" applyFont="1" applyFill="1" applyBorder="1" applyAlignment="1" applyProtection="1">
      <alignment horizontal="center" vertical="center" wrapText="1"/>
    </xf>
    <xf numFmtId="42" fontId="13" fillId="0" borderId="0" xfId="10" applyFont="1" applyFill="1" applyBorder="1" applyAlignment="1">
      <alignment horizontal="center" vertical="center"/>
    </xf>
    <xf numFmtId="42" fontId="11" fillId="0" borderId="0" xfId="10" applyFont="1" applyFill="1" applyBorder="1" applyAlignment="1">
      <alignment horizontal="center" vertical="center"/>
    </xf>
    <xf numFmtId="42" fontId="6" fillId="0" borderId="0" xfId="10" applyFont="1" applyFill="1" applyBorder="1" applyAlignment="1">
      <alignment horizontal="center" vertical="center"/>
    </xf>
    <xf numFmtId="3" fontId="10" fillId="2" borderId="0" xfId="0" applyNumberFormat="1" applyFont="1" applyFill="1" applyAlignment="1">
      <alignment horizontal="center" vertical="center"/>
    </xf>
    <xf numFmtId="42" fontId="8" fillId="0" borderId="0" xfId="10" applyFont="1" applyFill="1" applyBorder="1" applyAlignment="1">
      <alignment horizontal="center" vertical="center"/>
    </xf>
    <xf numFmtId="9" fontId="6" fillId="0" borderId="0" xfId="2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/>
    </xf>
    <xf numFmtId="42" fontId="7" fillId="3" borderId="0" xfId="10" applyFont="1" applyFill="1" applyBorder="1" applyAlignment="1">
      <alignment vertical="center"/>
    </xf>
    <xf numFmtId="42" fontId="7" fillId="3" borderId="0" xfId="10" applyFont="1" applyFill="1" applyBorder="1" applyAlignment="1">
      <alignment horizontal="center" vertical="center"/>
    </xf>
    <xf numFmtId="41" fontId="6" fillId="2" borderId="0" xfId="1" applyFont="1" applyFill="1" applyBorder="1" applyAlignment="1">
      <alignment horizontal="left" vertical="center"/>
    </xf>
    <xf numFmtId="0" fontId="6" fillId="3" borderId="0" xfId="0" applyFont="1" applyFill="1" applyAlignment="1">
      <alignment vertical="center"/>
    </xf>
    <xf numFmtId="0" fontId="8" fillId="3" borderId="0" xfId="0" applyFont="1" applyFill="1" applyAlignment="1">
      <alignment horizontal="center" vertical="center"/>
    </xf>
    <xf numFmtId="41" fontId="8" fillId="3" borderId="0" xfId="1" applyFont="1" applyFill="1" applyBorder="1" applyAlignment="1">
      <alignment horizontal="center" vertical="center"/>
    </xf>
    <xf numFmtId="41" fontId="7" fillId="3" borderId="0" xfId="1" applyFont="1" applyFill="1" applyAlignment="1">
      <alignment vertical="center"/>
    </xf>
    <xf numFmtId="41" fontId="8" fillId="3" borderId="0" xfId="1" applyFont="1" applyFill="1" applyAlignment="1">
      <alignment vertical="center"/>
    </xf>
    <xf numFmtId="9" fontId="8" fillId="3" borderId="0" xfId="2" applyFont="1" applyFill="1" applyBorder="1" applyAlignment="1">
      <alignment horizontal="center" vertical="center"/>
    </xf>
    <xf numFmtId="0" fontId="8" fillId="3" borderId="0" xfId="0" applyFont="1" applyFill="1" applyAlignment="1">
      <alignment vertical="center"/>
    </xf>
    <xf numFmtId="0" fontId="20" fillId="2" borderId="0" xfId="0" quotePrefix="1" applyFont="1" applyFill="1" applyAlignment="1">
      <alignment vertical="center"/>
    </xf>
    <xf numFmtId="0" fontId="20" fillId="2" borderId="0" xfId="0" applyFont="1" applyFill="1" applyAlignment="1">
      <alignment vertical="center"/>
    </xf>
    <xf numFmtId="167" fontId="21" fillId="0" borderId="0" xfId="0" applyNumberFormat="1" applyFont="1" applyAlignment="1">
      <alignment horizontal="left" vertical="center"/>
    </xf>
    <xf numFmtId="0" fontId="12" fillId="4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vertical="center"/>
    </xf>
    <xf numFmtId="42" fontId="13" fillId="5" borderId="6" xfId="10" applyFont="1" applyFill="1" applyBorder="1" applyAlignment="1">
      <alignment horizontal="center" vertical="center"/>
    </xf>
    <xf numFmtId="0" fontId="11" fillId="0" borderId="6" xfId="0" applyFont="1" applyBorder="1"/>
    <xf numFmtId="42" fontId="11" fillId="5" borderId="6" xfId="10" applyFont="1" applyFill="1" applyBorder="1" applyAlignment="1">
      <alignment horizontal="center" vertical="center"/>
    </xf>
    <xf numFmtId="42" fontId="6" fillId="5" borderId="6" xfId="10" applyFont="1" applyFill="1" applyBorder="1" applyAlignment="1">
      <alignment horizontal="center" vertical="center"/>
    </xf>
    <xf numFmtId="3" fontId="10" fillId="2" borderId="6" xfId="0" applyNumberFormat="1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42" fontId="8" fillId="5" borderId="6" xfId="10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center" vertical="center" wrapText="1"/>
    </xf>
    <xf numFmtId="0" fontId="11" fillId="0" borderId="11" xfId="0" applyFont="1" applyBorder="1"/>
    <xf numFmtId="0" fontId="11" fillId="0" borderId="10" xfId="0" applyFont="1" applyBorder="1"/>
    <xf numFmtId="0" fontId="19" fillId="3" borderId="0" xfId="0" applyFont="1" applyFill="1" applyAlignment="1">
      <alignment horizontal="center" vertical="center"/>
    </xf>
    <xf numFmtId="0" fontId="22" fillId="0" borderId="9" xfId="0" applyFont="1" applyBorder="1"/>
    <xf numFmtId="0" fontId="2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" fontId="19" fillId="3" borderId="0" xfId="0" applyNumberFormat="1" applyFont="1" applyFill="1" applyAlignment="1">
      <alignment vertical="center"/>
    </xf>
    <xf numFmtId="0" fontId="19" fillId="3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9" fillId="0" borderId="0" xfId="0" applyFont="1"/>
    <xf numFmtId="0" fontId="8" fillId="5" borderId="6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vertical="center"/>
    </xf>
    <xf numFmtId="0" fontId="23" fillId="2" borderId="9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vertical="center"/>
    </xf>
    <xf numFmtId="0" fontId="12" fillId="4" borderId="8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/>
    </xf>
    <xf numFmtId="0" fontId="6" fillId="0" borderId="10" xfId="0" applyFont="1" applyBorder="1" applyAlignment="1">
      <alignment vertical="center"/>
    </xf>
    <xf numFmtId="0" fontId="6" fillId="2" borderId="10" xfId="0" applyFont="1" applyFill="1" applyBorder="1" applyAlignment="1">
      <alignment vertical="center"/>
    </xf>
    <xf numFmtId="42" fontId="9" fillId="3" borderId="0" xfId="10" applyFont="1" applyFill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2" borderId="13" xfId="0" applyFont="1" applyFill="1" applyBorder="1" applyAlignment="1">
      <alignment vertical="center"/>
    </xf>
    <xf numFmtId="0" fontId="11" fillId="0" borderId="13" xfId="0" applyFont="1" applyBorder="1"/>
    <xf numFmtId="0" fontId="7" fillId="0" borderId="13" xfId="0" applyFont="1" applyBorder="1" applyAlignment="1">
      <alignment vertical="center"/>
    </xf>
    <xf numFmtId="0" fontId="19" fillId="0" borderId="1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49" fontId="11" fillId="0" borderId="5" xfId="0" applyNumberFormat="1" applyFont="1" applyBorder="1" applyAlignment="1">
      <alignment horizontal="center" vertical="center"/>
    </xf>
    <xf numFmtId="49" fontId="11" fillId="2" borderId="5" xfId="0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vertical="center"/>
    </xf>
    <xf numFmtId="3" fontId="14" fillId="0" borderId="5" xfId="0" applyNumberFormat="1" applyFont="1" applyBorder="1" applyAlignment="1">
      <alignment horizontal="center" vertical="center"/>
    </xf>
    <xf numFmtId="0" fontId="11" fillId="0" borderId="5" xfId="0" applyFont="1" applyBorder="1"/>
    <xf numFmtId="3" fontId="15" fillId="0" borderId="5" xfId="0" applyNumberFormat="1" applyFont="1" applyBorder="1" applyAlignment="1">
      <alignment horizontal="center" vertical="center"/>
    </xf>
    <xf numFmtId="3" fontId="6" fillId="0" borderId="5" xfId="0" applyNumberFormat="1" applyFont="1" applyBorder="1" applyAlignment="1">
      <alignment horizontal="center" vertical="center"/>
    </xf>
    <xf numFmtId="3" fontId="16" fillId="0" borderId="5" xfId="0" applyNumberFormat="1" applyFont="1" applyBorder="1" applyAlignment="1">
      <alignment horizontal="center" vertical="center"/>
    </xf>
    <xf numFmtId="3" fontId="17" fillId="0" borderId="5" xfId="0" applyNumberFormat="1" applyFont="1" applyBorder="1" applyAlignment="1">
      <alignment horizontal="center" vertical="center"/>
    </xf>
    <xf numFmtId="3" fontId="10" fillId="2" borderId="5" xfId="0" applyNumberFormat="1" applyFont="1" applyFill="1" applyBorder="1" applyAlignment="1">
      <alignment horizontal="center" vertical="center"/>
    </xf>
    <xf numFmtId="3" fontId="8" fillId="0" borderId="5" xfId="0" applyNumberFormat="1" applyFont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6" fillId="2" borderId="3" xfId="0" quotePrefix="1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41" fontId="6" fillId="2" borderId="3" xfId="1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7" fillId="3" borderId="0" xfId="11" applyFont="1" applyFill="1" applyAlignment="1">
      <alignment horizontal="center" vertical="center" wrapText="1"/>
    </xf>
    <xf numFmtId="166" fontId="28" fillId="3" borderId="0" xfId="2" applyNumberFormat="1" applyFont="1" applyFill="1" applyAlignment="1">
      <alignment horizontal="center" vertical="center"/>
    </xf>
    <xf numFmtId="166" fontId="28" fillId="3" borderId="0" xfId="2" applyNumberFormat="1" applyFont="1" applyFill="1" applyAlignment="1">
      <alignment horizontal="center" vertical="center" wrapText="1"/>
    </xf>
    <xf numFmtId="0" fontId="9" fillId="3" borderId="2" xfId="0" applyFont="1" applyFill="1" applyBorder="1" applyAlignment="1">
      <alignment horizontal="center"/>
    </xf>
    <xf numFmtId="0" fontId="24" fillId="3" borderId="2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 wrapText="1"/>
    </xf>
    <xf numFmtId="166" fontId="9" fillId="3" borderId="2" xfId="2" applyNumberFormat="1" applyFont="1" applyFill="1" applyBorder="1" applyAlignment="1">
      <alignment horizontal="center"/>
    </xf>
    <xf numFmtId="42" fontId="9" fillId="3" borderId="2" xfId="0" applyNumberFormat="1" applyFont="1" applyFill="1" applyBorder="1" applyAlignment="1">
      <alignment horizontal="center"/>
    </xf>
    <xf numFmtId="0" fontId="29" fillId="0" borderId="5" xfId="0" applyFont="1" applyBorder="1" applyAlignment="1">
      <alignment vertical="center"/>
    </xf>
    <xf numFmtId="0" fontId="19" fillId="0" borderId="15" xfId="0" applyFont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0" fontId="24" fillId="3" borderId="0" xfId="0" applyFont="1" applyFill="1" applyAlignment="1">
      <alignment vertical="center"/>
    </xf>
    <xf numFmtId="0" fontId="10" fillId="3" borderId="0" xfId="0" applyFont="1" applyFill="1" applyAlignment="1">
      <alignment horizontal="center" vertical="center"/>
    </xf>
    <xf numFmtId="0" fontId="7" fillId="5" borderId="8" xfId="0" applyFont="1" applyFill="1" applyBorder="1" applyAlignment="1">
      <alignment horizontal="left" vertical="center" indent="2"/>
    </xf>
    <xf numFmtId="49" fontId="11" fillId="5" borderId="6" xfId="0" applyNumberFormat="1" applyFont="1" applyFill="1" applyBorder="1" applyAlignment="1">
      <alignment horizontal="center" vertical="center"/>
    </xf>
    <xf numFmtId="49" fontId="11" fillId="5" borderId="6" xfId="0" applyNumberFormat="1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left" vertical="center" indent="2"/>
    </xf>
    <xf numFmtId="0" fontId="7" fillId="5" borderId="12" xfId="0" applyFont="1" applyFill="1" applyBorder="1" applyAlignment="1">
      <alignment horizontal="left" vertical="center" indent="2"/>
    </xf>
    <xf numFmtId="0" fontId="8" fillId="5" borderId="12" xfId="0" applyFont="1" applyFill="1" applyBorder="1" applyAlignment="1">
      <alignment horizontal="left" vertical="center" indent="2"/>
    </xf>
    <xf numFmtId="0" fontId="13" fillId="5" borderId="14" xfId="0" applyFont="1" applyFill="1" applyBorder="1" applyAlignment="1">
      <alignment horizontal="center" vertical="center"/>
    </xf>
    <xf numFmtId="168" fontId="8" fillId="5" borderId="14" xfId="13" applyNumberFormat="1" applyFont="1" applyFill="1" applyBorder="1" applyAlignment="1">
      <alignment horizontal="center" vertical="center"/>
    </xf>
    <xf numFmtId="0" fontId="11" fillId="5" borderId="14" xfId="0" applyFont="1" applyFill="1" applyBorder="1"/>
    <xf numFmtId="10" fontId="13" fillId="5" borderId="14" xfId="0" applyNumberFormat="1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22" fillId="0" borderId="20" xfId="0" applyFont="1" applyBorder="1"/>
    <xf numFmtId="0" fontId="11" fillId="0" borderId="21" xfId="0" applyFont="1" applyBorder="1"/>
    <xf numFmtId="0" fontId="10" fillId="2" borderId="22" xfId="0" applyFont="1" applyFill="1" applyBorder="1" applyAlignment="1">
      <alignment horizontal="center" vertical="center"/>
    </xf>
    <xf numFmtId="0" fontId="22" fillId="0" borderId="23" xfId="0" applyFont="1" applyBorder="1"/>
    <xf numFmtId="0" fontId="11" fillId="0" borderId="24" xfId="0" applyFont="1" applyBorder="1"/>
    <xf numFmtId="169" fontId="8" fillId="5" borderId="6" xfId="10" applyNumberFormat="1" applyFont="1" applyFill="1" applyBorder="1" applyAlignment="1" applyProtection="1">
      <alignment horizontal="center" vertical="center"/>
    </xf>
    <xf numFmtId="165" fontId="29" fillId="0" borderId="0" xfId="11" applyNumberFormat="1" applyFont="1" applyAlignment="1">
      <alignment horizontal="center" vertical="center" wrapText="1"/>
    </xf>
    <xf numFmtId="9" fontId="29" fillId="0" borderId="0" xfId="2" applyFont="1" applyFill="1" applyBorder="1" applyAlignment="1" applyProtection="1">
      <alignment horizontal="center" vertical="center" wrapText="1"/>
    </xf>
    <xf numFmtId="9" fontId="8" fillId="0" borderId="0" xfId="2" applyFont="1" applyFill="1" applyBorder="1" applyAlignment="1">
      <alignment horizontal="center" vertical="center"/>
    </xf>
    <xf numFmtId="9" fontId="8" fillId="5" borderId="6" xfId="2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7" fillId="5" borderId="6" xfId="0" applyFont="1" applyFill="1" applyBorder="1" applyAlignment="1">
      <alignment horizontal="left" vertical="center" indent="2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42" fontId="8" fillId="0" borderId="5" xfId="10" applyFont="1" applyBorder="1" applyAlignment="1">
      <alignment horizontal="center" vertical="center"/>
    </xf>
    <xf numFmtId="42" fontId="8" fillId="0" borderId="5" xfId="0" applyNumberFormat="1" applyFont="1" applyBorder="1" applyAlignment="1">
      <alignment horizontal="center" vertical="center"/>
    </xf>
    <xf numFmtId="41" fontId="8" fillId="0" borderId="5" xfId="1" applyFont="1" applyBorder="1" applyAlignment="1">
      <alignment horizontal="center" vertical="center"/>
    </xf>
    <xf numFmtId="9" fontId="8" fillId="0" borderId="5" xfId="2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6" borderId="8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13" fillId="6" borderId="7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31" fillId="6" borderId="8" xfId="0" applyFont="1" applyFill="1" applyBorder="1" applyAlignment="1">
      <alignment horizontal="center" vertical="center" wrapText="1"/>
    </xf>
    <xf numFmtId="0" fontId="31" fillId="6" borderId="6" xfId="0" applyFont="1" applyFill="1" applyBorder="1" applyAlignment="1">
      <alignment horizontal="center" vertical="center" wrapText="1"/>
    </xf>
    <xf numFmtId="0" fontId="31" fillId="6" borderId="16" xfId="0" applyFont="1" applyFill="1" applyBorder="1" applyAlignment="1">
      <alignment horizontal="center" vertical="center" wrapText="1"/>
    </xf>
    <xf numFmtId="0" fontId="32" fillId="6" borderId="25" xfId="0" applyFont="1" applyFill="1" applyBorder="1" applyAlignment="1">
      <alignment horizontal="left" vertical="center" indent="1"/>
    </xf>
    <xf numFmtId="0" fontId="32" fillId="6" borderId="0" xfId="0" applyFont="1" applyFill="1" applyAlignment="1">
      <alignment horizontal="left" vertical="center" indent="1"/>
    </xf>
    <xf numFmtId="0" fontId="18" fillId="4" borderId="8" xfId="0" applyFont="1" applyFill="1" applyBorder="1" applyAlignment="1">
      <alignment horizontal="center" vertical="center"/>
    </xf>
    <xf numFmtId="49" fontId="18" fillId="4" borderId="6" xfId="0" applyNumberFormat="1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 wrapText="1"/>
    </xf>
    <xf numFmtId="165" fontId="12" fillId="4" borderId="7" xfId="11" applyNumberFormat="1" applyFont="1" applyFill="1" applyBorder="1" applyAlignment="1">
      <alignment horizontal="center" vertical="center" wrapText="1"/>
    </xf>
    <xf numFmtId="9" fontId="12" fillId="4" borderId="6" xfId="2" applyFont="1" applyFill="1" applyBorder="1" applyAlignment="1" applyProtection="1">
      <alignment horizontal="center" vertical="center" wrapText="1"/>
    </xf>
    <xf numFmtId="165" fontId="12" fillId="4" borderId="6" xfId="11" applyNumberFormat="1" applyFont="1" applyFill="1" applyBorder="1" applyAlignment="1">
      <alignment horizontal="center" vertical="center" wrapText="1"/>
    </xf>
    <xf numFmtId="0" fontId="23" fillId="6" borderId="8" xfId="0" applyFont="1" applyFill="1" applyBorder="1" applyAlignment="1">
      <alignment horizontal="center" vertical="center" wrapText="1"/>
    </xf>
    <xf numFmtId="0" fontId="23" fillId="6" borderId="6" xfId="0" applyFont="1" applyFill="1" applyBorder="1" applyAlignment="1">
      <alignment horizontal="center" vertical="center" wrapText="1"/>
    </xf>
    <xf numFmtId="0" fontId="23" fillId="6" borderId="7" xfId="0" applyFont="1" applyFill="1" applyBorder="1" applyAlignment="1">
      <alignment horizontal="center" vertical="center" wrapText="1"/>
    </xf>
    <xf numFmtId="0" fontId="25" fillId="6" borderId="17" xfId="0" applyFont="1" applyFill="1" applyBorder="1" applyAlignment="1">
      <alignment horizontal="center" vertical="center" wrapText="1"/>
    </xf>
    <xf numFmtId="0" fontId="25" fillId="6" borderId="16" xfId="0" applyFont="1" applyFill="1" applyBorder="1" applyAlignment="1">
      <alignment horizontal="center" vertical="center" wrapText="1"/>
    </xf>
    <xf numFmtId="0" fontId="25" fillId="6" borderId="8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16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30" fillId="4" borderId="0" xfId="0" applyFont="1" applyFill="1" applyAlignment="1">
      <alignment horizontal="center" vertical="center" wrapText="1"/>
    </xf>
    <xf numFmtId="49" fontId="18" fillId="4" borderId="7" xfId="0" applyNumberFormat="1" applyFont="1" applyFill="1" applyBorder="1" applyAlignment="1">
      <alignment horizontal="center" vertical="center"/>
    </xf>
    <xf numFmtId="0" fontId="18" fillId="4" borderId="8" xfId="0" applyFont="1" applyFill="1" applyBorder="1" applyAlignment="1">
      <alignment horizontal="center" vertical="center" wrapText="1"/>
    </xf>
    <xf numFmtId="0" fontId="25" fillId="6" borderId="18" xfId="0" applyFont="1" applyFill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center" vertical="center" wrapText="1"/>
    </xf>
    <xf numFmtId="0" fontId="2" fillId="6" borderId="18" xfId="0" applyFont="1" applyFill="1" applyBorder="1" applyAlignment="1">
      <alignment horizontal="center" vertical="center" wrapText="1"/>
    </xf>
    <xf numFmtId="165" fontId="18" fillId="4" borderId="7" xfId="11" applyNumberFormat="1" applyFont="1" applyFill="1" applyBorder="1" applyAlignment="1">
      <alignment horizontal="center" vertical="center" wrapText="1"/>
    </xf>
  </cellXfs>
  <cellStyles count="14">
    <cellStyle name="AutoFormat-Optionen" xfId="11" xr:uid="{15158707-2257-4566-9C4A-42AEFA21B081}"/>
    <cellStyle name="AutoFormat-Optionen 2" xfId="12" xr:uid="{81DD041A-A93D-4E0F-A180-9A34C7E42D70}"/>
    <cellStyle name="AutoFormat-Optionen 2 2" xfId="3" xr:uid="{6BBE9036-0BEF-4847-A7DC-996415F82154}"/>
    <cellStyle name="Cambiar to&amp;do" xfId="5" xr:uid="{30859B07-F1A0-457B-8A83-DF3A78AC8E31}"/>
    <cellStyle name="Millares" xfId="13" builtinId="3"/>
    <cellStyle name="Millares [0]" xfId="1" builtinId="6"/>
    <cellStyle name="Millares [0] 2" xfId="4" xr:uid="{B5EAB996-25B6-4D5F-8B4E-3971B39726CB}"/>
    <cellStyle name="Millares [0] 2 2" xfId="9" xr:uid="{DCD13F50-F771-4230-BF15-EA5DF14FC817}"/>
    <cellStyle name="Millares [0] 3" xfId="8" xr:uid="{1D6E4CF0-9476-4339-8F8A-2EB9025E3A0C}"/>
    <cellStyle name="Moneda [0]" xfId="10" builtinId="7"/>
    <cellStyle name="Normal" xfId="0" builtinId="0"/>
    <cellStyle name="Normal 16" xfId="7" xr:uid="{D6919EF9-6F4F-4CE1-9337-699FD89FCB31}"/>
    <cellStyle name="Percent" xfId="6" xr:uid="{DEAB2997-9183-433D-93AF-6CA6312D55D4}"/>
    <cellStyle name="Porcentaje" xfId="2" builtinId="5"/>
  </cellStyles>
  <dxfs count="2"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7FF14"/>
      <color rgb="FFD0D3D4"/>
      <color rgb="FFFAF9C2"/>
      <color rgb="FF968C0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1251856</xdr:colOff>
      <xdr:row>1</xdr:row>
      <xdr:rowOff>0</xdr:rowOff>
    </xdr:from>
    <xdr:to>
      <xdr:col>2</xdr:col>
      <xdr:colOff>3129644</xdr:colOff>
      <xdr:row>6</xdr:row>
      <xdr:rowOff>177313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C1AD50-E14A-4057-9F1A-B689BEB4C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6785" y="312964"/>
          <a:ext cx="1877788" cy="1742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1251857</xdr:colOff>
      <xdr:row>1</xdr:row>
      <xdr:rowOff>0</xdr:rowOff>
    </xdr:from>
    <xdr:to>
      <xdr:col>2</xdr:col>
      <xdr:colOff>3129645</xdr:colOff>
      <xdr:row>6</xdr:row>
      <xdr:rowOff>177313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E2F71FB-9B66-4F84-9CAA-F833CE454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6786" y="312964"/>
          <a:ext cx="1877788" cy="1742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5.%20Mayo/Lista%20de%20Precios%20Opel%20Mayo%202026.xlsx" TargetMode="External"/><Relationship Id="rId2" Type="http://schemas.openxmlformats.org/officeDocument/2006/relationships/externalLinkPath" Target="https://shiftup.sharepoint.com/sites/SALESMANAGEMENT/Shared%20Documents/General/ACCIONES%20COMERCIALES/LISTAS%20DE%20PRECIO/2026/5.%20Mayo/Lista%20de%20Precios%20Opel%20Mayo%202026.xlsx" TargetMode="External"/><Relationship Id="rId1" Type="http://schemas.openxmlformats.org/officeDocument/2006/relationships/externalLinkPath" Target="/sites/SALESMANAGEMENT/Shared%20Documents/General/ACCIONES%20COMERCIALES/LISTAS%20DE%20PRECIO/2026/5.%20Mayo/Lista%20de%20Precios%20Opel%20Mayo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SAJEROS"/>
      <sheetName val="COMERCIALES"/>
      <sheetName val="MESES"/>
      <sheetName val="TASA 0%"/>
      <sheetName val="BONO O GIFT CARD"/>
    </sheetNames>
    <sheetDataSet>
      <sheetData sheetId="0">
        <row r="1">
          <cell r="A1"/>
          <cell r="B1"/>
          <cell r="C1"/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/>
          <cell r="T1"/>
          <cell r="U1"/>
          <cell r="V1"/>
          <cell r="W1"/>
          <cell r="X1"/>
          <cell r="Y1"/>
          <cell r="Z1" t="str">
            <v xml:space="preserve"> </v>
          </cell>
          <cell r="AA1"/>
        </row>
        <row r="2">
          <cell r="A2"/>
          <cell r="B2"/>
          <cell r="C2"/>
          <cell r="D2"/>
          <cell r="E2" t="str">
            <v>LISTA DE PRECIOS VEHÍCULOS NUEVOS</v>
          </cell>
          <cell r="F2"/>
          <cell r="G2"/>
          <cell r="H2"/>
          <cell r="I2"/>
          <cell r="J2"/>
          <cell r="K2"/>
          <cell r="L2"/>
          <cell r="M2"/>
          <cell r="N2"/>
          <cell r="O2"/>
          <cell r="P2"/>
          <cell r="Q2"/>
          <cell r="R2"/>
          <cell r="S2"/>
          <cell r="T2"/>
          <cell r="U2"/>
          <cell r="V2"/>
          <cell r="W2"/>
          <cell r="X2"/>
          <cell r="Y2"/>
          <cell r="Z2"/>
          <cell r="AA2"/>
        </row>
        <row r="3">
          <cell r="A3"/>
          <cell r="B3"/>
          <cell r="C3"/>
          <cell r="D3"/>
          <cell r="E3" t="str">
            <v>Nº 05 - 2026</v>
          </cell>
          <cell r="F3"/>
          <cell r="G3"/>
          <cell r="H3"/>
          <cell r="I3"/>
          <cell r="J3"/>
          <cell r="K3"/>
          <cell r="L3"/>
          <cell r="M3"/>
          <cell r="N3"/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</row>
        <row r="4">
          <cell r="A4"/>
          <cell r="B4"/>
          <cell r="C4"/>
          <cell r="D4"/>
          <cell r="E4">
            <v>46143</v>
          </cell>
          <cell r="F4"/>
          <cell r="G4"/>
          <cell r="H4"/>
          <cell r="I4"/>
          <cell r="J4"/>
          <cell r="K4"/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</row>
        <row r="5">
          <cell r="A5"/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</row>
        <row r="6">
          <cell r="A6"/>
          <cell r="B6"/>
          <cell r="C6"/>
          <cell r="D6"/>
          <cell r="E6"/>
          <cell r="F6"/>
          <cell r="G6"/>
          <cell r="H6"/>
          <cell r="I6"/>
          <cell r="J6"/>
          <cell r="K6"/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  <cell r="AA6"/>
        </row>
        <row r="7">
          <cell r="A7"/>
          <cell r="B7"/>
          <cell r="C7"/>
          <cell r="D7"/>
          <cell r="E7"/>
          <cell r="F7"/>
          <cell r="G7"/>
          <cell r="H7"/>
          <cell r="I7"/>
          <cell r="J7" t="str">
            <v>Tope CE</v>
          </cell>
          <cell r="K7"/>
          <cell r="L7"/>
          <cell r="M7">
            <v>2.5000000000000001E-2</v>
          </cell>
          <cell r="N7"/>
          <cell r="O7"/>
          <cell r="P7"/>
          <cell r="Q7"/>
          <cell r="R7"/>
          <cell r="S7"/>
          <cell r="T7"/>
          <cell r="U7"/>
          <cell r="V7"/>
          <cell r="W7"/>
          <cell r="X7"/>
          <cell r="Y7"/>
          <cell r="Z7"/>
          <cell r="AA7"/>
        </row>
        <row r="8">
          <cell r="A8"/>
          <cell r="B8"/>
          <cell r="C8" t="str">
            <v>VEHÍCULOS PASAJEROS</v>
          </cell>
          <cell r="D8" t="str">
            <v>LCDV</v>
          </cell>
          <cell r="E8" t="str">
            <v>CIT</v>
          </cell>
          <cell r="F8"/>
          <cell r="G8" t="str">
            <v>PRECIO LISTA</v>
          </cell>
          <cell r="H8"/>
          <cell r="I8"/>
          <cell r="J8" t="str">
            <v>TODO MEDIO DE PAGO</v>
          </cell>
          <cell r="K8"/>
          <cell r="L8"/>
          <cell r="M8"/>
          <cell r="N8"/>
          <cell r="O8" t="str">
            <v>CRÉDITO CONVENCIONAL</v>
          </cell>
          <cell r="P8"/>
          <cell r="Q8"/>
          <cell r="R8"/>
          <cell r="S8"/>
          <cell r="T8"/>
          <cell r="U8" t="str">
            <v>COMPRA INTELIGENTE</v>
          </cell>
          <cell r="V8"/>
          <cell r="W8"/>
          <cell r="X8"/>
          <cell r="Y8"/>
          <cell r="Z8"/>
          <cell r="AA8" t="str">
            <v>∆ Precio Lista M-1</v>
          </cell>
        </row>
        <row r="9">
          <cell r="A9" t="str">
            <v>COD EDS</v>
          </cell>
          <cell r="B9"/>
          <cell r="C9"/>
          <cell r="D9"/>
          <cell r="E9"/>
          <cell r="F9"/>
          <cell r="G9" t="str">
            <v>CON IVA</v>
          </cell>
          <cell r="H9" t="str">
            <v>SIN IVA</v>
          </cell>
          <cell r="I9" t="str">
            <v/>
          </cell>
          <cell r="J9" t="str">
            <v>BONO CON IVA</v>
          </cell>
          <cell r="K9" t="str">
            <v>APORTE RED</v>
          </cell>
          <cell r="L9" t="str">
            <v>APORTE STELLANTIS</v>
          </cell>
          <cell r="M9" t="str">
            <v>PRECIO PROMO</v>
          </cell>
          <cell r="N9" t="str">
            <v/>
          </cell>
          <cell r="O9" t="str">
            <v>BONO CON IVA</v>
          </cell>
          <cell r="P9" t="str">
            <v>APORTE RED</v>
          </cell>
          <cell r="Q9" t="str">
            <v>APORTE STELLANTIS</v>
          </cell>
          <cell r="R9" t="str">
            <v>APORTE FINANCIERA</v>
          </cell>
          <cell r="S9" t="str">
            <v>PRECIO PROMO</v>
          </cell>
          <cell r="T9" t="str">
            <v/>
          </cell>
          <cell r="U9" t="str">
            <v>BONO CON IVA</v>
          </cell>
          <cell r="V9" t="str">
            <v>APORTE RED</v>
          </cell>
          <cell r="W9" t="str">
            <v>APORTE STELLANTIS</v>
          </cell>
          <cell r="X9" t="str">
            <v>APORTE FINANCIERA</v>
          </cell>
          <cell r="Y9" t="str">
            <v>PRECIO PROMO</v>
          </cell>
          <cell r="Z9"/>
          <cell r="AA9"/>
        </row>
        <row r="10">
          <cell r="A10"/>
          <cell r="B10"/>
          <cell r="C10"/>
          <cell r="D10"/>
          <cell r="E10"/>
          <cell r="F10"/>
          <cell r="G10"/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  <cell r="T10"/>
          <cell r="U10"/>
          <cell r="V10"/>
          <cell r="W10"/>
          <cell r="X10"/>
          <cell r="Y10"/>
          <cell r="Z10"/>
          <cell r="AA10"/>
        </row>
        <row r="11">
          <cell r="A11" t="str">
            <v>CORSA MCA</v>
          </cell>
          <cell r="B11"/>
          <cell r="C11" t="str">
            <v>CORSA MCA</v>
          </cell>
          <cell r="D11"/>
          <cell r="E11"/>
          <cell r="F11"/>
          <cell r="G11"/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  <cell r="T11"/>
          <cell r="U11"/>
          <cell r="V11"/>
          <cell r="W11"/>
          <cell r="X11"/>
          <cell r="Y11"/>
          <cell r="Z11"/>
          <cell r="AA11"/>
        </row>
        <row r="12">
          <cell r="A12" t="str">
            <v>NEW CORSA MCA EDITION 1.2 MT6</v>
          </cell>
          <cell r="B12"/>
          <cell r="C12" t="str">
            <v>Corsa Edition Gasolina 100HP MT</v>
          </cell>
          <cell r="D12" t="str">
            <v>1GJOA5HL6KJRA0H0178</v>
          </cell>
          <cell r="E12" t="str">
            <v>OP9883E60325S00-6</v>
          </cell>
          <cell r="F12"/>
          <cell r="G12">
            <v>17390000</v>
          </cell>
          <cell r="H12">
            <v>14613445.37815126</v>
          </cell>
          <cell r="I12"/>
          <cell r="J12">
            <v>1300000</v>
          </cell>
          <cell r="K12">
            <v>434750</v>
          </cell>
          <cell r="L12">
            <v>865250</v>
          </cell>
          <cell r="M12">
            <v>16090000</v>
          </cell>
          <cell r="N12"/>
          <cell r="O12">
            <v>2200000</v>
          </cell>
          <cell r="P12">
            <v>434750</v>
          </cell>
          <cell r="Q12">
            <v>865250</v>
          </cell>
          <cell r="R12">
            <v>900000</v>
          </cell>
          <cell r="S12">
            <v>15190000</v>
          </cell>
          <cell r="T12"/>
          <cell r="U12">
            <v>3600000</v>
          </cell>
          <cell r="V12">
            <v>434750</v>
          </cell>
          <cell r="W12">
            <v>865250</v>
          </cell>
          <cell r="X12">
            <v>2300000</v>
          </cell>
          <cell r="Y12">
            <v>13790000</v>
          </cell>
          <cell r="Z12"/>
          <cell r="AA12" t="str">
            <v>ISO</v>
          </cell>
        </row>
        <row r="13">
          <cell r="A13" t="str">
            <v>NEW CORSA MCA EDITION 1.2T AT8</v>
          </cell>
          <cell r="B13"/>
          <cell r="C13" t="str">
            <v>Corsa Edition Gasolina 100HP AT</v>
          </cell>
          <cell r="D13" t="str">
            <v>1GJOA5HL71J0A0F0018</v>
          </cell>
          <cell r="E13" t="str">
            <v>OP9007E60323S00-0</v>
          </cell>
          <cell r="F13"/>
          <cell r="G13">
            <v>18690000</v>
          </cell>
          <cell r="H13">
            <v>15705882.352941178</v>
          </cell>
          <cell r="I13"/>
          <cell r="J13">
            <v>1300000</v>
          </cell>
          <cell r="K13">
            <v>467250</v>
          </cell>
          <cell r="L13">
            <v>832750</v>
          </cell>
          <cell r="M13">
            <v>17390000</v>
          </cell>
          <cell r="N13"/>
          <cell r="O13">
            <v>2200000</v>
          </cell>
          <cell r="P13">
            <v>467250</v>
          </cell>
          <cell r="Q13">
            <v>832750</v>
          </cell>
          <cell r="R13">
            <v>900000</v>
          </cell>
          <cell r="S13">
            <v>16490000</v>
          </cell>
          <cell r="T13"/>
          <cell r="U13">
            <v>3600000</v>
          </cell>
          <cell r="V13">
            <v>467250</v>
          </cell>
          <cell r="W13">
            <v>832750</v>
          </cell>
          <cell r="X13">
            <v>2300000</v>
          </cell>
          <cell r="Y13">
            <v>15090000</v>
          </cell>
          <cell r="Z13"/>
          <cell r="AA13" t="str">
            <v>ISO</v>
          </cell>
        </row>
        <row r="14">
          <cell r="A14" t="str">
            <v>NEW CORSA MCA GS 1.2T AT8</v>
          </cell>
          <cell r="B14"/>
          <cell r="C14" t="str">
            <v>Corsa GS Gasolina 100HP AT</v>
          </cell>
          <cell r="D14" t="str">
            <v>1GJOA5TL71J0A0G0000</v>
          </cell>
          <cell r="E14" t="str">
            <v>OP9007E60323S00-0</v>
          </cell>
          <cell r="F14"/>
          <cell r="G14">
            <v>20490000</v>
          </cell>
          <cell r="H14">
            <v>17218487.394957986</v>
          </cell>
          <cell r="I14"/>
          <cell r="J14">
            <v>1300000</v>
          </cell>
          <cell r="K14">
            <v>512250</v>
          </cell>
          <cell r="L14">
            <v>787750</v>
          </cell>
          <cell r="M14">
            <v>19190000</v>
          </cell>
          <cell r="N14"/>
          <cell r="O14">
            <v>1700000</v>
          </cell>
          <cell r="P14">
            <v>512250</v>
          </cell>
          <cell r="Q14">
            <v>787750</v>
          </cell>
          <cell r="R14">
            <v>400000</v>
          </cell>
          <cell r="S14">
            <v>18790000</v>
          </cell>
          <cell r="T14"/>
          <cell r="U14">
            <v>3900000</v>
          </cell>
          <cell r="V14">
            <v>512250</v>
          </cell>
          <cell r="W14">
            <v>787750</v>
          </cell>
          <cell r="X14">
            <v>2600000</v>
          </cell>
          <cell r="Y14">
            <v>16590000</v>
          </cell>
          <cell r="Z14"/>
          <cell r="AA14" t="str">
            <v>ISO</v>
          </cell>
        </row>
        <row r="15">
          <cell r="A15"/>
          <cell r="B15"/>
          <cell r="C15"/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  <cell r="T15"/>
          <cell r="U15"/>
          <cell r="V15"/>
          <cell r="W15"/>
          <cell r="X15"/>
          <cell r="Y15"/>
          <cell r="Z15"/>
          <cell r="AA15"/>
        </row>
        <row r="16">
          <cell r="A16" t="str">
            <v>OV24</v>
          </cell>
          <cell r="B16"/>
          <cell r="C16" t="str">
            <v>NEW CROSSLAND</v>
          </cell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  <cell r="T16"/>
          <cell r="U16"/>
          <cell r="V16"/>
          <cell r="W16"/>
          <cell r="X16"/>
          <cell r="Y16"/>
          <cell r="Z16"/>
          <cell r="AA16"/>
        </row>
        <row r="17">
          <cell r="A17" t="str">
            <v>New Crossland GS Hybrid</v>
          </cell>
          <cell r="B17"/>
          <cell r="C17" t="str">
            <v>New Crossland GS 5P Hybrid 136 HP AT</v>
          </cell>
          <cell r="D17" t="str">
            <v>1GO3SUPJHWGLA0B0171</v>
          </cell>
          <cell r="E17" t="str">
            <v>OP9928E60425S00-9</v>
          </cell>
          <cell r="F17"/>
          <cell r="G17">
            <v>22090000</v>
          </cell>
          <cell r="H17">
            <v>18563025.210084036</v>
          </cell>
          <cell r="I17"/>
          <cell r="J17">
            <v>1100000</v>
          </cell>
          <cell r="K17">
            <v>550000</v>
          </cell>
          <cell r="L17">
            <v>550000</v>
          </cell>
          <cell r="M17">
            <v>20990000</v>
          </cell>
          <cell r="N17"/>
          <cell r="O17">
            <v>1600000</v>
          </cell>
          <cell r="P17">
            <v>550000</v>
          </cell>
          <cell r="Q17">
            <v>550000</v>
          </cell>
          <cell r="R17">
            <v>500000</v>
          </cell>
          <cell r="S17">
            <v>20490000</v>
          </cell>
          <cell r="T17"/>
          <cell r="U17">
            <v>2100000</v>
          </cell>
          <cell r="V17">
            <v>550000</v>
          </cell>
          <cell r="W17">
            <v>550000</v>
          </cell>
          <cell r="X17">
            <v>1000000</v>
          </cell>
          <cell r="Y17">
            <v>19990000</v>
          </cell>
          <cell r="Z17"/>
          <cell r="AA17" t="str">
            <v>ISO</v>
          </cell>
        </row>
        <row r="18">
          <cell r="A18" t="str">
            <v>New Crossland GS Hybrid 7P</v>
          </cell>
          <cell r="B18"/>
          <cell r="C18" t="str">
            <v>New Crossland GS 7P Hybrid 136 HP AT</v>
          </cell>
          <cell r="D18" t="str">
            <v>1GO3SUPJHWGLA0B0346</v>
          </cell>
          <cell r="E18" t="str">
            <v>OP9928E60425S01-2</v>
          </cell>
          <cell r="F18"/>
          <cell r="G18">
            <v>23090000</v>
          </cell>
          <cell r="H18">
            <v>19403361.344537817</v>
          </cell>
          <cell r="I18"/>
          <cell r="J18">
            <v>1100000</v>
          </cell>
          <cell r="K18">
            <v>550000</v>
          </cell>
          <cell r="L18">
            <v>550000</v>
          </cell>
          <cell r="M18">
            <v>21990000</v>
          </cell>
          <cell r="N18"/>
          <cell r="O18">
            <v>1600000</v>
          </cell>
          <cell r="P18">
            <v>550000</v>
          </cell>
          <cell r="Q18">
            <v>550000</v>
          </cell>
          <cell r="R18">
            <v>500000</v>
          </cell>
          <cell r="S18">
            <v>21490000</v>
          </cell>
          <cell r="T18"/>
          <cell r="U18">
            <v>2100000</v>
          </cell>
          <cell r="V18">
            <v>550000</v>
          </cell>
          <cell r="W18">
            <v>550000</v>
          </cell>
          <cell r="X18">
            <v>1000000</v>
          </cell>
          <cell r="Y18">
            <v>20990000</v>
          </cell>
          <cell r="Z18"/>
          <cell r="AA18" t="str">
            <v>ISO</v>
          </cell>
        </row>
        <row r="19">
          <cell r="A19" t="str">
            <v>New Crossland GS Eletric</v>
          </cell>
          <cell r="B19"/>
          <cell r="C19" t="str">
            <v>New Crossland GS Electric</v>
          </cell>
          <cell r="D19" t="str">
            <v>1GO3SUPZFFGLA0B0171</v>
          </cell>
          <cell r="E19" t="str">
            <v>OP9757EL1224S00-6</v>
          </cell>
          <cell r="F19"/>
          <cell r="G19">
            <v>27090000</v>
          </cell>
          <cell r="H19">
            <v>22764705.882352941</v>
          </cell>
          <cell r="I19"/>
          <cell r="J19">
            <v>4100000</v>
          </cell>
          <cell r="K19">
            <v>677250</v>
          </cell>
          <cell r="L19">
            <v>3422750</v>
          </cell>
          <cell r="M19">
            <v>22990000</v>
          </cell>
          <cell r="N19"/>
          <cell r="O19">
            <v>4600000</v>
          </cell>
          <cell r="P19">
            <v>677250</v>
          </cell>
          <cell r="Q19">
            <v>3422750</v>
          </cell>
          <cell r="R19">
            <v>500000</v>
          </cell>
          <cell r="S19">
            <v>22490000</v>
          </cell>
          <cell r="T19"/>
          <cell r="U19">
            <v>5100000</v>
          </cell>
          <cell r="V19">
            <v>677250</v>
          </cell>
          <cell r="W19">
            <v>3422750</v>
          </cell>
          <cell r="X19">
            <v>1000000</v>
          </cell>
          <cell r="Y19">
            <v>21990000</v>
          </cell>
          <cell r="Z19"/>
          <cell r="AA19" t="str">
            <v>ISO</v>
          </cell>
        </row>
        <row r="20">
          <cell r="A20"/>
          <cell r="B20"/>
          <cell r="C20"/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</row>
        <row r="21">
          <cell r="A21" t="str">
            <v>MOKKA MCA</v>
          </cell>
          <cell r="B21"/>
          <cell r="C21" t="str">
            <v>MOKKA</v>
          </cell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</row>
        <row r="22">
          <cell r="A22" t="str">
            <v>MOKKA ELEGANCE 1.2T AT8</v>
          </cell>
          <cell r="B22"/>
          <cell r="C22" t="str">
            <v>Mokka Elegance Gasolina 130HP AT</v>
          </cell>
          <cell r="D22" t="str">
            <v>1GQOSYKI21JRA033031</v>
          </cell>
          <cell r="E22" t="str">
            <v>OP9014E60323S00-9</v>
          </cell>
          <cell r="F22"/>
          <cell r="G22">
            <v>22890000</v>
          </cell>
          <cell r="H22">
            <v>19235294.117647059</v>
          </cell>
          <cell r="I22"/>
          <cell r="J22">
            <v>3000000</v>
          </cell>
          <cell r="K22">
            <v>572250</v>
          </cell>
          <cell r="L22">
            <v>2427750</v>
          </cell>
          <cell r="M22">
            <v>19890000</v>
          </cell>
          <cell r="N22"/>
          <cell r="O22">
            <v>3400000</v>
          </cell>
          <cell r="P22">
            <v>572250</v>
          </cell>
          <cell r="Q22">
            <v>2427750</v>
          </cell>
          <cell r="R22">
            <v>400000</v>
          </cell>
          <cell r="S22">
            <v>19490000</v>
          </cell>
          <cell r="T22"/>
          <cell r="U22">
            <v>4300000</v>
          </cell>
          <cell r="V22">
            <v>572250</v>
          </cell>
          <cell r="W22">
            <v>2427750</v>
          </cell>
          <cell r="X22">
            <v>1300000</v>
          </cell>
          <cell r="Y22">
            <v>18590000</v>
          </cell>
          <cell r="Z22"/>
          <cell r="AA22" t="str">
            <v>ISO</v>
          </cell>
        </row>
        <row r="23">
          <cell r="A23" t="str">
            <v>MOKKA GS 1.2T AT8</v>
          </cell>
          <cell r="B23"/>
          <cell r="C23" t="str">
            <v>Mokka GS Gasolina 130HP AT</v>
          </cell>
          <cell r="D23" t="str">
            <v>1GQOSYHI21JRA033109</v>
          </cell>
          <cell r="E23" t="str">
            <v>OP9014E60323S00-9</v>
          </cell>
          <cell r="F23"/>
          <cell r="G23">
            <v>24890000</v>
          </cell>
          <cell r="H23">
            <v>20915966.386554621</v>
          </cell>
          <cell r="I23"/>
          <cell r="J23">
            <v>3000000</v>
          </cell>
          <cell r="K23">
            <v>622250</v>
          </cell>
          <cell r="L23">
            <v>2377750</v>
          </cell>
          <cell r="M23">
            <v>21890000</v>
          </cell>
          <cell r="N23"/>
          <cell r="O23">
            <v>3400000</v>
          </cell>
          <cell r="P23">
            <v>622250</v>
          </cell>
          <cell r="Q23">
            <v>2377750</v>
          </cell>
          <cell r="R23">
            <v>400000</v>
          </cell>
          <cell r="S23">
            <v>21490000</v>
          </cell>
          <cell r="T23"/>
          <cell r="U23">
            <v>4300000</v>
          </cell>
          <cell r="V23">
            <v>622250</v>
          </cell>
          <cell r="W23">
            <v>2377750</v>
          </cell>
          <cell r="X23">
            <v>1300000</v>
          </cell>
          <cell r="Y23">
            <v>20590000</v>
          </cell>
          <cell r="Z23"/>
          <cell r="AA23" t="str">
            <v>ISO</v>
          </cell>
        </row>
        <row r="24">
          <cell r="A24"/>
          <cell r="B24"/>
          <cell r="C24"/>
          <cell r="D24"/>
          <cell r="E24"/>
          <cell r="F24"/>
          <cell r="G24"/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</row>
        <row r="25">
          <cell r="A25" t="str">
            <v>MOKKA MCA</v>
          </cell>
          <cell r="B25"/>
          <cell r="C25" t="str">
            <v>MOKKA MCA</v>
          </cell>
          <cell r="D25"/>
          <cell r="E25"/>
          <cell r="F25"/>
          <cell r="G25"/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  <cell r="T25"/>
          <cell r="U25"/>
          <cell r="V25"/>
          <cell r="W25"/>
          <cell r="X25"/>
          <cell r="Y25"/>
          <cell r="Z25"/>
          <cell r="AA25"/>
        </row>
        <row r="26">
          <cell r="A26" t="str">
            <v>MOKKA MCA EDITION 1.2T MT6</v>
          </cell>
          <cell r="B26"/>
          <cell r="C26" t="str">
            <v>Mokka MCA Edition Plus Gasolina 130HP MT</v>
          </cell>
          <cell r="D26" t="str">
            <v>1GQOSYKP9KJRA050183</v>
          </cell>
          <cell r="E26" t="str">
            <v>OP9015E61124S01-9</v>
          </cell>
          <cell r="F26"/>
          <cell r="G26">
            <v>21690000</v>
          </cell>
          <cell r="H26">
            <v>18226890.756302521</v>
          </cell>
          <cell r="I26"/>
          <cell r="J26">
            <v>1500000</v>
          </cell>
          <cell r="K26">
            <v>542250</v>
          </cell>
          <cell r="L26">
            <v>957750</v>
          </cell>
          <cell r="M26">
            <v>20190000</v>
          </cell>
          <cell r="N26"/>
          <cell r="O26">
            <v>2000000</v>
          </cell>
          <cell r="P26">
            <v>542250</v>
          </cell>
          <cell r="Q26">
            <v>957750</v>
          </cell>
          <cell r="R26">
            <v>500000</v>
          </cell>
          <cell r="S26">
            <v>19690000</v>
          </cell>
          <cell r="T26"/>
          <cell r="U26">
            <v>3000000</v>
          </cell>
          <cell r="V26">
            <v>542250</v>
          </cell>
          <cell r="W26">
            <v>957750</v>
          </cell>
          <cell r="X26">
            <v>1500000</v>
          </cell>
          <cell r="Y26">
            <v>18690000</v>
          </cell>
          <cell r="Z26"/>
          <cell r="AA26" t="str">
            <v>ISO</v>
          </cell>
        </row>
        <row r="27">
          <cell r="A27" t="str">
            <v>MOKKA MCA EDITION 1.2T AT8</v>
          </cell>
          <cell r="B27"/>
          <cell r="C27" t="str">
            <v>Mokka MCA Edition Gasolina 130HP AT</v>
          </cell>
          <cell r="D27" t="str">
            <v>1GQOSYKM61JRA050000</v>
          </cell>
          <cell r="E27" t="str">
            <v>OP9014E61124S01-3</v>
          </cell>
          <cell r="F27"/>
          <cell r="G27">
            <v>21690000</v>
          </cell>
          <cell r="H27">
            <v>18226890.756302521</v>
          </cell>
          <cell r="I27"/>
          <cell r="J27">
            <v>1500000</v>
          </cell>
          <cell r="K27">
            <v>542250</v>
          </cell>
          <cell r="L27">
            <v>957750</v>
          </cell>
          <cell r="M27">
            <v>20190000</v>
          </cell>
          <cell r="N27"/>
          <cell r="O27">
            <v>2000000</v>
          </cell>
          <cell r="P27">
            <v>542250</v>
          </cell>
          <cell r="Q27">
            <v>957750</v>
          </cell>
          <cell r="R27">
            <v>500000</v>
          </cell>
          <cell r="S27">
            <v>19690000</v>
          </cell>
          <cell r="T27"/>
          <cell r="U27">
            <v>3000000</v>
          </cell>
          <cell r="V27">
            <v>542250</v>
          </cell>
          <cell r="W27">
            <v>957750</v>
          </cell>
          <cell r="X27">
            <v>1500000</v>
          </cell>
          <cell r="Y27">
            <v>18690000</v>
          </cell>
          <cell r="Z27"/>
          <cell r="AA27" t="str">
            <v>ISO</v>
          </cell>
        </row>
        <row r="28">
          <cell r="A28" t="str">
            <v>MOKKA MCA EDITION PLUS 1.2T AT8</v>
          </cell>
          <cell r="B28"/>
          <cell r="C28" t="str">
            <v>Mokka MCA Edition Plus Gasolina 130HP AT</v>
          </cell>
          <cell r="D28" t="str">
            <v>1GQOSYKM61JRA050261</v>
          </cell>
          <cell r="E28" t="str">
            <v>OP9014E61124S01-3</v>
          </cell>
          <cell r="F28"/>
          <cell r="G28">
            <v>23190000</v>
          </cell>
          <cell r="H28">
            <v>19487394.957983196</v>
          </cell>
          <cell r="I28"/>
          <cell r="J28">
            <v>1700000</v>
          </cell>
          <cell r="K28">
            <v>579750</v>
          </cell>
          <cell r="L28">
            <v>1120250</v>
          </cell>
          <cell r="M28">
            <v>21490000</v>
          </cell>
          <cell r="N28"/>
          <cell r="O28">
            <v>2200000</v>
          </cell>
          <cell r="P28">
            <v>579750</v>
          </cell>
          <cell r="Q28">
            <v>1120250</v>
          </cell>
          <cell r="R28">
            <v>500000</v>
          </cell>
          <cell r="S28">
            <v>20990000</v>
          </cell>
          <cell r="T28"/>
          <cell r="U28">
            <v>3200000</v>
          </cell>
          <cell r="V28">
            <v>579750</v>
          </cell>
          <cell r="W28">
            <v>1120250</v>
          </cell>
          <cell r="X28">
            <v>1500000</v>
          </cell>
          <cell r="Y28">
            <v>19990000</v>
          </cell>
          <cell r="Z28"/>
          <cell r="AA28" t="str">
            <v>ISO</v>
          </cell>
        </row>
        <row r="29">
          <cell r="A29" t="str">
            <v>MOKKA MCA GS 1.2T AT8</v>
          </cell>
          <cell r="B29"/>
          <cell r="C29" t="str">
            <v>Mokka MCA GS Plus Gasolina 130HP AT</v>
          </cell>
          <cell r="D29" t="str">
            <v>1GQOSYHM61JRA050179</v>
          </cell>
          <cell r="E29" t="str">
            <v>OP9014E61124S01-3</v>
          </cell>
          <cell r="F29"/>
          <cell r="G29">
            <v>24790000</v>
          </cell>
          <cell r="H29">
            <v>20831932.773109246</v>
          </cell>
          <cell r="I29"/>
          <cell r="J29">
            <v>1500000</v>
          </cell>
          <cell r="K29">
            <v>619750</v>
          </cell>
          <cell r="L29">
            <v>880250</v>
          </cell>
          <cell r="M29">
            <v>23290000</v>
          </cell>
          <cell r="N29"/>
          <cell r="O29">
            <v>2000000</v>
          </cell>
          <cell r="P29">
            <v>619750</v>
          </cell>
          <cell r="Q29">
            <v>880250</v>
          </cell>
          <cell r="R29">
            <v>500000</v>
          </cell>
          <cell r="S29">
            <v>22790000</v>
          </cell>
          <cell r="T29"/>
          <cell r="U29">
            <v>3000000</v>
          </cell>
          <cell r="V29">
            <v>619750</v>
          </cell>
          <cell r="W29">
            <v>880250</v>
          </cell>
          <cell r="X29">
            <v>1500000</v>
          </cell>
          <cell r="Y29">
            <v>21790000</v>
          </cell>
          <cell r="Z29"/>
          <cell r="AA29" t="str">
            <v>ISO</v>
          </cell>
        </row>
        <row r="30">
          <cell r="A30"/>
          <cell r="B30"/>
          <cell r="C30"/>
          <cell r="D30"/>
          <cell r="E30"/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</row>
        <row r="31">
          <cell r="A31" t="str">
            <v>OV64</v>
          </cell>
          <cell r="B31"/>
          <cell r="C31" t="str">
            <v>GRANDLAND</v>
          </cell>
          <cell r="D31"/>
          <cell r="E31"/>
          <cell r="F31"/>
          <cell r="G31"/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  <cell r="T31"/>
          <cell r="U31"/>
          <cell r="V31"/>
          <cell r="W31"/>
          <cell r="X31"/>
          <cell r="Y31"/>
          <cell r="Z31"/>
          <cell r="AA31"/>
        </row>
        <row r="32">
          <cell r="A32" t="str">
            <v>GRANDLAND GS 1.2T MT6</v>
          </cell>
          <cell r="B32"/>
          <cell r="C32" t="str">
            <v>Grandland GS Gasolina 130HP MT</v>
          </cell>
          <cell r="D32" t="str">
            <v>1GUOSYKNPKJ0TPH0000</v>
          </cell>
          <cell r="E32" t="str">
            <v>OP8838E61122S00-5</v>
          </cell>
          <cell r="F32"/>
          <cell r="G32">
            <v>25790000</v>
          </cell>
          <cell r="H32">
            <v>21672268.907563027</v>
          </cell>
          <cell r="I32"/>
          <cell r="J32">
            <v>5200000</v>
          </cell>
          <cell r="K32">
            <v>644750</v>
          </cell>
          <cell r="L32">
            <v>4555250</v>
          </cell>
          <cell r="M32">
            <v>20590000</v>
          </cell>
          <cell r="N32"/>
          <cell r="O32">
            <v>5400000</v>
          </cell>
          <cell r="P32">
            <v>644750</v>
          </cell>
          <cell r="Q32">
            <v>4555250</v>
          </cell>
          <cell r="R32">
            <v>200000</v>
          </cell>
          <cell r="S32">
            <v>20390000</v>
          </cell>
          <cell r="T32"/>
          <cell r="U32">
            <v>5800000</v>
          </cell>
          <cell r="V32">
            <v>644750</v>
          </cell>
          <cell r="W32">
            <v>4555250</v>
          </cell>
          <cell r="X32">
            <v>600000</v>
          </cell>
          <cell r="Y32">
            <v>19990000</v>
          </cell>
          <cell r="Z32"/>
          <cell r="AA32" t="str">
            <v>ISO</v>
          </cell>
        </row>
        <row r="33">
          <cell r="A33"/>
          <cell r="B33"/>
          <cell r="C33"/>
          <cell r="D33"/>
          <cell r="E33"/>
          <cell r="F33"/>
          <cell r="G33"/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</row>
        <row r="34">
          <cell r="A34" t="str">
            <v>OV64</v>
          </cell>
          <cell r="B34"/>
          <cell r="C34" t="str">
            <v>NEW GRANDLAND</v>
          </cell>
          <cell r="D34"/>
          <cell r="E34"/>
          <cell r="F34"/>
          <cell r="G34"/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</row>
        <row r="35">
          <cell r="A35" t="str">
            <v>New Grandland GS Hybrid</v>
          </cell>
          <cell r="B35"/>
          <cell r="C35" t="str">
            <v>New Grandland GS Hybrid 136HP AT</v>
          </cell>
          <cell r="D35" t="str">
            <v>1GO6SYUJH7NXA0B0000</v>
          </cell>
          <cell r="E35" t="str">
            <v>OP9820E60125S00-4</v>
          </cell>
          <cell r="F35"/>
          <cell r="G35">
            <v>32690000</v>
          </cell>
          <cell r="H35">
            <v>27470588.235294119</v>
          </cell>
          <cell r="I35"/>
          <cell r="J35">
            <v>3700000</v>
          </cell>
          <cell r="K35">
            <v>817250</v>
          </cell>
          <cell r="L35">
            <v>2882750</v>
          </cell>
          <cell r="M35">
            <v>28990000</v>
          </cell>
          <cell r="N35"/>
          <cell r="O35">
            <v>4700000</v>
          </cell>
          <cell r="P35">
            <v>817250</v>
          </cell>
          <cell r="Q35">
            <v>2882750</v>
          </cell>
          <cell r="R35">
            <v>1000000</v>
          </cell>
          <cell r="S35">
            <v>27990000</v>
          </cell>
          <cell r="T35"/>
          <cell r="U35">
            <v>5700000</v>
          </cell>
          <cell r="V35">
            <v>817250</v>
          </cell>
          <cell r="W35">
            <v>2882750</v>
          </cell>
          <cell r="X35">
            <v>2000000</v>
          </cell>
          <cell r="Y35">
            <v>26990000</v>
          </cell>
          <cell r="Z35"/>
          <cell r="AA35" t="str">
            <v>ISO</v>
          </cell>
        </row>
        <row r="36">
          <cell r="A36" t="str">
            <v>New Grandland GS Plus Hybrid</v>
          </cell>
          <cell r="B36"/>
          <cell r="C36" t="str">
            <v>New Grandland GS Line Hybrid 136HP AT</v>
          </cell>
          <cell r="D36" t="str">
            <v>1GO6SYUJH7NXA0B0343</v>
          </cell>
          <cell r="E36" t="str">
            <v>OP9820E60125S00-4</v>
          </cell>
          <cell r="F36"/>
          <cell r="G36">
            <v>35190000</v>
          </cell>
          <cell r="H36">
            <v>29571428.571428571</v>
          </cell>
          <cell r="I36"/>
          <cell r="J36">
            <v>3700000</v>
          </cell>
          <cell r="K36">
            <v>879750</v>
          </cell>
          <cell r="L36">
            <v>2820250</v>
          </cell>
          <cell r="M36">
            <v>31490000</v>
          </cell>
          <cell r="N36"/>
          <cell r="O36">
            <v>4700000</v>
          </cell>
          <cell r="P36">
            <v>879750</v>
          </cell>
          <cell r="Q36">
            <v>2820250</v>
          </cell>
          <cell r="R36">
            <v>1000000</v>
          </cell>
          <cell r="S36">
            <v>30490000</v>
          </cell>
          <cell r="T36"/>
          <cell r="U36">
            <v>5700000</v>
          </cell>
          <cell r="V36">
            <v>879750</v>
          </cell>
          <cell r="W36">
            <v>2820250</v>
          </cell>
          <cell r="X36">
            <v>2000000</v>
          </cell>
          <cell r="Y36">
            <v>29490000</v>
          </cell>
          <cell r="Z36"/>
          <cell r="AA36" t="str">
            <v>ISO</v>
          </cell>
        </row>
        <row r="37">
          <cell r="A37" t="str">
            <v>New Grandland GS Plus Hybrid</v>
          </cell>
          <cell r="B37"/>
          <cell r="C37" t="str">
            <v>New Grandland GS Plus Hybrid 136HP AT</v>
          </cell>
          <cell r="D37" t="str">
            <v>1GO6SYUJH7NXA0B0153</v>
          </cell>
          <cell r="E37" t="str">
            <v>OP9820E60125S00-4</v>
          </cell>
          <cell r="F37"/>
          <cell r="G37">
            <v>36690000</v>
          </cell>
          <cell r="H37">
            <v>30831932.773109246</v>
          </cell>
          <cell r="I37"/>
          <cell r="J37">
            <v>3700000</v>
          </cell>
          <cell r="K37">
            <v>917250</v>
          </cell>
          <cell r="L37">
            <v>2782750</v>
          </cell>
          <cell r="M37">
            <v>32990000</v>
          </cell>
          <cell r="N37"/>
          <cell r="O37">
            <v>4700000</v>
          </cell>
          <cell r="P37">
            <v>917250</v>
          </cell>
          <cell r="Q37">
            <v>2782750</v>
          </cell>
          <cell r="R37">
            <v>1000000</v>
          </cell>
          <cell r="S37">
            <v>31990000</v>
          </cell>
          <cell r="T37"/>
          <cell r="U37">
            <v>5700000</v>
          </cell>
          <cell r="V37">
            <v>917250</v>
          </cell>
          <cell r="W37">
            <v>2782750</v>
          </cell>
          <cell r="X37">
            <v>2000000</v>
          </cell>
          <cell r="Y37">
            <v>30990000</v>
          </cell>
          <cell r="Z37"/>
          <cell r="AA37" t="str">
            <v>ISO</v>
          </cell>
        </row>
        <row r="38">
          <cell r="A38"/>
          <cell r="B38"/>
          <cell r="C38"/>
          <cell r="D38"/>
          <cell r="E38"/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</row>
        <row r="39">
          <cell r="F39"/>
        </row>
        <row r="40">
          <cell r="F40"/>
          <cell r="G40"/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  <cell r="T40"/>
          <cell r="U40"/>
          <cell r="V40"/>
          <cell r="W40"/>
          <cell r="X40"/>
          <cell r="Y40"/>
        </row>
        <row r="41">
          <cell r="F41"/>
          <cell r="G41"/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  <cell r="T41"/>
          <cell r="U41"/>
          <cell r="V41"/>
          <cell r="W41"/>
          <cell r="X41"/>
          <cell r="Y41"/>
        </row>
        <row r="42">
          <cell r="F42"/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</row>
        <row r="43">
          <cell r="F43"/>
          <cell r="G43"/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  <cell r="T43"/>
          <cell r="U43"/>
          <cell r="V43"/>
          <cell r="W43"/>
          <cell r="X43"/>
          <cell r="Y43"/>
        </row>
        <row r="44">
          <cell r="F44"/>
        </row>
        <row r="45">
          <cell r="F45"/>
        </row>
        <row r="47">
          <cell r="C47"/>
          <cell r="F47"/>
          <cell r="G47"/>
          <cell r="H47"/>
          <cell r="J47"/>
          <cell r="K47"/>
          <cell r="L47"/>
          <cell r="M47"/>
        </row>
        <row r="48">
          <cell r="C48"/>
          <cell r="F48"/>
          <cell r="G48"/>
          <cell r="H48"/>
          <cell r="J48"/>
          <cell r="K48"/>
          <cell r="L48"/>
          <cell r="M48"/>
        </row>
        <row r="49">
          <cell r="C49"/>
          <cell r="F49"/>
          <cell r="G49"/>
          <cell r="H49"/>
          <cell r="J49"/>
          <cell r="K49"/>
          <cell r="L49"/>
          <cell r="M49"/>
        </row>
      </sheetData>
      <sheetData sheetId="1">
        <row r="1">
          <cell r="B1"/>
          <cell r="C1"/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/>
          <cell r="T1"/>
          <cell r="U1"/>
          <cell r="V1"/>
          <cell r="W1"/>
          <cell r="X1"/>
          <cell r="Y1"/>
          <cell r="Z1"/>
          <cell r="AA1"/>
          <cell r="AB1"/>
          <cell r="AC1"/>
          <cell r="AD1"/>
          <cell r="AE1"/>
          <cell r="AF1" t="str">
            <v xml:space="preserve"> </v>
          </cell>
          <cell r="AG1"/>
        </row>
        <row r="2">
          <cell r="B2"/>
          <cell r="C2"/>
          <cell r="D2"/>
          <cell r="E2" t="str">
            <v>LISTA DE PRECIOS VEHÍCULOS NUEVOS</v>
          </cell>
          <cell r="F2"/>
          <cell r="G2"/>
          <cell r="H2"/>
          <cell r="I2"/>
          <cell r="J2"/>
          <cell r="K2"/>
          <cell r="L2"/>
          <cell r="M2"/>
          <cell r="N2"/>
          <cell r="O2"/>
          <cell r="P2"/>
          <cell r="Q2"/>
          <cell r="R2"/>
          <cell r="S2"/>
          <cell r="T2"/>
          <cell r="U2"/>
          <cell r="V2"/>
          <cell r="W2"/>
          <cell r="X2"/>
          <cell r="Y2"/>
          <cell r="Z2"/>
          <cell r="AA2"/>
          <cell r="AB2"/>
          <cell r="AC2"/>
          <cell r="AD2"/>
          <cell r="AE2"/>
          <cell r="AF2"/>
          <cell r="AG2"/>
        </row>
        <row r="3">
          <cell r="B3"/>
          <cell r="C3"/>
          <cell r="D3"/>
          <cell r="E3" t="str">
            <v>Nº 05 - 2026</v>
          </cell>
          <cell r="F3"/>
          <cell r="G3"/>
          <cell r="H3"/>
          <cell r="I3"/>
          <cell r="J3"/>
          <cell r="K3"/>
          <cell r="L3"/>
          <cell r="M3"/>
          <cell r="N3"/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  <cell r="AB3"/>
          <cell r="AC3"/>
          <cell r="AD3"/>
          <cell r="AE3"/>
          <cell r="AF3"/>
          <cell r="AG3"/>
        </row>
        <row r="4">
          <cell r="B4"/>
          <cell r="C4"/>
          <cell r="D4"/>
          <cell r="E4">
            <v>46143</v>
          </cell>
          <cell r="F4"/>
          <cell r="G4"/>
          <cell r="H4"/>
          <cell r="I4"/>
          <cell r="J4"/>
          <cell r="K4"/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  <cell r="AC4"/>
          <cell r="AD4"/>
          <cell r="AE4"/>
          <cell r="AF4"/>
          <cell r="AG4"/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B5"/>
          <cell r="AC5"/>
          <cell r="AD5"/>
          <cell r="AE5"/>
          <cell r="AF5"/>
          <cell r="AG5"/>
        </row>
        <row r="6">
          <cell r="B6"/>
          <cell r="C6"/>
          <cell r="D6"/>
          <cell r="E6"/>
          <cell r="F6"/>
          <cell r="G6"/>
          <cell r="H6"/>
          <cell r="I6"/>
          <cell r="J6"/>
          <cell r="K6"/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  <cell r="AA6"/>
          <cell r="AB6"/>
          <cell r="AC6"/>
          <cell r="AD6"/>
          <cell r="AE6"/>
          <cell r="AF6"/>
          <cell r="AG6"/>
        </row>
        <row r="7">
          <cell r="B7"/>
          <cell r="C7"/>
          <cell r="D7"/>
          <cell r="E7"/>
          <cell r="F7"/>
          <cell r="G7"/>
          <cell r="H7"/>
          <cell r="I7"/>
          <cell r="J7"/>
          <cell r="K7" t="str">
            <v>Tope CE</v>
          </cell>
          <cell r="L7"/>
          <cell r="M7"/>
          <cell r="N7"/>
          <cell r="O7">
            <v>2.5000000000000001E-2</v>
          </cell>
          <cell r="P7"/>
          <cell r="Q7"/>
          <cell r="R7"/>
          <cell r="S7"/>
          <cell r="T7"/>
          <cell r="U7"/>
          <cell r="V7"/>
          <cell r="W7"/>
          <cell r="X7"/>
          <cell r="Y7"/>
          <cell r="Z7"/>
          <cell r="AA7"/>
          <cell r="AB7"/>
          <cell r="AC7"/>
          <cell r="AD7"/>
          <cell r="AE7"/>
          <cell r="AF7"/>
          <cell r="AG7"/>
        </row>
        <row r="8">
          <cell r="A8"/>
          <cell r="B8"/>
          <cell r="C8" t="str">
            <v>VEHÍCULOS COMERCIALES</v>
          </cell>
          <cell r="D8" t="str">
            <v>LCDV</v>
          </cell>
          <cell r="E8" t="str">
            <v>CIT</v>
          </cell>
          <cell r="F8"/>
          <cell r="G8" t="str">
            <v>PRECIO LISTA</v>
          </cell>
          <cell r="H8"/>
          <cell r="I8"/>
          <cell r="J8" t="str">
            <v>TODO MEDIO DE PAGO</v>
          </cell>
          <cell r="K8"/>
          <cell r="L8"/>
          <cell r="M8"/>
          <cell r="N8"/>
          <cell r="O8"/>
          <cell r="P8"/>
          <cell r="Q8" t="str">
            <v>CRÉDITO CONVENCIONAL</v>
          </cell>
          <cell r="R8"/>
          <cell r="S8"/>
          <cell r="T8"/>
          <cell r="U8"/>
          <cell r="V8"/>
          <cell r="W8"/>
          <cell r="X8"/>
          <cell r="Y8" t="str">
            <v>COMPRA INTELIGENTE</v>
          </cell>
          <cell r="Z8"/>
          <cell r="AA8"/>
          <cell r="AB8"/>
          <cell r="AC8"/>
          <cell r="AD8"/>
          <cell r="AE8"/>
          <cell r="AF8"/>
          <cell r="AG8" t="str">
            <v>∆ Precio Lista M-1</v>
          </cell>
        </row>
        <row r="9">
          <cell r="A9" t="str">
            <v>COD EDS</v>
          </cell>
          <cell r="B9"/>
          <cell r="C9"/>
          <cell r="D9"/>
          <cell r="E9"/>
          <cell r="F9"/>
          <cell r="G9" t="str">
            <v>CON IVA</v>
          </cell>
          <cell r="H9" t="str">
            <v>SIN IVA</v>
          </cell>
          <cell r="I9"/>
          <cell r="J9" t="str">
            <v>BONO CON IVA</v>
          </cell>
          <cell r="K9" t="str">
            <v>BONO SIN IVA</v>
          </cell>
          <cell r="L9" t="str">
            <v>APORTE CE</v>
          </cell>
          <cell r="M9" t="str">
            <v>APORTE STELLANTIS</v>
          </cell>
          <cell r="N9" t="str">
            <v>PRECIO CON IVA</v>
          </cell>
          <cell r="O9" t="str">
            <v>PRECIO SIN IVA</v>
          </cell>
          <cell r="P9"/>
          <cell r="Q9" t="str">
            <v>BONO CON IVA</v>
          </cell>
          <cell r="R9" t="str">
            <v>BONO SIN IVA</v>
          </cell>
          <cell r="S9" t="str">
            <v>APORTE CE</v>
          </cell>
          <cell r="T9" t="str">
            <v>APORTE STELLANTIS</v>
          </cell>
          <cell r="U9" t="str">
            <v>APORTE FINANCIERA</v>
          </cell>
          <cell r="V9" t="str">
            <v>PRECIO CON IVA</v>
          </cell>
          <cell r="W9" t="str">
            <v>PRECIO SIN IVA</v>
          </cell>
          <cell r="X9"/>
          <cell r="Y9" t="str">
            <v>BONO CON IVA</v>
          </cell>
          <cell r="Z9" t="str">
            <v>BONO SIN IVA</v>
          </cell>
          <cell r="AA9" t="str">
            <v>APORTE CE</v>
          </cell>
          <cell r="AB9" t="str">
            <v>APORTE STELLANTIS</v>
          </cell>
          <cell r="AC9" t="str">
            <v>APORTE FINANCIERA</v>
          </cell>
          <cell r="AD9" t="str">
            <v>PRECIO CON IVA</v>
          </cell>
          <cell r="AE9" t="str">
            <v>PRECIO SIN IVA</v>
          </cell>
          <cell r="AF9"/>
          <cell r="AG9"/>
        </row>
        <row r="10">
          <cell r="B10"/>
          <cell r="C10"/>
          <cell r="D10"/>
          <cell r="E10"/>
          <cell r="F10"/>
          <cell r="G10"/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  <cell r="T10"/>
          <cell r="U10"/>
          <cell r="V10"/>
          <cell r="W10"/>
          <cell r="X10"/>
          <cell r="Y10"/>
          <cell r="Z10"/>
          <cell r="AA10"/>
          <cell r="AB10"/>
          <cell r="AC10"/>
          <cell r="AD10"/>
          <cell r="AE10"/>
          <cell r="AF10"/>
          <cell r="AG10"/>
        </row>
        <row r="11">
          <cell r="A11" t="str">
            <v>COMBO MCA</v>
          </cell>
          <cell r="B11"/>
          <cell r="C11" t="str">
            <v>COMBO MCA</v>
          </cell>
          <cell r="D11"/>
          <cell r="E11"/>
          <cell r="F11"/>
          <cell r="G11"/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  <cell r="T11"/>
          <cell r="U11"/>
          <cell r="V11"/>
          <cell r="W11"/>
          <cell r="X11"/>
          <cell r="Y11"/>
          <cell r="Z11"/>
          <cell r="AA11"/>
          <cell r="AB11"/>
          <cell r="AC11"/>
          <cell r="AD11"/>
          <cell r="AE11"/>
          <cell r="AF11"/>
          <cell r="AG11"/>
        </row>
        <row r="12">
          <cell r="A12" t="str">
            <v>COMBO MCA LITE 1.5 TD</v>
          </cell>
          <cell r="B12"/>
          <cell r="C12" t="str">
            <v>Combo Lite Diesel 100HP MT</v>
          </cell>
          <cell r="D12" t="str">
            <v>2GK91C4MNKJRA080302</v>
          </cell>
          <cell r="E12" t="str">
            <v>OP9510E60524S01-8</v>
          </cell>
          <cell r="F12"/>
          <cell r="G12">
            <v>22598100</v>
          </cell>
          <cell r="H12">
            <v>18990000</v>
          </cell>
          <cell r="I12"/>
          <cell r="J12">
            <v>2737000</v>
          </cell>
          <cell r="K12">
            <v>2300000</v>
          </cell>
          <cell r="L12">
            <v>474750</v>
          </cell>
          <cell r="M12">
            <v>1825250</v>
          </cell>
          <cell r="N12">
            <v>19861100</v>
          </cell>
          <cell r="O12">
            <v>16690000</v>
          </cell>
          <cell r="P12"/>
          <cell r="Q12">
            <v>3332000</v>
          </cell>
          <cell r="R12">
            <v>2800000</v>
          </cell>
          <cell r="S12">
            <v>474750</v>
          </cell>
          <cell r="T12">
            <v>1825250</v>
          </cell>
          <cell r="U12">
            <v>500000</v>
          </cell>
          <cell r="V12">
            <v>19266100</v>
          </cell>
          <cell r="W12">
            <v>16190000</v>
          </cell>
          <cell r="X12"/>
          <cell r="Y12" t="str">
            <v>N/A</v>
          </cell>
          <cell r="Z12" t="str">
            <v>N/A</v>
          </cell>
          <cell r="AA12" t="str">
            <v>N/A</v>
          </cell>
          <cell r="AB12" t="str">
            <v>N/A</v>
          </cell>
          <cell r="AC12" t="str">
            <v>N/A</v>
          </cell>
          <cell r="AD12" t="str">
            <v>N/A</v>
          </cell>
          <cell r="AE12" t="str">
            <v>N/A</v>
          </cell>
          <cell r="AF12"/>
          <cell r="AG12" t="str">
            <v>ISO</v>
          </cell>
        </row>
        <row r="13">
          <cell r="B13"/>
          <cell r="C13"/>
          <cell r="D13"/>
          <cell r="E13"/>
          <cell r="F13"/>
          <cell r="G13"/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 t="str">
            <v xml:space="preserve"> </v>
          </cell>
          <cell r="X13"/>
          <cell r="Y13"/>
          <cell r="Z13"/>
          <cell r="AA13"/>
          <cell r="AB13"/>
          <cell r="AC13"/>
          <cell r="AD13"/>
          <cell r="AE13"/>
          <cell r="AF13"/>
          <cell r="AG13"/>
        </row>
        <row r="14">
          <cell r="F14"/>
        </row>
        <row r="15"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  <cell r="T15"/>
          <cell r="U15"/>
          <cell r="V15"/>
          <cell r="W15"/>
          <cell r="X15"/>
          <cell r="Y15"/>
          <cell r="Z15"/>
          <cell r="AA15"/>
          <cell r="AB15"/>
          <cell r="AC15"/>
          <cell r="AD15"/>
          <cell r="AE15"/>
        </row>
        <row r="16"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  <cell r="T16"/>
          <cell r="U16"/>
          <cell r="V16"/>
          <cell r="W16"/>
          <cell r="X16"/>
          <cell r="Y16"/>
          <cell r="Z16"/>
          <cell r="AA16"/>
          <cell r="AB16"/>
          <cell r="AC16"/>
          <cell r="AD16"/>
          <cell r="AE16"/>
        </row>
        <row r="17"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/>
          <cell r="W17"/>
          <cell r="X17"/>
          <cell r="Y17"/>
          <cell r="Z17"/>
          <cell r="AA17"/>
          <cell r="AB17"/>
          <cell r="AC17"/>
          <cell r="AD17"/>
          <cell r="AE17"/>
        </row>
        <row r="18"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</row>
        <row r="19">
          <cell r="F19"/>
        </row>
        <row r="20">
          <cell r="F20"/>
        </row>
        <row r="22">
          <cell r="C22"/>
          <cell r="F22"/>
          <cell r="G22"/>
          <cell r="H22"/>
          <cell r="J22"/>
          <cell r="K22"/>
          <cell r="L22"/>
          <cell r="M22"/>
          <cell r="N22"/>
          <cell r="O22"/>
          <cell r="Z22"/>
        </row>
        <row r="23">
          <cell r="C23"/>
          <cell r="F23"/>
          <cell r="G23"/>
          <cell r="H23"/>
          <cell r="J23"/>
          <cell r="K23"/>
          <cell r="L23"/>
          <cell r="M23"/>
          <cell r="N23"/>
          <cell r="O23"/>
        </row>
        <row r="24">
          <cell r="C24"/>
          <cell r="F24"/>
          <cell r="G24"/>
          <cell r="H24"/>
          <cell r="J24"/>
          <cell r="K24"/>
          <cell r="L24"/>
          <cell r="M24"/>
          <cell r="N24"/>
          <cell r="O24"/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8B931-0E50-42E2-9189-C25FD797EF31}">
  <sheetPr>
    <tabColor theme="1"/>
    <pageSetUpPr fitToPage="1"/>
  </sheetPr>
  <dimension ref="A1:AQ49"/>
  <sheetViews>
    <sheetView showGridLines="0" tabSelected="1" zoomScale="70" zoomScaleNormal="70" zoomScaleSheetLayoutView="85" workbookViewId="0">
      <pane xSplit="3" ySplit="9" topLeftCell="D10" activePane="bottomRight" state="frozen"/>
      <selection pane="topRight" activeCell="F1" sqref="F1"/>
      <selection pane="bottomLeft" activeCell="A9" sqref="A9"/>
      <selection pane="bottomRight" activeCell="Y17" sqref="Y17"/>
    </sheetView>
  </sheetViews>
  <sheetFormatPr baseColWidth="10" defaultColWidth="11.42578125" defaultRowHeight="24.95" customHeight="1" outlineLevelCol="1" x14ac:dyDescent="0.25"/>
  <cols>
    <col min="1" max="1" width="43.5703125" style="2" hidden="1" customWidth="1" outlineLevel="1"/>
    <col min="2" max="2" width="3.7109375" style="4" customWidth="1" collapsed="1"/>
    <col min="3" max="3" width="65.7109375" style="4" customWidth="1"/>
    <col min="4" max="4" width="35.7109375" style="2" hidden="1" customWidth="1" outlineLevel="1"/>
    <col min="5" max="5" width="35.7109375" style="2" customWidth="1" collapsed="1"/>
    <col min="6" max="6" width="2.7109375" style="44" customWidth="1"/>
    <col min="7" max="7" width="25.7109375" style="39" customWidth="1"/>
    <col min="8" max="8" width="25.7109375" style="39" hidden="1" customWidth="1" outlineLevel="1"/>
    <col min="9" max="9" width="2.7109375" style="39" customWidth="1" collapsed="1"/>
    <col min="10" max="10" width="25.7109375" style="39" customWidth="1"/>
    <col min="11" max="12" width="25.7109375" style="39" hidden="1" customWidth="1" outlineLevel="1"/>
    <col min="13" max="13" width="25.7109375" style="39" customWidth="1" collapsed="1"/>
    <col min="14" max="14" width="2.7109375" style="39" customWidth="1"/>
    <col min="15" max="15" width="25.7109375" style="39" customWidth="1"/>
    <col min="16" max="18" width="25.7109375" style="39" hidden="1" customWidth="1" outlineLevel="1"/>
    <col min="19" max="19" width="25.7109375" style="39" customWidth="1" collapsed="1"/>
    <col min="20" max="20" width="2.7109375" style="39" customWidth="1"/>
    <col min="21" max="21" width="25.7109375" style="39" customWidth="1"/>
    <col min="22" max="24" width="25.7109375" style="39" hidden="1" customWidth="1" outlineLevel="1"/>
    <col min="25" max="25" width="25.7109375" style="39" customWidth="1" collapsed="1"/>
    <col min="26" max="26" width="2.7109375" style="39" customWidth="1"/>
    <col min="27" max="30" width="19.85546875" style="39" hidden="1" customWidth="1" outlineLevel="1"/>
    <col min="31" max="31" width="2.7109375" style="39" customWidth="1" collapsed="1"/>
    <col min="32" max="32" width="15.7109375" style="39" hidden="1" customWidth="1" outlineLevel="1"/>
    <col min="33" max="34" width="20.7109375" style="39" hidden="1" customWidth="1" outlineLevel="1"/>
    <col min="35" max="35" width="2.7109375" style="39" hidden="1" customWidth="1" outlineLevel="1"/>
    <col min="36" max="36" width="2.7109375" style="2" customWidth="1" collapsed="1"/>
    <col min="37" max="43" width="2.7109375" style="3" customWidth="1"/>
    <col min="44" max="16383" width="2.7109375" style="4" customWidth="1"/>
    <col min="16384" max="16384" width="11.42578125" style="4"/>
  </cols>
  <sheetData>
    <row r="1" spans="1:43" ht="24.95" customHeight="1" x14ac:dyDescent="0.3">
      <c r="A1" s="85"/>
      <c r="B1" s="5"/>
      <c r="C1" s="6"/>
      <c r="D1" s="7"/>
      <c r="E1" s="7"/>
      <c r="F1" s="8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 t="s">
        <v>0</v>
      </c>
      <c r="AA1" s="9"/>
      <c r="AB1" s="9"/>
      <c r="AC1" s="9"/>
      <c r="AD1" s="9"/>
      <c r="AE1" s="9"/>
      <c r="AF1" s="9"/>
      <c r="AG1" s="9"/>
      <c r="AH1" s="9"/>
      <c r="AI1" s="105"/>
      <c r="AJ1" s="117"/>
    </row>
    <row r="2" spans="1:43" ht="24.95" customHeight="1" x14ac:dyDescent="0.3">
      <c r="A2" s="85"/>
      <c r="B2" s="5"/>
      <c r="C2" s="10"/>
      <c r="D2" s="7"/>
      <c r="E2" s="45" t="s">
        <v>26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2"/>
      <c r="AA2" s="12"/>
      <c r="AB2" s="12"/>
      <c r="AC2" s="12"/>
      <c r="AD2" s="12"/>
      <c r="AE2" s="12"/>
      <c r="AF2" s="12"/>
      <c r="AG2" s="12"/>
      <c r="AH2" s="12"/>
      <c r="AI2" s="106"/>
      <c r="AJ2" s="117"/>
    </row>
    <row r="3" spans="1:43" ht="24.95" customHeight="1" x14ac:dyDescent="0.3">
      <c r="A3" s="85"/>
      <c r="B3" s="5"/>
      <c r="C3" s="10"/>
      <c r="D3" s="7"/>
      <c r="E3" s="46" t="s">
        <v>121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4"/>
      <c r="AA3" s="14"/>
      <c r="AB3" s="14"/>
      <c r="AC3" s="14"/>
      <c r="AD3" s="14"/>
      <c r="AE3" s="14"/>
      <c r="AF3" s="14"/>
      <c r="AG3" s="14"/>
      <c r="AH3" s="14"/>
      <c r="AI3" s="107"/>
      <c r="AJ3" s="117"/>
    </row>
    <row r="4" spans="1:43" ht="24.95" customHeight="1" x14ac:dyDescent="0.3">
      <c r="A4" s="85"/>
      <c r="B4" s="5"/>
      <c r="C4" s="13"/>
      <c r="D4" s="7"/>
      <c r="E4" s="47">
        <v>46174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4"/>
      <c r="AA4" s="14"/>
      <c r="AB4" s="14"/>
      <c r="AC4" s="14"/>
      <c r="AD4" s="14"/>
      <c r="AE4" s="14"/>
      <c r="AF4" s="14"/>
      <c r="AG4" s="14"/>
      <c r="AH4" s="14"/>
      <c r="AI4" s="108"/>
      <c r="AJ4" s="117"/>
    </row>
    <row r="5" spans="1:43" ht="24.95" customHeight="1" x14ac:dyDescent="0.3">
      <c r="A5" s="85"/>
      <c r="B5" s="5"/>
      <c r="C5" s="15"/>
      <c r="D5" s="16"/>
      <c r="E5" s="7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4"/>
      <c r="AA5" s="14"/>
      <c r="AB5" s="14"/>
      <c r="AC5" s="14"/>
      <c r="AD5" s="14"/>
      <c r="AE5" s="14"/>
      <c r="AF5" s="14"/>
      <c r="AG5" s="14"/>
      <c r="AH5" s="14"/>
      <c r="AI5" s="107"/>
      <c r="AJ5" s="117"/>
    </row>
    <row r="6" spans="1:43" ht="24.95" customHeight="1" x14ac:dyDescent="0.3">
      <c r="A6" s="85"/>
      <c r="B6" s="5"/>
      <c r="C6" s="15"/>
      <c r="D6" s="16"/>
      <c r="E6" s="7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4"/>
      <c r="AA6" s="14"/>
      <c r="AB6" s="14"/>
      <c r="AC6" s="14"/>
      <c r="AD6" s="14"/>
      <c r="AE6" s="14"/>
      <c r="AF6" s="14"/>
      <c r="AG6" s="14"/>
      <c r="AH6" s="14"/>
      <c r="AI6" s="107"/>
      <c r="AJ6" s="117"/>
    </row>
    <row r="7" spans="1:43" ht="24.95" customHeight="1" thickBot="1" x14ac:dyDescent="0.4">
      <c r="A7" s="85"/>
      <c r="B7" s="5"/>
      <c r="C7" s="15"/>
      <c r="D7" s="16"/>
      <c r="E7" s="7"/>
      <c r="F7" s="15"/>
      <c r="G7" s="15"/>
      <c r="H7" s="15"/>
      <c r="I7" s="140"/>
      <c r="J7" s="133" t="s">
        <v>44</v>
      </c>
      <c r="K7" s="134"/>
      <c r="L7" s="135"/>
      <c r="M7" s="136">
        <v>2.5000000000000001E-2</v>
      </c>
      <c r="N7" s="137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4"/>
      <c r="AA7" s="14"/>
      <c r="AB7" s="14"/>
      <c r="AC7" s="14"/>
      <c r="AD7" s="14"/>
      <c r="AE7" s="14"/>
      <c r="AF7" s="14"/>
      <c r="AG7" s="14"/>
      <c r="AH7" s="14"/>
      <c r="AI7" s="107"/>
      <c r="AJ7" s="117"/>
    </row>
    <row r="8" spans="1:43" s="65" customFormat="1" ht="27" customHeight="1" x14ac:dyDescent="0.4">
      <c r="A8" s="86"/>
      <c r="B8" s="91"/>
      <c r="C8" s="171" t="s">
        <v>5</v>
      </c>
      <c r="D8" s="172" t="s">
        <v>6</v>
      </c>
      <c r="E8" s="172" t="s">
        <v>7</v>
      </c>
      <c r="F8" s="1"/>
      <c r="G8" s="173" t="s">
        <v>31</v>
      </c>
      <c r="H8" s="174"/>
      <c r="I8" s="141"/>
      <c r="J8" s="178" t="s">
        <v>28</v>
      </c>
      <c r="K8" s="179"/>
      <c r="L8" s="179"/>
      <c r="M8" s="180"/>
      <c r="N8" s="138"/>
      <c r="O8" s="181" t="s">
        <v>29</v>
      </c>
      <c r="P8" s="182"/>
      <c r="Q8" s="182"/>
      <c r="R8" s="182"/>
      <c r="S8" s="183"/>
      <c r="T8" s="62"/>
      <c r="U8" s="184" t="s">
        <v>30</v>
      </c>
      <c r="V8" s="185"/>
      <c r="W8" s="185"/>
      <c r="X8" s="185"/>
      <c r="Y8" s="186"/>
      <c r="Z8" s="63"/>
      <c r="AA8" s="175" t="s">
        <v>102</v>
      </c>
      <c r="AB8" s="175" t="s">
        <v>103</v>
      </c>
      <c r="AC8" s="175" t="s">
        <v>119</v>
      </c>
      <c r="AD8" s="175" t="s">
        <v>120</v>
      </c>
      <c r="AE8" s="63"/>
      <c r="AF8" s="176" t="s">
        <v>1</v>
      </c>
      <c r="AG8" s="177" t="s">
        <v>2</v>
      </c>
      <c r="AH8" s="177" t="s">
        <v>3</v>
      </c>
      <c r="AI8" s="109"/>
      <c r="AJ8" s="118"/>
      <c r="AK8" s="64"/>
      <c r="AL8" s="64"/>
      <c r="AM8" s="64"/>
      <c r="AN8" s="64"/>
      <c r="AO8" s="64"/>
      <c r="AP8" s="64"/>
      <c r="AQ8" s="64"/>
    </row>
    <row r="9" spans="1:43" s="2" customFormat="1" ht="42" customHeight="1" thickBot="1" x14ac:dyDescent="0.4">
      <c r="A9" s="85" t="s">
        <v>4</v>
      </c>
      <c r="B9" s="87"/>
      <c r="C9" s="171"/>
      <c r="D9" s="172"/>
      <c r="E9" s="172"/>
      <c r="F9" s="13"/>
      <c r="G9" s="48" t="s">
        <v>106</v>
      </c>
      <c r="H9" s="57" t="s">
        <v>105</v>
      </c>
      <c r="I9" s="142" t="s">
        <v>107</v>
      </c>
      <c r="J9" s="157" t="s">
        <v>108</v>
      </c>
      <c r="K9" s="158" t="s">
        <v>109</v>
      </c>
      <c r="L9" s="158" t="s">
        <v>110</v>
      </c>
      <c r="M9" s="159" t="s">
        <v>111</v>
      </c>
      <c r="N9" s="139" t="s">
        <v>107</v>
      </c>
      <c r="O9" s="160" t="s">
        <v>108</v>
      </c>
      <c r="P9" s="161" t="s">
        <v>109</v>
      </c>
      <c r="Q9" s="161" t="s">
        <v>110</v>
      </c>
      <c r="R9" s="161" t="s">
        <v>112</v>
      </c>
      <c r="S9" s="161" t="s">
        <v>111</v>
      </c>
      <c r="T9" s="15" t="s">
        <v>107</v>
      </c>
      <c r="U9" s="162" t="s">
        <v>108</v>
      </c>
      <c r="V9" s="162" t="s">
        <v>109</v>
      </c>
      <c r="W9" s="162" t="s">
        <v>110</v>
      </c>
      <c r="X9" s="162" t="s">
        <v>112</v>
      </c>
      <c r="Y9" s="162" t="s">
        <v>111</v>
      </c>
      <c r="Z9" s="14"/>
      <c r="AA9" s="175"/>
      <c r="AB9" s="175"/>
      <c r="AC9" s="175"/>
      <c r="AD9" s="175"/>
      <c r="AE9" s="14"/>
      <c r="AF9" s="176"/>
      <c r="AG9" s="177"/>
      <c r="AH9" s="177"/>
      <c r="AI9" s="107"/>
      <c r="AJ9" s="119"/>
      <c r="AK9" s="18"/>
      <c r="AL9" s="18"/>
      <c r="AM9" s="18"/>
      <c r="AN9" s="18"/>
      <c r="AO9" s="18"/>
      <c r="AP9" s="18"/>
      <c r="AQ9" s="18"/>
    </row>
    <row r="10" spans="1:43" s="2" customFormat="1" ht="15" customHeight="1" x14ac:dyDescent="0.35">
      <c r="A10" s="85"/>
      <c r="B10" s="87"/>
      <c r="C10" s="19"/>
      <c r="D10" s="20"/>
      <c r="E10" s="20"/>
      <c r="F10" s="21"/>
      <c r="G10" s="22"/>
      <c r="H10" s="22"/>
      <c r="I10" s="17"/>
      <c r="J10" s="23"/>
      <c r="K10" s="23"/>
      <c r="L10" s="23"/>
      <c r="M10" s="23"/>
      <c r="N10" s="17"/>
      <c r="O10" s="24"/>
      <c r="P10" s="24"/>
      <c r="Q10" s="24"/>
      <c r="R10" s="24"/>
      <c r="S10" s="24"/>
      <c r="T10" s="19"/>
      <c r="U10" s="22"/>
      <c r="V10" s="22"/>
      <c r="W10" s="22"/>
      <c r="X10" s="22"/>
      <c r="Y10" s="22"/>
      <c r="Z10" s="25"/>
      <c r="AA10" s="26"/>
      <c r="AB10" s="26"/>
      <c r="AC10" s="26"/>
      <c r="AD10" s="26"/>
      <c r="AE10" s="25"/>
      <c r="AF10" s="27"/>
      <c r="AG10" s="26"/>
      <c r="AH10" s="26"/>
      <c r="AI10" s="110"/>
      <c r="AJ10" s="117"/>
      <c r="AK10" s="18"/>
      <c r="AL10" s="18"/>
      <c r="AM10" s="18"/>
      <c r="AN10" s="18"/>
      <c r="AO10" s="18"/>
      <c r="AP10" s="18"/>
      <c r="AQ10" s="18"/>
    </row>
    <row r="11" spans="1:43" ht="24.95" customHeight="1" x14ac:dyDescent="0.35">
      <c r="A11" s="124" t="s">
        <v>8</v>
      </c>
      <c r="B11" s="88"/>
      <c r="C11" s="169" t="s">
        <v>8</v>
      </c>
      <c r="D11" s="170"/>
      <c r="E11" s="170"/>
      <c r="F11" s="13"/>
      <c r="G11" s="28"/>
      <c r="H11" s="29"/>
      <c r="I11" s="17"/>
      <c r="J11" s="29"/>
      <c r="K11" s="29"/>
      <c r="L11" s="29"/>
      <c r="M11" s="30"/>
      <c r="N11" s="17"/>
      <c r="O11" s="29"/>
      <c r="P11" s="29"/>
      <c r="Q11" s="29"/>
      <c r="R11" s="29"/>
      <c r="S11" s="30"/>
      <c r="T11" s="31"/>
      <c r="U11" s="32"/>
      <c r="V11" s="32"/>
      <c r="W11" s="32"/>
      <c r="X11" s="32"/>
      <c r="Y11" s="30"/>
      <c r="Z11" s="14"/>
      <c r="AA11" s="30"/>
      <c r="AB11" s="30"/>
      <c r="AC11" s="30"/>
      <c r="AD11" s="30"/>
      <c r="AE11" s="14"/>
      <c r="AF11" s="33"/>
      <c r="AG11" s="30"/>
      <c r="AH11" s="30"/>
      <c r="AI11" s="107"/>
      <c r="AJ11" s="117"/>
    </row>
    <row r="12" spans="1:43" ht="24.95" customHeight="1" x14ac:dyDescent="0.35">
      <c r="A12" s="85" t="s">
        <v>49</v>
      </c>
      <c r="B12" s="89"/>
      <c r="C12" s="127" t="s">
        <v>72</v>
      </c>
      <c r="D12" s="128" t="s">
        <v>54</v>
      </c>
      <c r="E12" s="128" t="s">
        <v>60</v>
      </c>
      <c r="F12" s="49"/>
      <c r="G12" s="50">
        <v>17390000</v>
      </c>
      <c r="H12" s="52">
        <f t="shared" ref="H12" si="0">+G12/1.19</f>
        <v>14613445.37815126</v>
      </c>
      <c r="I12" s="51"/>
      <c r="J12" s="52">
        <v>1300000</v>
      </c>
      <c r="K12" s="52">
        <f t="shared" ref="K12" si="1">+IF(J12/2&gt;G12*$M$7,G12*$M$7,J12/2)</f>
        <v>434750</v>
      </c>
      <c r="L12" s="52">
        <f t="shared" ref="L12" si="2">J12-K12</f>
        <v>865250</v>
      </c>
      <c r="M12" s="53">
        <f t="shared" ref="M12" si="3">$G12-J12</f>
        <v>16090000</v>
      </c>
      <c r="N12" s="51"/>
      <c r="O12" s="52">
        <v>2200000</v>
      </c>
      <c r="P12" s="52">
        <f t="shared" ref="P12" si="4">+K12</f>
        <v>434750</v>
      </c>
      <c r="Q12" s="52">
        <f>+L12</f>
        <v>865250</v>
      </c>
      <c r="R12" s="52">
        <f>+O12-P12-Q12</f>
        <v>900000</v>
      </c>
      <c r="S12" s="53">
        <f>$G12-O12</f>
        <v>15190000</v>
      </c>
      <c r="T12" s="54"/>
      <c r="U12" s="52">
        <v>3600000</v>
      </c>
      <c r="V12" s="52">
        <f t="shared" ref="V12:W14" si="5">+K12</f>
        <v>434750</v>
      </c>
      <c r="W12" s="52">
        <f t="shared" si="5"/>
        <v>865250</v>
      </c>
      <c r="X12" s="52">
        <f>+U12-V12-W12</f>
        <v>2300000</v>
      </c>
      <c r="Y12" s="53">
        <f>$G12-U12</f>
        <v>13790000</v>
      </c>
      <c r="Z12" s="55"/>
      <c r="AA12" s="143" t="str">
        <f>+IFERROR(IF(G12-VLOOKUP($A12,[1]PASAJEROS!$A:$AA,COLUMNS([1]PASAJEROS!$A$11:$G$11),0)=0,"ISO",G12-VLOOKUP($A12,[1]PASAJEROS!$A:$AA,COLUMNS([1]PASAJEROS!$A$11:$G$11),0)),"N/A")</f>
        <v>ISO</v>
      </c>
      <c r="AB12" s="143" t="str">
        <f>+IFERROR(IF(M12-VLOOKUP($A12,[1]PASAJEROS!$A:$AA,COLUMNS([1]PASAJEROS!$A$11:$M$11),0)=0,"ISO",M12-VLOOKUP($A12,[1]PASAJEROS!$A:$AA,COLUMNS([1]PASAJEROS!$A$11:$M$11),0)),"N/A")</f>
        <v>ISO</v>
      </c>
      <c r="AC12" s="143" t="str">
        <f>+IFERROR(IF(S12-VLOOKUP($A12,[1]PASAJEROS!$A:$AA,COLUMNS([1]PASAJEROS!$A$11:$S$11),0)=0,"ISO",S12-VLOOKUP($A12,[1]PASAJEROS!$A:$AA,COLUMNS([1]PASAJEROS!$A$11:S$11),0)),"N/A")</f>
        <v>ISO</v>
      </c>
      <c r="AD12" s="143" t="str">
        <f>+IFERROR(IF(Y12-VLOOKUP($A12,[1]PASAJEROS!$A:$AA,COLUMNS([1]PASAJEROS!$A$11:$Y$11),0)=0,"ISO",Y12-VLOOKUP($A12,[1]PASAJEROS!$A:$AA,COLUMNS([1]PASAJEROS!$A$11:$Y$11),0)),"N/A")</f>
        <v>ISO</v>
      </c>
      <c r="AE12" s="14"/>
      <c r="AF12" s="147">
        <v>0.09</v>
      </c>
      <c r="AG12" s="56">
        <f>+G12*(1-AF12)</f>
        <v>15824900</v>
      </c>
      <c r="AH12" s="56">
        <f t="shared" ref="AH12" si="6">+AG12/1.19</f>
        <v>13298235.294117648</v>
      </c>
      <c r="AI12" s="107"/>
      <c r="AJ12" s="120"/>
      <c r="AK12" s="35"/>
      <c r="AL12" s="35"/>
      <c r="AM12" s="35"/>
      <c r="AN12" s="35"/>
      <c r="AO12" s="35"/>
      <c r="AP12" s="35"/>
      <c r="AQ12" s="35"/>
    </row>
    <row r="13" spans="1:43" ht="24.95" customHeight="1" x14ac:dyDescent="0.35">
      <c r="A13" s="85" t="s">
        <v>9</v>
      </c>
      <c r="B13" s="89"/>
      <c r="C13" s="127" t="s">
        <v>73</v>
      </c>
      <c r="D13" s="128" t="s">
        <v>10</v>
      </c>
      <c r="E13" s="128" t="s">
        <v>11</v>
      </c>
      <c r="F13" s="49"/>
      <c r="G13" s="50">
        <v>18690000</v>
      </c>
      <c r="H13" s="52">
        <f t="shared" ref="H13:H14" si="7">+G13/1.19</f>
        <v>15705882.352941178</v>
      </c>
      <c r="I13" s="51"/>
      <c r="J13" s="52">
        <v>1300000</v>
      </c>
      <c r="K13" s="52">
        <f t="shared" ref="K13:K14" si="8">+IF(J13/2&gt;G13*$M$7,G13*$M$7,J13/2)</f>
        <v>467250</v>
      </c>
      <c r="L13" s="52">
        <f t="shared" ref="L13:L14" si="9">J13-K13</f>
        <v>832750</v>
      </c>
      <c r="M13" s="53">
        <f t="shared" ref="M13:M14" si="10">$G13-J13</f>
        <v>17390000</v>
      </c>
      <c r="N13" s="51"/>
      <c r="O13" s="52">
        <v>2200000</v>
      </c>
      <c r="P13" s="52">
        <f t="shared" ref="P13:P14" si="11">+K13</f>
        <v>467250</v>
      </c>
      <c r="Q13" s="52">
        <f>+L13</f>
        <v>832750</v>
      </c>
      <c r="R13" s="52">
        <f>+O13-P13-Q13</f>
        <v>900000</v>
      </c>
      <c r="S13" s="53">
        <f>$G13-O13</f>
        <v>16490000</v>
      </c>
      <c r="T13" s="54"/>
      <c r="U13" s="52">
        <v>3600000</v>
      </c>
      <c r="V13" s="52">
        <f t="shared" si="5"/>
        <v>467250</v>
      </c>
      <c r="W13" s="52">
        <f t="shared" si="5"/>
        <v>832750</v>
      </c>
      <c r="X13" s="52">
        <f>+U13-V13-W13</f>
        <v>2300000</v>
      </c>
      <c r="Y13" s="53">
        <f>$G13-U13</f>
        <v>15090000</v>
      </c>
      <c r="Z13" s="55"/>
      <c r="AA13" s="143" t="str">
        <f>+IFERROR(IF(G13-VLOOKUP($A13,[1]PASAJEROS!$A:$AA,COLUMNS([1]PASAJEROS!$A$11:$G$11),0)=0,"ISO",G13-VLOOKUP($A13,[1]PASAJEROS!$A:$AA,COLUMNS([1]PASAJEROS!$A$11:$G$11),0)),"N/A")</f>
        <v>ISO</v>
      </c>
      <c r="AB13" s="143" t="str">
        <f>+IFERROR(IF(M13-VLOOKUP($A13,[1]PASAJEROS!$A:$AA,COLUMNS([1]PASAJEROS!$A$11:$M$11),0)=0,"ISO",M13-VLOOKUP($A13,[1]PASAJEROS!$A:$AA,COLUMNS([1]PASAJEROS!$A$11:$M$11),0)),"N/A")</f>
        <v>ISO</v>
      </c>
      <c r="AC13" s="143" t="str">
        <f>+IFERROR(IF(S13-VLOOKUP($A13,[1]PASAJEROS!$A:$AA,COLUMNS([1]PASAJEROS!$A$11:$S$11),0)=0,"ISO",S13-VLOOKUP($A13,[1]PASAJEROS!$A:$AA,COLUMNS([1]PASAJEROS!$A$11:S$11),0)),"N/A")</f>
        <v>ISO</v>
      </c>
      <c r="AD13" s="143" t="str">
        <f>+IFERROR(IF(Y13-VLOOKUP($A13,[1]PASAJEROS!$A:$AA,COLUMNS([1]PASAJEROS!$A$11:$Y$11),0)=0,"ISO",Y13-VLOOKUP($A13,[1]PASAJEROS!$A:$AA,COLUMNS([1]PASAJEROS!$A$11:$Y$11),0)),"N/A")</f>
        <v>ISO</v>
      </c>
      <c r="AE13" s="14"/>
      <c r="AF13" s="147">
        <v>0.09</v>
      </c>
      <c r="AG13" s="56">
        <f>+G13*(1-AF13)</f>
        <v>17007900</v>
      </c>
      <c r="AH13" s="56">
        <f t="shared" ref="AH13:AH14" si="12">+AG13/1.19</f>
        <v>14292352.94117647</v>
      </c>
      <c r="AI13" s="107"/>
      <c r="AJ13" s="120"/>
      <c r="AK13" s="35"/>
      <c r="AL13" s="35"/>
      <c r="AM13" s="35"/>
      <c r="AN13" s="35"/>
      <c r="AO13" s="35"/>
      <c r="AP13" s="35"/>
      <c r="AQ13" s="35"/>
    </row>
    <row r="14" spans="1:43" ht="24.95" customHeight="1" x14ac:dyDescent="0.35">
      <c r="A14" s="85" t="s">
        <v>12</v>
      </c>
      <c r="B14" s="88"/>
      <c r="C14" s="127" t="s">
        <v>74</v>
      </c>
      <c r="D14" s="128" t="s">
        <v>13</v>
      </c>
      <c r="E14" s="128" t="s">
        <v>11</v>
      </c>
      <c r="F14" s="49"/>
      <c r="G14" s="50">
        <v>20490000</v>
      </c>
      <c r="H14" s="52">
        <f t="shared" si="7"/>
        <v>17218487.394957986</v>
      </c>
      <c r="I14" s="51"/>
      <c r="J14" s="52">
        <v>1300000</v>
      </c>
      <c r="K14" s="52">
        <f t="shared" si="8"/>
        <v>512250</v>
      </c>
      <c r="L14" s="52">
        <f t="shared" si="9"/>
        <v>787750</v>
      </c>
      <c r="M14" s="53">
        <f t="shared" si="10"/>
        <v>19190000</v>
      </c>
      <c r="N14" s="51"/>
      <c r="O14" s="52">
        <v>1700000</v>
      </c>
      <c r="P14" s="52">
        <f t="shared" si="11"/>
        <v>512250</v>
      </c>
      <c r="Q14" s="52">
        <f>+L14</f>
        <v>787750</v>
      </c>
      <c r="R14" s="52">
        <f>+O14-P14-Q14</f>
        <v>400000</v>
      </c>
      <c r="S14" s="53">
        <f>$G14-O14</f>
        <v>18790000</v>
      </c>
      <c r="T14" s="54"/>
      <c r="U14" s="52">
        <v>3900000</v>
      </c>
      <c r="V14" s="52">
        <f t="shared" si="5"/>
        <v>512250</v>
      </c>
      <c r="W14" s="52">
        <f t="shared" si="5"/>
        <v>787750</v>
      </c>
      <c r="X14" s="52">
        <f>+U14-V14-W14</f>
        <v>2600000</v>
      </c>
      <c r="Y14" s="53">
        <f>$G14-U14</f>
        <v>16590000</v>
      </c>
      <c r="Z14" s="55"/>
      <c r="AA14" s="143" t="str">
        <f>+IFERROR(IF(G14-VLOOKUP($A14,[1]PASAJEROS!$A:$AA,COLUMNS([1]PASAJEROS!$A$11:$G$11),0)=0,"ISO",G14-VLOOKUP($A14,[1]PASAJEROS!$A:$AA,COLUMNS([1]PASAJEROS!$A$11:$G$11),0)),"N/A")</f>
        <v>ISO</v>
      </c>
      <c r="AB14" s="143" t="str">
        <f>+IFERROR(IF(M14-VLOOKUP($A14,[1]PASAJEROS!$A:$AA,COLUMNS([1]PASAJEROS!$A$11:$M$11),0)=0,"ISO",M14-VLOOKUP($A14,[1]PASAJEROS!$A:$AA,COLUMNS([1]PASAJEROS!$A$11:$M$11),0)),"N/A")</f>
        <v>ISO</v>
      </c>
      <c r="AC14" s="143" t="str">
        <f>+IFERROR(IF(S14-VLOOKUP($A14,[1]PASAJEROS!$A:$AA,COLUMNS([1]PASAJEROS!$A$11:$S$11),0)=0,"ISO",S14-VLOOKUP($A14,[1]PASAJEROS!$A:$AA,COLUMNS([1]PASAJEROS!$A$11:S$11),0)),"N/A")</f>
        <v>ISO</v>
      </c>
      <c r="AD14" s="143" t="str">
        <f>+IFERROR(IF(Y14-VLOOKUP($A14,[1]PASAJEROS!$A:$AA,COLUMNS([1]PASAJEROS!$A$11:$Y$11),0)=0,"ISO",Y14-VLOOKUP($A14,[1]PASAJEROS!$A:$AA,COLUMNS([1]PASAJEROS!$A$11:$Y$11),0)),"N/A")</f>
        <v>ISO</v>
      </c>
      <c r="AE14" s="14"/>
      <c r="AF14" s="147">
        <v>0.09</v>
      </c>
      <c r="AG14" s="56">
        <f>+G14*(1-AF14)</f>
        <v>18645900</v>
      </c>
      <c r="AH14" s="56">
        <f t="shared" si="12"/>
        <v>15668823.529411765</v>
      </c>
      <c r="AI14" s="107"/>
      <c r="AJ14" s="120"/>
      <c r="AK14" s="35"/>
      <c r="AL14" s="35"/>
      <c r="AM14" s="35"/>
      <c r="AN14" s="35"/>
      <c r="AO14" s="35"/>
      <c r="AP14" s="35"/>
      <c r="AQ14" s="35"/>
    </row>
    <row r="15" spans="1:43" s="2" customFormat="1" ht="24.95" customHeight="1" x14ac:dyDescent="0.35">
      <c r="A15" s="85"/>
      <c r="B15" s="87"/>
      <c r="C15" s="19"/>
      <c r="D15" s="20"/>
      <c r="E15" s="20"/>
      <c r="F15" s="21"/>
      <c r="G15" s="22"/>
      <c r="H15" s="84"/>
      <c r="I15" s="17"/>
      <c r="J15" s="23"/>
      <c r="K15" s="23"/>
      <c r="L15" s="23"/>
      <c r="M15" s="23"/>
      <c r="N15" s="17"/>
      <c r="O15" s="24"/>
      <c r="P15" s="24"/>
      <c r="Q15" s="24"/>
      <c r="R15" s="24"/>
      <c r="S15" s="24"/>
      <c r="T15" s="19"/>
      <c r="U15" s="22"/>
      <c r="V15" s="22"/>
      <c r="W15" s="22"/>
      <c r="X15" s="22"/>
      <c r="Y15" s="22"/>
      <c r="Z15" s="25"/>
      <c r="AA15" s="144"/>
      <c r="AB15" s="144"/>
      <c r="AC15" s="144"/>
      <c r="AD15" s="144"/>
      <c r="AE15" s="25"/>
      <c r="AF15" s="145"/>
      <c r="AG15" s="144"/>
      <c r="AH15" s="144"/>
      <c r="AI15" s="110"/>
      <c r="AJ15" s="117"/>
      <c r="AK15" s="36"/>
      <c r="AL15" s="36"/>
      <c r="AM15" s="36"/>
      <c r="AN15" s="36"/>
      <c r="AO15" s="36"/>
      <c r="AP15" s="36"/>
      <c r="AQ15" s="36"/>
    </row>
    <row r="16" spans="1:43" ht="24.95" customHeight="1" x14ac:dyDescent="0.35">
      <c r="A16" s="124" t="s">
        <v>100</v>
      </c>
      <c r="B16" s="88"/>
      <c r="C16" s="169" t="s">
        <v>87</v>
      </c>
      <c r="D16" s="170"/>
      <c r="E16" s="170"/>
      <c r="F16" s="13"/>
      <c r="G16" s="28"/>
      <c r="H16" s="29"/>
      <c r="I16" s="17"/>
      <c r="J16" s="29"/>
      <c r="K16" s="29"/>
      <c r="L16" s="29"/>
      <c r="M16" s="30"/>
      <c r="N16" s="17"/>
      <c r="O16" s="29"/>
      <c r="P16" s="29"/>
      <c r="Q16" s="29"/>
      <c r="R16" s="29"/>
      <c r="S16" s="30"/>
      <c r="T16" s="31"/>
      <c r="U16" s="32"/>
      <c r="V16" s="32"/>
      <c r="W16" s="32"/>
      <c r="X16" s="32"/>
      <c r="Y16" s="30"/>
      <c r="Z16" s="14"/>
      <c r="AA16" s="32"/>
      <c r="AB16" s="32"/>
      <c r="AC16" s="32"/>
      <c r="AD16" s="32"/>
      <c r="AE16" s="14"/>
      <c r="AF16" s="146"/>
      <c r="AG16" s="32"/>
      <c r="AH16" s="32"/>
      <c r="AI16" s="107"/>
      <c r="AJ16" s="117"/>
    </row>
    <row r="17" spans="1:43" ht="24.95" customHeight="1" x14ac:dyDescent="0.35">
      <c r="A17" s="85" t="s">
        <v>88</v>
      </c>
      <c r="B17" s="90"/>
      <c r="C17" s="127" t="s">
        <v>91</v>
      </c>
      <c r="D17" s="128" t="s">
        <v>98</v>
      </c>
      <c r="E17" s="129" t="s">
        <v>93</v>
      </c>
      <c r="F17" s="49"/>
      <c r="G17" s="50">
        <v>22090000</v>
      </c>
      <c r="H17" s="52">
        <f t="shared" ref="H17:H18" si="13">+G17/1.19</f>
        <v>18563025.210084036</v>
      </c>
      <c r="I17" s="51"/>
      <c r="J17" s="52">
        <v>900000</v>
      </c>
      <c r="K17" s="52">
        <f t="shared" ref="K17:K18" si="14">+IF(J17/2&gt;G17*$M$7,G17*$M$7,J17/2)</f>
        <v>450000</v>
      </c>
      <c r="L17" s="52">
        <f t="shared" ref="L17:L18" si="15">J17-K17</f>
        <v>450000</v>
      </c>
      <c r="M17" s="53">
        <f t="shared" ref="M17:M18" si="16">$G17-J17</f>
        <v>21190000</v>
      </c>
      <c r="N17" s="51"/>
      <c r="O17" s="52">
        <v>1400000</v>
      </c>
      <c r="P17" s="52">
        <f t="shared" ref="P17:P18" si="17">+K17</f>
        <v>450000</v>
      </c>
      <c r="Q17" s="52">
        <f>+L17</f>
        <v>450000</v>
      </c>
      <c r="R17" s="52">
        <f>+O17-P17-Q17</f>
        <v>500000</v>
      </c>
      <c r="S17" s="53">
        <f>$G17-O17</f>
        <v>20690000</v>
      </c>
      <c r="T17" s="54"/>
      <c r="U17" s="52">
        <v>1900000</v>
      </c>
      <c r="V17" s="52">
        <f t="shared" ref="V17:W19" si="18">+K17</f>
        <v>450000</v>
      </c>
      <c r="W17" s="52">
        <f t="shared" si="18"/>
        <v>450000</v>
      </c>
      <c r="X17" s="52">
        <f>+U17-V17-W17</f>
        <v>1000000</v>
      </c>
      <c r="Y17" s="53">
        <f>$G17-U17</f>
        <v>20190000</v>
      </c>
      <c r="Z17" s="55"/>
      <c r="AA17" s="143" t="str">
        <f>+IFERROR(IF(G17-VLOOKUP($A17,[1]PASAJEROS!$A:$AA,COLUMNS([1]PASAJEROS!$A$11:$G$11),0)=0,"ISO",G17-VLOOKUP($A17,[1]PASAJEROS!$A:$AA,COLUMNS([1]PASAJEROS!$A$11:$G$11),0)),"N/A")</f>
        <v>ISO</v>
      </c>
      <c r="AB17" s="143">
        <f>+IFERROR(IF(M17-VLOOKUP($A17,[1]PASAJEROS!$A:$AA,COLUMNS([1]PASAJEROS!$A$11:$M$11),0)=0,"ISO",M17-VLOOKUP($A17,[1]PASAJEROS!$A:$AA,COLUMNS([1]PASAJEROS!$A$11:$M$11),0)),"N/A")</f>
        <v>200000</v>
      </c>
      <c r="AC17" s="143">
        <f>+IFERROR(IF(S17-VLOOKUP($A17,[1]PASAJEROS!$A:$AA,COLUMNS([1]PASAJEROS!$A$11:$S$11),0)=0,"ISO",S17-VLOOKUP($A17,[1]PASAJEROS!$A:$AA,COLUMNS([1]PASAJEROS!$A$11:S$11),0)),"N/A")</f>
        <v>200000</v>
      </c>
      <c r="AD17" s="143">
        <f>+IFERROR(IF(Y17-VLOOKUP($A17,[1]PASAJEROS!$A:$AA,COLUMNS([1]PASAJEROS!$A$11:$Y$11),0)=0,"ISO",Y17-VLOOKUP($A17,[1]PASAJEROS!$A:$AA,COLUMNS([1]PASAJEROS!$A$11:$Y$11),0)),"N/A")</f>
        <v>200000</v>
      </c>
      <c r="AE17" s="14"/>
      <c r="AF17" s="147">
        <v>0.09</v>
      </c>
      <c r="AG17" s="56">
        <f>+G17*(1-AF17)</f>
        <v>20101900</v>
      </c>
      <c r="AH17" s="56">
        <f t="shared" ref="AH17:AH18" si="19">+AG17/1.19</f>
        <v>16892352.94117647</v>
      </c>
      <c r="AI17" s="107"/>
      <c r="AJ17" s="121"/>
      <c r="AK17" s="35"/>
      <c r="AL17" s="35"/>
      <c r="AM17" s="35"/>
      <c r="AN17" s="35"/>
      <c r="AO17" s="35"/>
      <c r="AP17" s="35"/>
      <c r="AQ17" s="35"/>
    </row>
    <row r="18" spans="1:43" ht="24.95" customHeight="1" x14ac:dyDescent="0.35">
      <c r="A18" s="85" t="s">
        <v>89</v>
      </c>
      <c r="B18" s="90"/>
      <c r="C18" s="127" t="s">
        <v>92</v>
      </c>
      <c r="D18" s="128" t="s">
        <v>90</v>
      </c>
      <c r="E18" s="128" t="s">
        <v>94</v>
      </c>
      <c r="F18" s="49"/>
      <c r="G18" s="50">
        <v>23090000</v>
      </c>
      <c r="H18" s="52">
        <f t="shared" si="13"/>
        <v>19403361.344537817</v>
      </c>
      <c r="I18" s="51"/>
      <c r="J18" s="52">
        <v>900000</v>
      </c>
      <c r="K18" s="52">
        <f t="shared" si="14"/>
        <v>450000</v>
      </c>
      <c r="L18" s="52">
        <f t="shared" si="15"/>
        <v>450000</v>
      </c>
      <c r="M18" s="53">
        <f t="shared" si="16"/>
        <v>22190000</v>
      </c>
      <c r="N18" s="51"/>
      <c r="O18" s="52">
        <v>1400000</v>
      </c>
      <c r="P18" s="52">
        <f t="shared" si="17"/>
        <v>450000</v>
      </c>
      <c r="Q18" s="52">
        <f>+L18</f>
        <v>450000</v>
      </c>
      <c r="R18" s="52">
        <f>+O18-P18-Q18</f>
        <v>500000</v>
      </c>
      <c r="S18" s="53">
        <f>$G18-O18</f>
        <v>21690000</v>
      </c>
      <c r="T18" s="54"/>
      <c r="U18" s="52">
        <v>1900000</v>
      </c>
      <c r="V18" s="52">
        <f t="shared" si="18"/>
        <v>450000</v>
      </c>
      <c r="W18" s="52">
        <f t="shared" si="18"/>
        <v>450000</v>
      </c>
      <c r="X18" s="52">
        <f>+U18-V18-W18</f>
        <v>1000000</v>
      </c>
      <c r="Y18" s="53">
        <f>$G18-U18</f>
        <v>21190000</v>
      </c>
      <c r="Z18" s="55"/>
      <c r="AA18" s="143" t="str">
        <f>+IFERROR(IF(G18-VLOOKUP($A18,[1]PASAJEROS!$A:$AA,COLUMNS([1]PASAJEROS!$A$11:$G$11),0)=0,"ISO",G18-VLOOKUP($A18,[1]PASAJEROS!$A:$AA,COLUMNS([1]PASAJEROS!$A$11:$G$11),0)),"N/A")</f>
        <v>ISO</v>
      </c>
      <c r="AB18" s="143">
        <f>+IFERROR(IF(M18-VLOOKUP($A18,[1]PASAJEROS!$A:$AA,COLUMNS([1]PASAJEROS!$A$11:$M$11),0)=0,"ISO",M18-VLOOKUP($A18,[1]PASAJEROS!$A:$AA,COLUMNS([1]PASAJEROS!$A$11:$M$11),0)),"N/A")</f>
        <v>200000</v>
      </c>
      <c r="AC18" s="143">
        <f>+IFERROR(IF(S18-VLOOKUP($A18,[1]PASAJEROS!$A:$AA,COLUMNS([1]PASAJEROS!$A$11:$S$11),0)=0,"ISO",S18-VLOOKUP($A18,[1]PASAJEROS!$A:$AA,COLUMNS([1]PASAJEROS!$A$11:S$11),0)),"N/A")</f>
        <v>200000</v>
      </c>
      <c r="AD18" s="143">
        <f>+IFERROR(IF(Y18-VLOOKUP($A18,[1]PASAJEROS!$A:$AA,COLUMNS([1]PASAJEROS!$A$11:$Y$11),0)=0,"ISO",Y18-VLOOKUP($A18,[1]PASAJEROS!$A:$AA,COLUMNS([1]PASAJEROS!$A$11:$Y$11),0)),"N/A")</f>
        <v>200000</v>
      </c>
      <c r="AE18" s="14"/>
      <c r="AF18" s="147">
        <v>0.09</v>
      </c>
      <c r="AG18" s="56">
        <f>+G18*(1-AF18)</f>
        <v>21011900</v>
      </c>
      <c r="AH18" s="56">
        <f t="shared" si="19"/>
        <v>17657058.823529411</v>
      </c>
      <c r="AI18" s="107"/>
      <c r="AJ18" s="121"/>
      <c r="AK18" s="35"/>
      <c r="AL18" s="35"/>
      <c r="AM18" s="35"/>
      <c r="AN18" s="35"/>
      <c r="AO18" s="35"/>
      <c r="AP18" s="35"/>
      <c r="AQ18" s="35"/>
    </row>
    <row r="19" spans="1:43" ht="24.95" customHeight="1" x14ac:dyDescent="0.35">
      <c r="A19" s="85" t="s">
        <v>95</v>
      </c>
      <c r="B19" s="90"/>
      <c r="C19" s="127" t="s">
        <v>96</v>
      </c>
      <c r="D19" s="128" t="s">
        <v>97</v>
      </c>
      <c r="E19" s="128" t="s">
        <v>99</v>
      </c>
      <c r="F19" s="49"/>
      <c r="G19" s="50">
        <v>27090000</v>
      </c>
      <c r="H19" s="52">
        <f t="shared" ref="H19" si="20">+G19/1.19</f>
        <v>22764705.882352941</v>
      </c>
      <c r="I19" s="51"/>
      <c r="J19" s="52">
        <v>4100000</v>
      </c>
      <c r="K19" s="52">
        <f t="shared" ref="K19" si="21">+IF(J19/2&gt;G19*$M$7,G19*$M$7,J19/2)</f>
        <v>677250</v>
      </c>
      <c r="L19" s="52">
        <f t="shared" ref="L19" si="22">J19-K19</f>
        <v>3422750</v>
      </c>
      <c r="M19" s="53">
        <f t="shared" ref="M19" si="23">$G19-J19</f>
        <v>22990000</v>
      </c>
      <c r="N19" s="51"/>
      <c r="O19" s="52">
        <v>4600000</v>
      </c>
      <c r="P19" s="52">
        <f t="shared" ref="P19" si="24">+K19</f>
        <v>677250</v>
      </c>
      <c r="Q19" s="52">
        <f>+L19</f>
        <v>3422750</v>
      </c>
      <c r="R19" s="52">
        <f>+O19-P19-Q19</f>
        <v>500000</v>
      </c>
      <c r="S19" s="53">
        <f>$G19-O19</f>
        <v>22490000</v>
      </c>
      <c r="T19" s="54"/>
      <c r="U19" s="52">
        <v>5100000</v>
      </c>
      <c r="V19" s="52">
        <f t="shared" si="18"/>
        <v>677250</v>
      </c>
      <c r="W19" s="52">
        <f t="shared" si="18"/>
        <v>3422750</v>
      </c>
      <c r="X19" s="52">
        <f>+U19-V19-W19</f>
        <v>1000000</v>
      </c>
      <c r="Y19" s="53">
        <f>$G19-U19</f>
        <v>21990000</v>
      </c>
      <c r="Z19" s="55"/>
      <c r="AA19" s="143" t="str">
        <f>+IFERROR(IF(G19-VLOOKUP($A19,[1]PASAJEROS!$A:$AA,COLUMNS([1]PASAJEROS!$A$11:$G$11),0)=0,"ISO",G19-VLOOKUP($A19,[1]PASAJEROS!$A:$AA,COLUMNS([1]PASAJEROS!$A$11:$G$11),0)),"N/A")</f>
        <v>ISO</v>
      </c>
      <c r="AB19" s="143" t="str">
        <f>+IFERROR(IF(M19-VLOOKUP($A19,[1]PASAJEROS!$A:$AA,COLUMNS([1]PASAJEROS!$A$11:$M$11),0)=0,"ISO",M19-VLOOKUP($A19,[1]PASAJEROS!$A:$AA,COLUMNS([1]PASAJEROS!$A$11:$M$11),0)),"N/A")</f>
        <v>ISO</v>
      </c>
      <c r="AC19" s="143" t="str">
        <f>+IFERROR(IF(S19-VLOOKUP($A19,[1]PASAJEROS!$A:$AA,COLUMNS([1]PASAJEROS!$A$11:$S$11),0)=0,"ISO",S19-VLOOKUP($A19,[1]PASAJEROS!$A:$AA,COLUMNS([1]PASAJEROS!$A$11:S$11),0)),"N/A")</f>
        <v>ISO</v>
      </c>
      <c r="AD19" s="143" t="str">
        <f>+IFERROR(IF(Y19-VLOOKUP($A19,[1]PASAJEROS!$A:$AA,COLUMNS([1]PASAJEROS!$A$11:$Y$11),0)=0,"ISO",Y19-VLOOKUP($A19,[1]PASAJEROS!$A:$AA,COLUMNS([1]PASAJEROS!$A$11:$Y$11),0)),"N/A")</f>
        <v>ISO</v>
      </c>
      <c r="AE19" s="14"/>
      <c r="AF19" s="147">
        <v>0.09</v>
      </c>
      <c r="AG19" s="56">
        <f>+G19*(1-AF19)</f>
        <v>24651900</v>
      </c>
      <c r="AH19" s="56">
        <f t="shared" ref="AH19" si="25">+AG19/1.19</f>
        <v>20715882.352941178</v>
      </c>
      <c r="AI19" s="107"/>
      <c r="AJ19" s="121"/>
      <c r="AK19" s="35"/>
      <c r="AL19" s="35"/>
      <c r="AM19" s="35"/>
      <c r="AN19" s="35"/>
      <c r="AO19" s="35"/>
      <c r="AP19" s="35"/>
      <c r="AQ19" s="35"/>
    </row>
    <row r="20" spans="1:43" s="2" customFormat="1" ht="24.95" customHeight="1" x14ac:dyDescent="0.35">
      <c r="A20" s="85"/>
      <c r="B20" s="87"/>
      <c r="C20" s="19"/>
      <c r="D20" s="20"/>
      <c r="E20" s="20"/>
      <c r="F20" s="21"/>
      <c r="G20" s="22"/>
      <c r="H20" s="84"/>
      <c r="I20" s="17"/>
      <c r="J20" s="23"/>
      <c r="K20" s="23"/>
      <c r="L20" s="23"/>
      <c r="M20" s="23"/>
      <c r="N20" s="17"/>
      <c r="O20" s="24"/>
      <c r="P20" s="24"/>
      <c r="Q20" s="24"/>
      <c r="R20" s="24"/>
      <c r="S20" s="24"/>
      <c r="T20" s="19"/>
      <c r="U20" s="22"/>
      <c r="V20" s="22"/>
      <c r="W20" s="22"/>
      <c r="X20" s="22"/>
      <c r="Y20" s="22"/>
      <c r="Z20" s="25"/>
      <c r="AA20" s="144"/>
      <c r="AB20" s="144"/>
      <c r="AC20" s="144"/>
      <c r="AD20" s="144"/>
      <c r="AE20" s="25"/>
      <c r="AF20" s="145"/>
      <c r="AG20" s="144"/>
      <c r="AH20" s="144"/>
      <c r="AI20" s="110"/>
      <c r="AJ20" s="117"/>
      <c r="AK20" s="36"/>
      <c r="AL20" s="36"/>
      <c r="AM20" s="36"/>
      <c r="AN20" s="36"/>
      <c r="AO20" s="36"/>
      <c r="AP20" s="36"/>
      <c r="AQ20" s="36"/>
    </row>
    <row r="21" spans="1:43" ht="24.95" customHeight="1" x14ac:dyDescent="0.35">
      <c r="A21" s="124" t="s">
        <v>59</v>
      </c>
      <c r="B21" s="88"/>
      <c r="C21" s="169" t="s">
        <v>14</v>
      </c>
      <c r="D21" s="170"/>
      <c r="E21" s="170"/>
      <c r="F21" s="13"/>
      <c r="G21" s="28"/>
      <c r="H21" s="29"/>
      <c r="I21" s="17"/>
      <c r="J21" s="29"/>
      <c r="K21" s="29"/>
      <c r="L21" s="29"/>
      <c r="M21" s="30"/>
      <c r="N21" s="17"/>
      <c r="O21" s="29"/>
      <c r="P21" s="29"/>
      <c r="Q21" s="29"/>
      <c r="R21" s="29"/>
      <c r="S21" s="30"/>
      <c r="T21" s="31"/>
      <c r="U21" s="32"/>
      <c r="V21" s="32"/>
      <c r="W21" s="32"/>
      <c r="X21" s="32"/>
      <c r="Y21" s="30"/>
      <c r="Z21" s="14"/>
      <c r="AA21" s="32"/>
      <c r="AB21" s="32"/>
      <c r="AC21" s="32"/>
      <c r="AD21" s="32"/>
      <c r="AE21" s="14"/>
      <c r="AF21" s="146"/>
      <c r="AG21" s="32"/>
      <c r="AH21" s="32"/>
      <c r="AI21" s="107"/>
      <c r="AJ21" s="117"/>
    </row>
    <row r="22" spans="1:43" ht="24.95" customHeight="1" x14ac:dyDescent="0.35">
      <c r="A22" s="85" t="s">
        <v>15</v>
      </c>
      <c r="B22" s="90"/>
      <c r="C22" s="127" t="s">
        <v>75</v>
      </c>
      <c r="D22" s="128" t="s">
        <v>16</v>
      </c>
      <c r="E22" s="128" t="s">
        <v>24</v>
      </c>
      <c r="F22" s="49"/>
      <c r="G22" s="50">
        <v>22890000</v>
      </c>
      <c r="H22" s="52">
        <f t="shared" ref="H22:H23" si="26">+G22/1.19</f>
        <v>19235294.117647059</v>
      </c>
      <c r="I22" s="51"/>
      <c r="J22" s="52">
        <v>3000000</v>
      </c>
      <c r="K22" s="52">
        <f t="shared" ref="K22:K23" si="27">+IF(J22/2&gt;G22*$M$7,G22*$M$7,J22/2)</f>
        <v>572250</v>
      </c>
      <c r="L22" s="52">
        <f t="shared" ref="L22:L23" si="28">J22-K22</f>
        <v>2427750</v>
      </c>
      <c r="M22" s="53">
        <f t="shared" ref="M22:M23" si="29">$G22-J22</f>
        <v>19890000</v>
      </c>
      <c r="N22" s="51"/>
      <c r="O22" s="52">
        <v>3400000</v>
      </c>
      <c r="P22" s="52">
        <f t="shared" ref="P22:P23" si="30">+K22</f>
        <v>572250</v>
      </c>
      <c r="Q22" s="52">
        <f>+L22</f>
        <v>2427750</v>
      </c>
      <c r="R22" s="52">
        <f>+O22-P22-Q22</f>
        <v>400000</v>
      </c>
      <c r="S22" s="53">
        <f>$G22-O22</f>
        <v>19490000</v>
      </c>
      <c r="T22" s="54"/>
      <c r="U22" s="52">
        <v>4300000</v>
      </c>
      <c r="V22" s="52">
        <f>+K22</f>
        <v>572250</v>
      </c>
      <c r="W22" s="52">
        <f>+L22</f>
        <v>2427750</v>
      </c>
      <c r="X22" s="52">
        <f>+U22-V22-W22</f>
        <v>1300000</v>
      </c>
      <c r="Y22" s="53">
        <f>$G22-U22</f>
        <v>18590000</v>
      </c>
      <c r="Z22" s="55"/>
      <c r="AA22" s="143" t="str">
        <f>+IFERROR(IF(G22-VLOOKUP($A22,[1]PASAJEROS!$A:$AA,COLUMNS([1]PASAJEROS!$A$11:$G$11),0)=0,"ISO",G22-VLOOKUP($A22,[1]PASAJEROS!$A:$AA,COLUMNS([1]PASAJEROS!$A$11:$G$11),0)),"N/A")</f>
        <v>ISO</v>
      </c>
      <c r="AB22" s="143" t="str">
        <f>+IFERROR(IF(M22-VLOOKUP($A22,[1]PASAJEROS!$A:$AA,COLUMNS([1]PASAJEROS!$A$11:$M$11),0)=0,"ISO",M22-VLOOKUP($A22,[1]PASAJEROS!$A:$AA,COLUMNS([1]PASAJEROS!$A$11:$M$11),0)),"N/A")</f>
        <v>ISO</v>
      </c>
      <c r="AC22" s="143" t="str">
        <f>+IFERROR(IF(S22-VLOOKUP($A22,[1]PASAJEROS!$A:$AA,COLUMNS([1]PASAJEROS!$A$11:$S$11),0)=0,"ISO",S22-VLOOKUP($A22,[1]PASAJEROS!$A:$AA,COLUMNS([1]PASAJEROS!$A$11:S$11),0)),"N/A")</f>
        <v>ISO</v>
      </c>
      <c r="AD22" s="143" t="str">
        <f>+IFERROR(IF(Y22-VLOOKUP($A22,[1]PASAJEROS!$A:$AA,COLUMNS([1]PASAJEROS!$A$11:$Y$11),0)=0,"ISO",Y22-VLOOKUP($A22,[1]PASAJEROS!$A:$AA,COLUMNS([1]PASAJEROS!$A$11:$Y$11),0)),"N/A")</f>
        <v>ISO</v>
      </c>
      <c r="AE22" s="14"/>
      <c r="AF22" s="147">
        <v>0.09</v>
      </c>
      <c r="AG22" s="56">
        <f>+G22*(1-AF22)</f>
        <v>20829900</v>
      </c>
      <c r="AH22" s="56">
        <f t="shared" ref="AH22:AH32" si="31">+AG22/1.19</f>
        <v>17504117.647058826</v>
      </c>
      <c r="AI22" s="107"/>
      <c r="AJ22" s="121"/>
      <c r="AK22" s="35"/>
      <c r="AL22" s="35"/>
      <c r="AM22" s="35"/>
      <c r="AN22" s="35"/>
      <c r="AO22" s="35"/>
      <c r="AP22" s="35"/>
      <c r="AQ22" s="35"/>
    </row>
    <row r="23" spans="1:43" ht="24.95" customHeight="1" x14ac:dyDescent="0.35">
      <c r="A23" s="85" t="s">
        <v>17</v>
      </c>
      <c r="B23" s="90"/>
      <c r="C23" s="130" t="s">
        <v>81</v>
      </c>
      <c r="D23" s="128" t="s">
        <v>18</v>
      </c>
      <c r="E23" s="128" t="s">
        <v>24</v>
      </c>
      <c r="F23" s="49"/>
      <c r="G23" s="50">
        <v>24890000</v>
      </c>
      <c r="H23" s="52">
        <f t="shared" si="26"/>
        <v>20915966.386554621</v>
      </c>
      <c r="I23" s="51"/>
      <c r="J23" s="52">
        <v>3000000</v>
      </c>
      <c r="K23" s="52">
        <f t="shared" si="27"/>
        <v>622250</v>
      </c>
      <c r="L23" s="52">
        <f t="shared" si="28"/>
        <v>2377750</v>
      </c>
      <c r="M23" s="53">
        <f t="shared" si="29"/>
        <v>21890000</v>
      </c>
      <c r="N23" s="51"/>
      <c r="O23" s="52">
        <v>3400000</v>
      </c>
      <c r="P23" s="52">
        <f t="shared" si="30"/>
        <v>622250</v>
      </c>
      <c r="Q23" s="52">
        <f>+L23</f>
        <v>2377750</v>
      </c>
      <c r="R23" s="52">
        <f>+O23-P23-Q23</f>
        <v>400000</v>
      </c>
      <c r="S23" s="53">
        <f>$G23-O23</f>
        <v>21490000</v>
      </c>
      <c r="T23" s="54"/>
      <c r="U23" s="52">
        <v>4300000</v>
      </c>
      <c r="V23" s="52">
        <f>+K23</f>
        <v>622250</v>
      </c>
      <c r="W23" s="52">
        <f>+L23</f>
        <v>2377750</v>
      </c>
      <c r="X23" s="52">
        <f>+U23-V23-W23</f>
        <v>1300000</v>
      </c>
      <c r="Y23" s="53">
        <f>$G23-U23</f>
        <v>20590000</v>
      </c>
      <c r="Z23" s="55"/>
      <c r="AA23" s="143" t="str">
        <f>+IFERROR(IF(G23-VLOOKUP($A23,[1]PASAJEROS!$A:$AA,COLUMNS([1]PASAJEROS!$A$11:$G$11),0)=0,"ISO",G23-VLOOKUP($A23,[1]PASAJEROS!$A:$AA,COLUMNS([1]PASAJEROS!$A$11:$G$11),0)),"N/A")</f>
        <v>ISO</v>
      </c>
      <c r="AB23" s="143" t="str">
        <f>+IFERROR(IF(M23-VLOOKUP($A23,[1]PASAJEROS!$A:$AA,COLUMNS([1]PASAJEROS!$A$11:$M$11),0)=0,"ISO",M23-VLOOKUP($A23,[1]PASAJEROS!$A:$AA,COLUMNS([1]PASAJEROS!$A$11:$M$11),0)),"N/A")</f>
        <v>ISO</v>
      </c>
      <c r="AC23" s="143" t="str">
        <f>+IFERROR(IF(S23-VLOOKUP($A23,[1]PASAJEROS!$A:$AA,COLUMNS([1]PASAJEROS!$A$11:$S$11),0)=0,"ISO",S23-VLOOKUP($A23,[1]PASAJEROS!$A:$AA,COLUMNS([1]PASAJEROS!$A$11:S$11),0)),"N/A")</f>
        <v>ISO</v>
      </c>
      <c r="AD23" s="143" t="str">
        <f>+IFERROR(IF(Y23-VLOOKUP($A23,[1]PASAJEROS!$A:$AA,COLUMNS([1]PASAJEROS!$A$11:$Y$11),0)=0,"ISO",Y23-VLOOKUP($A23,[1]PASAJEROS!$A:$AA,COLUMNS([1]PASAJEROS!$A$11:$Y$11),0)),"N/A")</f>
        <v>ISO</v>
      </c>
      <c r="AE23" s="14"/>
      <c r="AF23" s="147">
        <v>0.09</v>
      </c>
      <c r="AG23" s="56">
        <f>+G23*(1-AF23)</f>
        <v>22649900</v>
      </c>
      <c r="AH23" s="56">
        <f t="shared" si="31"/>
        <v>19033529.411764707</v>
      </c>
      <c r="AI23" s="107"/>
      <c r="AJ23" s="121"/>
      <c r="AK23" s="35"/>
      <c r="AL23" s="35"/>
      <c r="AM23" s="35"/>
      <c r="AN23" s="35"/>
      <c r="AO23" s="35"/>
      <c r="AP23" s="35"/>
      <c r="AQ23" s="35"/>
    </row>
    <row r="24" spans="1:43" s="2" customFormat="1" ht="24.95" customHeight="1" x14ac:dyDescent="0.35">
      <c r="A24" s="85"/>
      <c r="B24" s="87"/>
      <c r="C24" s="19"/>
      <c r="D24" s="20"/>
      <c r="E24" s="20"/>
      <c r="F24" s="21"/>
      <c r="G24" s="22"/>
      <c r="H24" s="84"/>
      <c r="I24" s="17"/>
      <c r="J24" s="23"/>
      <c r="K24" s="23"/>
      <c r="L24" s="23"/>
      <c r="M24" s="23"/>
      <c r="N24" s="17"/>
      <c r="O24" s="24"/>
      <c r="P24" s="24"/>
      <c r="Q24" s="24"/>
      <c r="R24" s="24"/>
      <c r="S24" s="24"/>
      <c r="T24" s="19"/>
      <c r="U24" s="22"/>
      <c r="V24" s="22"/>
      <c r="W24" s="22"/>
      <c r="X24" s="22"/>
      <c r="Y24" s="22"/>
      <c r="Z24" s="25"/>
      <c r="AA24" s="144"/>
      <c r="AB24" s="144"/>
      <c r="AC24" s="144"/>
      <c r="AD24" s="144"/>
      <c r="AE24" s="25"/>
      <c r="AF24" s="145"/>
      <c r="AG24" s="144"/>
      <c r="AH24" s="144"/>
      <c r="AI24" s="110"/>
      <c r="AJ24" s="117"/>
      <c r="AK24" s="36"/>
      <c r="AL24" s="36"/>
      <c r="AM24" s="36"/>
      <c r="AN24" s="36"/>
      <c r="AO24" s="36"/>
      <c r="AP24" s="36"/>
      <c r="AQ24" s="36"/>
    </row>
    <row r="25" spans="1:43" ht="24.95" customHeight="1" x14ac:dyDescent="0.35">
      <c r="A25" s="124" t="s">
        <v>59</v>
      </c>
      <c r="B25" s="88"/>
      <c r="C25" s="169" t="s">
        <v>59</v>
      </c>
      <c r="D25" s="170"/>
      <c r="E25" s="170"/>
      <c r="F25" s="13"/>
      <c r="G25" s="28"/>
      <c r="H25" s="29"/>
      <c r="I25" s="17"/>
      <c r="J25" s="29"/>
      <c r="K25" s="29"/>
      <c r="L25" s="29"/>
      <c r="M25" s="30"/>
      <c r="N25" s="17"/>
      <c r="O25" s="29"/>
      <c r="P25" s="29"/>
      <c r="Q25" s="29"/>
      <c r="R25" s="29"/>
      <c r="S25" s="30"/>
      <c r="T25" s="31"/>
      <c r="U25" s="32"/>
      <c r="V25" s="32"/>
      <c r="W25" s="32"/>
      <c r="X25" s="32"/>
      <c r="Y25" s="30"/>
      <c r="Z25" s="14"/>
      <c r="AA25" s="32"/>
      <c r="AB25" s="32"/>
      <c r="AC25" s="32"/>
      <c r="AD25" s="32"/>
      <c r="AE25" s="14"/>
      <c r="AF25" s="146"/>
      <c r="AG25" s="32"/>
      <c r="AH25" s="32"/>
      <c r="AI25" s="107"/>
      <c r="AJ25" s="117"/>
    </row>
    <row r="26" spans="1:43" ht="24.95" customHeight="1" x14ac:dyDescent="0.35">
      <c r="A26" s="85" t="s">
        <v>50</v>
      </c>
      <c r="B26" s="90"/>
      <c r="C26" s="131" t="s">
        <v>76</v>
      </c>
      <c r="D26" s="128" t="s">
        <v>56</v>
      </c>
      <c r="E26" s="128" t="s">
        <v>58</v>
      </c>
      <c r="F26" s="49"/>
      <c r="G26" s="50">
        <v>21690000</v>
      </c>
      <c r="H26" s="52">
        <f t="shared" ref="H26:H29" si="32">+G26/1.19</f>
        <v>18226890.756302521</v>
      </c>
      <c r="I26" s="51"/>
      <c r="J26" s="52">
        <v>3700000</v>
      </c>
      <c r="K26" s="52">
        <f t="shared" ref="K26:K29" si="33">+IF(J26/2&gt;G26*$M$7,G26*$M$7,J26/2)</f>
        <v>542250</v>
      </c>
      <c r="L26" s="52">
        <f t="shared" ref="L26:L29" si="34">J26-K26</f>
        <v>3157750</v>
      </c>
      <c r="M26" s="53">
        <f t="shared" ref="M26:M29" si="35">$G26-J26</f>
        <v>17990000</v>
      </c>
      <c r="N26" s="51"/>
      <c r="O26" s="52">
        <v>4200000</v>
      </c>
      <c r="P26" s="52">
        <f t="shared" ref="P26:P29" si="36">+K26</f>
        <v>542250</v>
      </c>
      <c r="Q26" s="52">
        <f>+L26</f>
        <v>3157750</v>
      </c>
      <c r="R26" s="52">
        <f>+O26-P26-Q26</f>
        <v>500000</v>
      </c>
      <c r="S26" s="53">
        <f>$G26-O26</f>
        <v>17490000</v>
      </c>
      <c r="T26" s="54"/>
      <c r="U26" s="52">
        <v>5200000</v>
      </c>
      <c r="V26" s="52">
        <f t="shared" ref="V26:W29" si="37">+K26</f>
        <v>542250</v>
      </c>
      <c r="W26" s="52">
        <f t="shared" si="37"/>
        <v>3157750</v>
      </c>
      <c r="X26" s="52">
        <f>+U26-V26-W26</f>
        <v>1500000</v>
      </c>
      <c r="Y26" s="53">
        <f>$G26-U26</f>
        <v>16490000</v>
      </c>
      <c r="Z26" s="55"/>
      <c r="AA26" s="143" t="str">
        <f>+IFERROR(IF(G26-VLOOKUP($A26,[1]PASAJEROS!$A:$AA,COLUMNS([1]PASAJEROS!$A$11:$G$11),0)=0,"ISO",G26-VLOOKUP($A26,[1]PASAJEROS!$A:$AA,COLUMNS([1]PASAJEROS!$A$11:$G$11),0)),"N/A")</f>
        <v>ISO</v>
      </c>
      <c r="AB26" s="143">
        <f>+IFERROR(IF(M26-VLOOKUP($A26,[1]PASAJEROS!$A:$AA,COLUMNS([1]PASAJEROS!$A$11:$M$11),0)=0,"ISO",M26-VLOOKUP($A26,[1]PASAJEROS!$A:$AA,COLUMNS([1]PASAJEROS!$A$11:$M$11),0)),"N/A")</f>
        <v>-2200000</v>
      </c>
      <c r="AC26" s="143">
        <f>+IFERROR(IF(S26-VLOOKUP($A26,[1]PASAJEROS!$A:$AA,COLUMNS([1]PASAJEROS!$A$11:$S$11),0)=0,"ISO",S26-VLOOKUP($A26,[1]PASAJEROS!$A:$AA,COLUMNS([1]PASAJEROS!$A$11:S$11),0)),"N/A")</f>
        <v>-2200000</v>
      </c>
      <c r="AD26" s="143">
        <f>+IFERROR(IF(Y26-VLOOKUP($A26,[1]PASAJEROS!$A:$AA,COLUMNS([1]PASAJEROS!$A$11:$Y$11),0)=0,"ISO",Y26-VLOOKUP($A26,[1]PASAJEROS!$A:$AA,COLUMNS([1]PASAJEROS!$A$11:$Y$11),0)),"N/A")</f>
        <v>-2200000</v>
      </c>
      <c r="AE26" s="37"/>
      <c r="AF26" s="147">
        <v>0.09</v>
      </c>
      <c r="AG26" s="56">
        <f>+G26*(1-AF26)</f>
        <v>19737900</v>
      </c>
      <c r="AH26" s="56">
        <f t="shared" ref="AH26:AH29" si="38">+AG26/1.19</f>
        <v>16586470.588235294</v>
      </c>
      <c r="AI26" s="111"/>
      <c r="AJ26" s="121"/>
      <c r="AK26" s="35"/>
      <c r="AL26" s="35"/>
      <c r="AM26" s="35"/>
      <c r="AN26" s="35"/>
      <c r="AO26" s="35"/>
      <c r="AP26" s="35"/>
      <c r="AQ26" s="35"/>
    </row>
    <row r="27" spans="1:43" ht="24.95" customHeight="1" x14ac:dyDescent="0.35">
      <c r="A27" s="85" t="s">
        <v>51</v>
      </c>
      <c r="B27" s="90"/>
      <c r="C27" s="127" t="s">
        <v>77</v>
      </c>
      <c r="D27" s="128" t="s">
        <v>61</v>
      </c>
      <c r="E27" s="128" t="s">
        <v>57</v>
      </c>
      <c r="F27" s="49"/>
      <c r="G27" s="50">
        <v>21690000</v>
      </c>
      <c r="H27" s="52">
        <f t="shared" si="32"/>
        <v>18226890.756302521</v>
      </c>
      <c r="I27" s="51"/>
      <c r="J27" s="52">
        <v>3200000</v>
      </c>
      <c r="K27" s="52">
        <f t="shared" si="33"/>
        <v>542250</v>
      </c>
      <c r="L27" s="52">
        <f t="shared" si="34"/>
        <v>2657750</v>
      </c>
      <c r="M27" s="53">
        <f t="shared" si="35"/>
        <v>18490000</v>
      </c>
      <c r="N27" s="51"/>
      <c r="O27" s="52">
        <v>3700000</v>
      </c>
      <c r="P27" s="52">
        <f t="shared" si="36"/>
        <v>542250</v>
      </c>
      <c r="Q27" s="52">
        <f>+L27</f>
        <v>2657750</v>
      </c>
      <c r="R27" s="52">
        <f>+O27-P27-Q27</f>
        <v>500000</v>
      </c>
      <c r="S27" s="53">
        <f>$G27-O27</f>
        <v>17990000</v>
      </c>
      <c r="T27" s="54"/>
      <c r="U27" s="52">
        <v>4700000</v>
      </c>
      <c r="V27" s="52">
        <f t="shared" si="37"/>
        <v>542250</v>
      </c>
      <c r="W27" s="52">
        <f t="shared" si="37"/>
        <v>2657750</v>
      </c>
      <c r="X27" s="52">
        <f>+U27-V27-W27</f>
        <v>1500000</v>
      </c>
      <c r="Y27" s="53">
        <f>$G27-U27</f>
        <v>16990000</v>
      </c>
      <c r="Z27" s="55"/>
      <c r="AA27" s="143" t="str">
        <f>+IFERROR(IF(G27-VLOOKUP($A27,[1]PASAJEROS!$A:$AA,COLUMNS([1]PASAJEROS!$A$11:$G$11),0)=0,"ISO",G27-VLOOKUP($A27,[1]PASAJEROS!$A:$AA,COLUMNS([1]PASAJEROS!$A$11:$G$11),0)),"N/A")</f>
        <v>ISO</v>
      </c>
      <c r="AB27" s="143">
        <f>+IFERROR(IF(M27-VLOOKUP($A27,[1]PASAJEROS!$A:$AA,COLUMNS([1]PASAJEROS!$A$11:$M$11),0)=0,"ISO",M27-VLOOKUP($A27,[1]PASAJEROS!$A:$AA,COLUMNS([1]PASAJEROS!$A$11:$M$11),0)),"N/A")</f>
        <v>-1700000</v>
      </c>
      <c r="AC27" s="143">
        <f>+IFERROR(IF(S27-VLOOKUP($A27,[1]PASAJEROS!$A:$AA,COLUMNS([1]PASAJEROS!$A$11:$S$11),0)=0,"ISO",S27-VLOOKUP($A27,[1]PASAJEROS!$A:$AA,COLUMNS([1]PASAJEROS!$A$11:S$11),0)),"N/A")</f>
        <v>-1700000</v>
      </c>
      <c r="AD27" s="143">
        <f>+IFERROR(IF(Y27-VLOOKUP($A27,[1]PASAJEROS!$A:$AA,COLUMNS([1]PASAJEROS!$A$11:$Y$11),0)=0,"ISO",Y27-VLOOKUP($A27,[1]PASAJEROS!$A:$AA,COLUMNS([1]PASAJEROS!$A$11:$Y$11),0)),"N/A")</f>
        <v>-1700000</v>
      </c>
      <c r="AE27" s="14"/>
      <c r="AF27" s="147">
        <v>0.09</v>
      </c>
      <c r="AG27" s="56">
        <f>+G27*(1-AF27)</f>
        <v>19737900</v>
      </c>
      <c r="AH27" s="56">
        <f t="shared" si="38"/>
        <v>16586470.588235294</v>
      </c>
      <c r="AI27" s="107"/>
      <c r="AJ27" s="121"/>
      <c r="AK27" s="35"/>
      <c r="AL27" s="35"/>
      <c r="AM27" s="35"/>
      <c r="AN27" s="35"/>
      <c r="AO27" s="35"/>
      <c r="AP27" s="35"/>
      <c r="AQ27" s="35"/>
    </row>
    <row r="28" spans="1:43" ht="24.95" customHeight="1" x14ac:dyDescent="0.35">
      <c r="A28" s="85" t="s">
        <v>52</v>
      </c>
      <c r="B28" s="90"/>
      <c r="C28" s="127" t="s">
        <v>78</v>
      </c>
      <c r="D28" s="128" t="s">
        <v>55</v>
      </c>
      <c r="E28" s="128" t="s">
        <v>57</v>
      </c>
      <c r="F28" s="49"/>
      <c r="G28" s="50">
        <v>23190000</v>
      </c>
      <c r="H28" s="52">
        <f t="shared" si="32"/>
        <v>19487394.957983196</v>
      </c>
      <c r="I28" s="51"/>
      <c r="J28" s="52">
        <v>4100000</v>
      </c>
      <c r="K28" s="52">
        <f t="shared" si="33"/>
        <v>579750</v>
      </c>
      <c r="L28" s="52">
        <f t="shared" si="34"/>
        <v>3520250</v>
      </c>
      <c r="M28" s="53">
        <f t="shared" si="35"/>
        <v>19090000</v>
      </c>
      <c r="N28" s="51"/>
      <c r="O28" s="52">
        <v>4600000</v>
      </c>
      <c r="P28" s="52">
        <f t="shared" si="36"/>
        <v>579750</v>
      </c>
      <c r="Q28" s="52">
        <f>+L28</f>
        <v>3520250</v>
      </c>
      <c r="R28" s="52">
        <f>+O28-P28-Q28</f>
        <v>500000</v>
      </c>
      <c r="S28" s="53">
        <f>$G28-O28</f>
        <v>18590000</v>
      </c>
      <c r="T28" s="54"/>
      <c r="U28" s="52">
        <v>5600000</v>
      </c>
      <c r="V28" s="52">
        <f t="shared" si="37"/>
        <v>579750</v>
      </c>
      <c r="W28" s="52">
        <f t="shared" si="37"/>
        <v>3520250</v>
      </c>
      <c r="X28" s="52">
        <f>+U28-V28-W28</f>
        <v>1500000</v>
      </c>
      <c r="Y28" s="53">
        <f>$G28-U28</f>
        <v>17590000</v>
      </c>
      <c r="Z28" s="55"/>
      <c r="AA28" s="143" t="str">
        <f>+IFERROR(IF(G28-VLOOKUP($A28,[1]PASAJEROS!$A:$AA,COLUMNS([1]PASAJEROS!$A$11:$G$11),0)=0,"ISO",G28-VLOOKUP($A28,[1]PASAJEROS!$A:$AA,COLUMNS([1]PASAJEROS!$A$11:$G$11),0)),"N/A")</f>
        <v>ISO</v>
      </c>
      <c r="AB28" s="143">
        <f>+IFERROR(IF(M28-VLOOKUP($A28,[1]PASAJEROS!$A:$AA,COLUMNS([1]PASAJEROS!$A$11:$M$11),0)=0,"ISO",M28-VLOOKUP($A28,[1]PASAJEROS!$A:$AA,COLUMNS([1]PASAJEROS!$A$11:$M$11),0)),"N/A")</f>
        <v>-2400000</v>
      </c>
      <c r="AC28" s="143">
        <f>+IFERROR(IF(S28-VLOOKUP($A28,[1]PASAJEROS!$A:$AA,COLUMNS([1]PASAJEROS!$A$11:$S$11),0)=0,"ISO",S28-VLOOKUP($A28,[1]PASAJEROS!$A:$AA,COLUMNS([1]PASAJEROS!$A$11:S$11),0)),"N/A")</f>
        <v>-2400000</v>
      </c>
      <c r="AD28" s="143">
        <f>+IFERROR(IF(Y28-VLOOKUP($A28,[1]PASAJEROS!$A:$AA,COLUMNS([1]PASAJEROS!$A$11:$Y$11),0)=0,"ISO",Y28-VLOOKUP($A28,[1]PASAJEROS!$A:$AA,COLUMNS([1]PASAJEROS!$A$11:$Y$11),0)),"N/A")</f>
        <v>-2400000</v>
      </c>
      <c r="AE28" s="14"/>
      <c r="AF28" s="147">
        <v>0.09</v>
      </c>
      <c r="AG28" s="56">
        <f>+G28*(1-AF28)</f>
        <v>21102900</v>
      </c>
      <c r="AH28" s="56">
        <f t="shared" si="38"/>
        <v>17733529.411764707</v>
      </c>
      <c r="AI28" s="107"/>
      <c r="AJ28" s="121"/>
      <c r="AK28" s="35"/>
      <c r="AL28" s="35"/>
      <c r="AM28" s="35"/>
      <c r="AN28" s="35"/>
      <c r="AO28" s="35"/>
      <c r="AP28" s="35"/>
      <c r="AQ28" s="35"/>
    </row>
    <row r="29" spans="1:43" ht="24.95" customHeight="1" x14ac:dyDescent="0.35">
      <c r="A29" s="85" t="s">
        <v>53</v>
      </c>
      <c r="B29" s="90"/>
      <c r="C29" s="130" t="s">
        <v>79</v>
      </c>
      <c r="D29" s="128" t="s">
        <v>62</v>
      </c>
      <c r="E29" s="128" t="s">
        <v>57</v>
      </c>
      <c r="F29" s="49"/>
      <c r="G29" s="50">
        <v>24790000</v>
      </c>
      <c r="H29" s="52">
        <f t="shared" si="32"/>
        <v>20831932.773109246</v>
      </c>
      <c r="I29" s="51"/>
      <c r="J29" s="52">
        <v>3300000</v>
      </c>
      <c r="K29" s="52">
        <f t="shared" si="33"/>
        <v>619750</v>
      </c>
      <c r="L29" s="52">
        <f t="shared" si="34"/>
        <v>2680250</v>
      </c>
      <c r="M29" s="53">
        <f t="shared" si="35"/>
        <v>21490000</v>
      </c>
      <c r="N29" s="51"/>
      <c r="O29" s="52">
        <v>3800000</v>
      </c>
      <c r="P29" s="52">
        <f t="shared" si="36"/>
        <v>619750</v>
      </c>
      <c r="Q29" s="52">
        <f>+L29</f>
        <v>2680250</v>
      </c>
      <c r="R29" s="52">
        <f>+O29-P29-Q29</f>
        <v>500000</v>
      </c>
      <c r="S29" s="53">
        <f>$G29-O29</f>
        <v>20990000</v>
      </c>
      <c r="T29" s="54"/>
      <c r="U29" s="52">
        <v>4800000</v>
      </c>
      <c r="V29" s="52">
        <f t="shared" si="37"/>
        <v>619750</v>
      </c>
      <c r="W29" s="52">
        <f t="shared" si="37"/>
        <v>2680250</v>
      </c>
      <c r="X29" s="52">
        <f>+U29-V29-W29</f>
        <v>1500000</v>
      </c>
      <c r="Y29" s="53">
        <f>$G29-U29</f>
        <v>19990000</v>
      </c>
      <c r="Z29" s="55"/>
      <c r="AA29" s="143" t="str">
        <f>+IFERROR(IF(G29-VLOOKUP($A29,[1]PASAJEROS!$A:$AA,COLUMNS([1]PASAJEROS!$A$11:$G$11),0)=0,"ISO",G29-VLOOKUP($A29,[1]PASAJEROS!$A:$AA,COLUMNS([1]PASAJEROS!$A$11:$G$11),0)),"N/A")</f>
        <v>ISO</v>
      </c>
      <c r="AB29" s="143">
        <f>+IFERROR(IF(M29-VLOOKUP($A29,[1]PASAJEROS!$A:$AA,COLUMNS([1]PASAJEROS!$A$11:$M$11),0)=0,"ISO",M29-VLOOKUP($A29,[1]PASAJEROS!$A:$AA,COLUMNS([1]PASAJEROS!$A$11:$M$11),0)),"N/A")</f>
        <v>-1800000</v>
      </c>
      <c r="AC29" s="143">
        <f>+IFERROR(IF(S29-VLOOKUP($A29,[1]PASAJEROS!$A:$AA,COLUMNS([1]PASAJEROS!$A$11:$S$11),0)=0,"ISO",S29-VLOOKUP($A29,[1]PASAJEROS!$A:$AA,COLUMNS([1]PASAJEROS!$A$11:S$11),0)),"N/A")</f>
        <v>-1800000</v>
      </c>
      <c r="AD29" s="143">
        <f>+IFERROR(IF(Y29-VLOOKUP($A29,[1]PASAJEROS!$A:$AA,COLUMNS([1]PASAJEROS!$A$11:$Y$11),0)=0,"ISO",Y29-VLOOKUP($A29,[1]PASAJEROS!$A:$AA,COLUMNS([1]PASAJEROS!$A$11:$Y$11),0)),"N/A")</f>
        <v>-1800000</v>
      </c>
      <c r="AE29" s="14"/>
      <c r="AF29" s="147">
        <v>0.09</v>
      </c>
      <c r="AG29" s="56">
        <f>+G29*(1-AF29)</f>
        <v>22558900</v>
      </c>
      <c r="AH29" s="56">
        <f t="shared" si="38"/>
        <v>18957058.823529411</v>
      </c>
      <c r="AI29" s="107"/>
      <c r="AJ29" s="121"/>
      <c r="AK29" s="35"/>
      <c r="AL29" s="35"/>
      <c r="AM29" s="35"/>
      <c r="AN29" s="35"/>
      <c r="AO29" s="35"/>
      <c r="AP29" s="35"/>
      <c r="AQ29" s="35"/>
    </row>
    <row r="30" spans="1:43" s="2" customFormat="1" ht="24.95" customHeight="1" x14ac:dyDescent="0.35">
      <c r="A30" s="85"/>
      <c r="B30" s="87"/>
      <c r="C30" s="19"/>
      <c r="D30" s="20"/>
      <c r="E30" s="20"/>
      <c r="F30" s="21"/>
      <c r="G30" s="22"/>
      <c r="H30" s="84"/>
      <c r="I30" s="17"/>
      <c r="J30" s="23"/>
      <c r="K30" s="23"/>
      <c r="L30" s="23"/>
      <c r="M30" s="23"/>
      <c r="N30" s="17"/>
      <c r="O30" s="24"/>
      <c r="P30" s="24"/>
      <c r="Q30" s="24"/>
      <c r="R30" s="24"/>
      <c r="S30" s="24"/>
      <c r="T30" s="19"/>
      <c r="U30" s="22"/>
      <c r="V30" s="22"/>
      <c r="W30" s="22"/>
      <c r="X30" s="22"/>
      <c r="Y30" s="22"/>
      <c r="Z30" s="25"/>
      <c r="AA30" s="144"/>
      <c r="AB30" s="144"/>
      <c r="AC30" s="144"/>
      <c r="AD30" s="144"/>
      <c r="AE30" s="25"/>
      <c r="AF30" s="145"/>
      <c r="AG30" s="144"/>
      <c r="AH30" s="144"/>
      <c r="AI30" s="110"/>
      <c r="AJ30" s="117"/>
      <c r="AK30" s="36"/>
      <c r="AL30" s="36"/>
      <c r="AM30" s="36"/>
      <c r="AN30" s="36"/>
      <c r="AO30" s="36"/>
      <c r="AP30" s="36"/>
      <c r="AQ30" s="36"/>
    </row>
    <row r="31" spans="1:43" ht="24.95" customHeight="1" x14ac:dyDescent="0.35">
      <c r="A31" s="124" t="s">
        <v>101</v>
      </c>
      <c r="B31" s="88"/>
      <c r="C31" s="169" t="s">
        <v>19</v>
      </c>
      <c r="D31" s="170"/>
      <c r="E31" s="170"/>
      <c r="F31" s="13"/>
      <c r="G31" s="28"/>
      <c r="H31" s="29"/>
      <c r="I31" s="17"/>
      <c r="J31" s="29"/>
      <c r="K31" s="29"/>
      <c r="L31" s="29"/>
      <c r="M31" s="30"/>
      <c r="N31" s="17"/>
      <c r="O31" s="29"/>
      <c r="P31" s="29"/>
      <c r="Q31" s="29"/>
      <c r="R31" s="29"/>
      <c r="S31" s="30"/>
      <c r="T31" s="31"/>
      <c r="U31" s="32"/>
      <c r="V31" s="32"/>
      <c r="W31" s="32"/>
      <c r="X31" s="32"/>
      <c r="Y31" s="30"/>
      <c r="Z31" s="14"/>
      <c r="AA31" s="32"/>
      <c r="AB31" s="32"/>
      <c r="AC31" s="32"/>
      <c r="AD31" s="32"/>
      <c r="AE31" s="14"/>
      <c r="AF31" s="146"/>
      <c r="AG31" s="32"/>
      <c r="AH31" s="32"/>
      <c r="AI31" s="107"/>
      <c r="AJ31" s="117"/>
    </row>
    <row r="32" spans="1:43" ht="24.95" customHeight="1" x14ac:dyDescent="0.35">
      <c r="A32" s="85" t="s">
        <v>20</v>
      </c>
      <c r="B32" s="90"/>
      <c r="C32" s="132" t="s">
        <v>80</v>
      </c>
      <c r="D32" s="128" t="s">
        <v>21</v>
      </c>
      <c r="E32" s="128" t="s">
        <v>27</v>
      </c>
      <c r="F32" s="49"/>
      <c r="G32" s="50">
        <v>25790000</v>
      </c>
      <c r="H32" s="52">
        <f t="shared" ref="H32" si="39">+G32/1.19</f>
        <v>21672268.907563027</v>
      </c>
      <c r="I32" s="51"/>
      <c r="J32" s="52">
        <v>5200000</v>
      </c>
      <c r="K32" s="52">
        <f t="shared" ref="K32" si="40">+IF(J32/2&gt;G32*$M$7,G32*$M$7,J32/2)</f>
        <v>644750</v>
      </c>
      <c r="L32" s="52">
        <f t="shared" ref="L32" si="41">J32-K32</f>
        <v>4555250</v>
      </c>
      <c r="M32" s="53">
        <f t="shared" ref="M32" si="42">$G32-J32</f>
        <v>20590000</v>
      </c>
      <c r="N32" s="51"/>
      <c r="O32" s="52">
        <v>5400000</v>
      </c>
      <c r="P32" s="52">
        <f t="shared" ref="P32" si="43">+K32</f>
        <v>644750</v>
      </c>
      <c r="Q32" s="52">
        <f>+L32</f>
        <v>4555250</v>
      </c>
      <c r="R32" s="52">
        <f>+O32-P32-Q32</f>
        <v>200000</v>
      </c>
      <c r="S32" s="53">
        <f>$G32-O32</f>
        <v>20390000</v>
      </c>
      <c r="T32" s="54"/>
      <c r="U32" s="52">
        <v>5800000</v>
      </c>
      <c r="V32" s="52">
        <f>+K32</f>
        <v>644750</v>
      </c>
      <c r="W32" s="52">
        <f>+L32</f>
        <v>4555250</v>
      </c>
      <c r="X32" s="52">
        <f>+U32-V32-W32</f>
        <v>600000</v>
      </c>
      <c r="Y32" s="53">
        <f>$G32-U32</f>
        <v>19990000</v>
      </c>
      <c r="Z32" s="55"/>
      <c r="AA32" s="143" t="str">
        <f>+IFERROR(IF(G32-VLOOKUP($A32,[1]PASAJEROS!$A:$AA,COLUMNS([1]PASAJEROS!$A$11:$G$11),0)=0,"ISO",G32-VLOOKUP($A32,[1]PASAJEROS!$A:$AA,COLUMNS([1]PASAJEROS!$A$11:$G$11),0)),"N/A")</f>
        <v>ISO</v>
      </c>
      <c r="AB32" s="143" t="str">
        <f>+IFERROR(IF(M32-VLOOKUP($A32,[1]PASAJEROS!$A:$AA,COLUMNS([1]PASAJEROS!$A$11:$M$11),0)=0,"ISO",M32-VLOOKUP($A32,[1]PASAJEROS!$A:$AA,COLUMNS([1]PASAJEROS!$A$11:$M$11),0)),"N/A")</f>
        <v>ISO</v>
      </c>
      <c r="AC32" s="143" t="str">
        <f>+IFERROR(IF(S32-VLOOKUP($A32,[1]PASAJEROS!$A:$AA,COLUMNS([1]PASAJEROS!$A$11:$S$11),0)=0,"ISO",S32-VLOOKUP($A32,[1]PASAJEROS!$A:$AA,COLUMNS([1]PASAJEROS!$A$11:S$11),0)),"N/A")</f>
        <v>ISO</v>
      </c>
      <c r="AD32" s="143" t="str">
        <f>+IFERROR(IF(Y32-VLOOKUP($A32,[1]PASAJEROS!$A:$AA,COLUMNS([1]PASAJEROS!$A$11:$Y$11),0)=0,"ISO",Y32-VLOOKUP($A32,[1]PASAJEROS!$A:$AA,COLUMNS([1]PASAJEROS!$A$11:$Y$11),0)),"N/A")</f>
        <v>ISO</v>
      </c>
      <c r="AE32" s="14"/>
      <c r="AF32" s="147">
        <v>0.09</v>
      </c>
      <c r="AG32" s="56">
        <f>+G32*(1-AF32)</f>
        <v>23468900</v>
      </c>
      <c r="AH32" s="56">
        <f t="shared" si="31"/>
        <v>19721764.705882356</v>
      </c>
      <c r="AI32" s="107"/>
      <c r="AJ32" s="121"/>
      <c r="AK32" s="35"/>
      <c r="AL32" s="35"/>
      <c r="AM32" s="35"/>
      <c r="AN32" s="35"/>
      <c r="AO32" s="35"/>
      <c r="AP32" s="35"/>
      <c r="AQ32" s="35"/>
    </row>
    <row r="33" spans="1:43" s="2" customFormat="1" ht="24.95" customHeight="1" x14ac:dyDescent="0.35">
      <c r="A33" s="85"/>
      <c r="B33" s="87"/>
      <c r="C33" s="19"/>
      <c r="D33" s="20"/>
      <c r="E33" s="20"/>
      <c r="F33" s="21"/>
      <c r="G33" s="22"/>
      <c r="H33" s="84"/>
      <c r="I33" s="17"/>
      <c r="J33" s="23"/>
      <c r="K33" s="23"/>
      <c r="L33" s="23"/>
      <c r="M33" s="23"/>
      <c r="N33" s="17"/>
      <c r="O33" s="24"/>
      <c r="P33" s="24"/>
      <c r="Q33" s="24"/>
      <c r="R33" s="24"/>
      <c r="S33" s="24"/>
      <c r="T33" s="19"/>
      <c r="U33" s="22"/>
      <c r="V33" s="22"/>
      <c r="W33" s="22"/>
      <c r="X33" s="22"/>
      <c r="Y33" s="22"/>
      <c r="Z33" s="25"/>
      <c r="AA33" s="144"/>
      <c r="AB33" s="144"/>
      <c r="AC33" s="144"/>
      <c r="AD33" s="144"/>
      <c r="AE33" s="25"/>
      <c r="AF33" s="145"/>
      <c r="AG33" s="144"/>
      <c r="AH33" s="144"/>
      <c r="AI33" s="110"/>
      <c r="AJ33" s="117"/>
      <c r="AK33" s="36"/>
      <c r="AL33" s="36"/>
      <c r="AM33" s="36"/>
      <c r="AN33" s="36"/>
      <c r="AO33" s="36"/>
      <c r="AP33" s="36"/>
      <c r="AQ33" s="36"/>
    </row>
    <row r="34" spans="1:43" ht="24.95" customHeight="1" x14ac:dyDescent="0.35">
      <c r="A34" s="124" t="s">
        <v>101</v>
      </c>
      <c r="B34" s="88"/>
      <c r="C34" s="169" t="s">
        <v>64</v>
      </c>
      <c r="D34" s="170"/>
      <c r="E34" s="170"/>
      <c r="F34" s="13"/>
      <c r="G34" s="28"/>
      <c r="H34" s="29"/>
      <c r="I34" s="17"/>
      <c r="J34" s="29"/>
      <c r="K34" s="29"/>
      <c r="L34" s="29"/>
      <c r="M34" s="30"/>
      <c r="N34" s="17"/>
      <c r="O34" s="29"/>
      <c r="P34" s="29"/>
      <c r="Q34" s="29"/>
      <c r="R34" s="29"/>
      <c r="S34" s="30"/>
      <c r="T34" s="31"/>
      <c r="U34" s="32"/>
      <c r="V34" s="32"/>
      <c r="W34" s="32"/>
      <c r="X34" s="32"/>
      <c r="Y34" s="30"/>
      <c r="Z34" s="14"/>
      <c r="AA34" s="32"/>
      <c r="AB34" s="32"/>
      <c r="AC34" s="32"/>
      <c r="AD34" s="32"/>
      <c r="AE34" s="14"/>
      <c r="AF34" s="146"/>
      <c r="AG34" s="32"/>
      <c r="AH34" s="32"/>
      <c r="AI34" s="107"/>
      <c r="AJ34" s="117"/>
    </row>
    <row r="35" spans="1:43" ht="24.95" customHeight="1" x14ac:dyDescent="0.35">
      <c r="A35" s="85" t="s">
        <v>65</v>
      </c>
      <c r="B35" s="90"/>
      <c r="C35" s="132" t="s">
        <v>82</v>
      </c>
      <c r="D35" s="128" t="s">
        <v>68</v>
      </c>
      <c r="E35" s="128" t="s">
        <v>67</v>
      </c>
      <c r="F35" s="49"/>
      <c r="G35" s="50">
        <v>32690000</v>
      </c>
      <c r="H35" s="52">
        <f t="shared" ref="H35:H37" si="44">+G35/1.19</f>
        <v>27470588.235294119</v>
      </c>
      <c r="I35" s="51"/>
      <c r="J35" s="52">
        <v>3700000</v>
      </c>
      <c r="K35" s="52">
        <f t="shared" ref="K35:K37" si="45">+IF(J35/2&gt;G35*$M$7,G35*$M$7,J35/2)</f>
        <v>817250</v>
      </c>
      <c r="L35" s="52">
        <f t="shared" ref="L35:L37" si="46">J35-K35</f>
        <v>2882750</v>
      </c>
      <c r="M35" s="53">
        <f t="shared" ref="M35:M37" si="47">$G35-J35</f>
        <v>28990000</v>
      </c>
      <c r="N35" s="51"/>
      <c r="O35" s="52">
        <v>4700000</v>
      </c>
      <c r="P35" s="52">
        <f t="shared" ref="P35:P37" si="48">+K35</f>
        <v>817250</v>
      </c>
      <c r="Q35" s="52">
        <f>+L35</f>
        <v>2882750</v>
      </c>
      <c r="R35" s="52">
        <f>+O35-P35-Q35</f>
        <v>1000000</v>
      </c>
      <c r="S35" s="53">
        <f>$G35-O35</f>
        <v>27990000</v>
      </c>
      <c r="T35" s="54"/>
      <c r="U35" s="52">
        <v>5700000</v>
      </c>
      <c r="V35" s="52">
        <f t="shared" ref="V35:W37" si="49">+K35</f>
        <v>817250</v>
      </c>
      <c r="W35" s="52">
        <f t="shared" si="49"/>
        <v>2882750</v>
      </c>
      <c r="X35" s="52">
        <f>+U35-V35-W35</f>
        <v>2000000</v>
      </c>
      <c r="Y35" s="53">
        <f>$G35-U35</f>
        <v>26990000</v>
      </c>
      <c r="Z35" s="55"/>
      <c r="AA35" s="143" t="str">
        <f>+IFERROR(IF(G35-VLOOKUP($A35,[1]PASAJEROS!$A:$AA,COLUMNS([1]PASAJEROS!$A$11:$G$11),0)=0,"ISO",G35-VLOOKUP($A35,[1]PASAJEROS!$A:$AA,COLUMNS([1]PASAJEROS!$A$11:$G$11),0)),"N/A")</f>
        <v>ISO</v>
      </c>
      <c r="AB35" s="143" t="str">
        <f>+IFERROR(IF(M35-VLOOKUP($A35,[1]PASAJEROS!$A:$AA,COLUMNS([1]PASAJEROS!$A$11:$M$11),0)=0,"ISO",M35-VLOOKUP($A35,[1]PASAJEROS!$A:$AA,COLUMNS([1]PASAJEROS!$A$11:$M$11),0)),"N/A")</f>
        <v>ISO</v>
      </c>
      <c r="AC35" s="143" t="str">
        <f>+IFERROR(IF(S35-VLOOKUP($A35,[1]PASAJEROS!$A:$AA,COLUMNS([1]PASAJEROS!$A$11:$S$11),0)=0,"ISO",S35-VLOOKUP($A35,[1]PASAJEROS!$A:$AA,COLUMNS([1]PASAJEROS!$A$11:S$11),0)),"N/A")</f>
        <v>ISO</v>
      </c>
      <c r="AD35" s="143" t="str">
        <f>+IFERROR(IF(Y35-VLOOKUP($A35,[1]PASAJEROS!$A:$AA,COLUMNS([1]PASAJEROS!$A$11:$Y$11),0)=0,"ISO",Y35-VLOOKUP($A35,[1]PASAJEROS!$A:$AA,COLUMNS([1]PASAJEROS!$A$11:$Y$11),0)),"N/A")</f>
        <v>ISO</v>
      </c>
      <c r="AE35" s="14"/>
      <c r="AF35" s="147">
        <v>0.09</v>
      </c>
      <c r="AG35" s="56">
        <f>+G35*(1-AF35)</f>
        <v>29747900</v>
      </c>
      <c r="AH35" s="56">
        <f t="shared" ref="AH35:AH37" si="50">+AG35/1.19</f>
        <v>24998235.294117648</v>
      </c>
      <c r="AI35" s="107"/>
      <c r="AJ35" s="121"/>
      <c r="AK35" s="35"/>
      <c r="AL35" s="35"/>
      <c r="AM35" s="35"/>
      <c r="AN35" s="35"/>
      <c r="AO35" s="35"/>
      <c r="AP35" s="35"/>
      <c r="AQ35" s="35"/>
    </row>
    <row r="36" spans="1:43" ht="24.95" customHeight="1" x14ac:dyDescent="0.35">
      <c r="A36" s="85" t="s">
        <v>66</v>
      </c>
      <c r="B36" s="90"/>
      <c r="C36" s="130" t="s">
        <v>83</v>
      </c>
      <c r="D36" s="128" t="s">
        <v>70</v>
      </c>
      <c r="E36" s="128" t="s">
        <v>67</v>
      </c>
      <c r="F36" s="49"/>
      <c r="G36" s="50">
        <v>35190000</v>
      </c>
      <c r="H36" s="52">
        <f t="shared" ref="H36" si="51">+G36/1.19</f>
        <v>29571428.571428571</v>
      </c>
      <c r="I36" s="51"/>
      <c r="J36" s="52">
        <v>3700000</v>
      </c>
      <c r="K36" s="52">
        <f t="shared" ref="K36" si="52">+IF(J36/2&gt;G36*$M$7,G36*$M$7,J36/2)</f>
        <v>879750</v>
      </c>
      <c r="L36" s="52">
        <f t="shared" ref="L36" si="53">J36-K36</f>
        <v>2820250</v>
      </c>
      <c r="M36" s="53">
        <f t="shared" ref="M36" si="54">$G36-J36</f>
        <v>31490000</v>
      </c>
      <c r="N36" s="51"/>
      <c r="O36" s="52">
        <v>4700000</v>
      </c>
      <c r="P36" s="52">
        <f t="shared" ref="P36" si="55">+K36</f>
        <v>879750</v>
      </c>
      <c r="Q36" s="52">
        <f>+L36</f>
        <v>2820250</v>
      </c>
      <c r="R36" s="52">
        <f>+O36-P36-Q36</f>
        <v>1000000</v>
      </c>
      <c r="S36" s="53">
        <f>$G36-O36</f>
        <v>30490000</v>
      </c>
      <c r="T36" s="54"/>
      <c r="U36" s="52">
        <v>5700000</v>
      </c>
      <c r="V36" s="52">
        <f t="shared" si="49"/>
        <v>879750</v>
      </c>
      <c r="W36" s="52">
        <f t="shared" si="49"/>
        <v>2820250</v>
      </c>
      <c r="X36" s="52">
        <f>+U36-V36-W36</f>
        <v>2000000</v>
      </c>
      <c r="Y36" s="53">
        <f>$G36-U36</f>
        <v>29490000</v>
      </c>
      <c r="Z36" s="55"/>
      <c r="AA36" s="143" t="str">
        <f>+IFERROR(IF(G36-VLOOKUP($A36,[1]PASAJEROS!$A:$AA,COLUMNS([1]PASAJEROS!$A$11:$G$11),0)=0,"ISO",G36-VLOOKUP($A36,[1]PASAJEROS!$A:$AA,COLUMNS([1]PASAJEROS!$A$11:$G$11),0)),"N/A")</f>
        <v>ISO</v>
      </c>
      <c r="AB36" s="143" t="str">
        <f>+IFERROR(IF(M36-VLOOKUP($A36,[1]PASAJEROS!$A:$AA,COLUMNS([1]PASAJEROS!$A$11:$M$11),0)=0,"ISO",M36-VLOOKUP($A36,[1]PASAJEROS!$A:$AA,COLUMNS([1]PASAJEROS!$A$11:$M$11),0)),"N/A")</f>
        <v>ISO</v>
      </c>
      <c r="AC36" s="143" t="str">
        <f>+IFERROR(IF(S36-VLOOKUP($A36,[1]PASAJEROS!$A:$AA,COLUMNS([1]PASAJEROS!$A$11:$S$11),0)=0,"ISO",S36-VLOOKUP($A36,[1]PASAJEROS!$A:$AA,COLUMNS([1]PASAJEROS!$A$11:S$11),0)),"N/A")</f>
        <v>ISO</v>
      </c>
      <c r="AD36" s="143" t="str">
        <f>+IFERROR(IF(Y36-VLOOKUP($A36,[1]PASAJEROS!$A:$AA,COLUMNS([1]PASAJEROS!$A$11:$Y$11),0)=0,"ISO",Y36-VLOOKUP($A36,[1]PASAJEROS!$A:$AA,COLUMNS([1]PASAJEROS!$A$11:$Y$11),0)),"N/A")</f>
        <v>ISO</v>
      </c>
      <c r="AE36" s="14"/>
      <c r="AF36" s="147">
        <v>0.09</v>
      </c>
      <c r="AG36" s="56">
        <f>+G36*(1-AF36)</f>
        <v>32022900</v>
      </c>
      <c r="AH36" s="56">
        <f t="shared" ref="AH36" si="56">+AG36/1.19</f>
        <v>26910000</v>
      </c>
      <c r="AI36" s="107"/>
      <c r="AJ36" s="121"/>
      <c r="AK36" s="35"/>
      <c r="AL36" s="35"/>
      <c r="AM36" s="35"/>
      <c r="AN36" s="35"/>
      <c r="AO36" s="35"/>
      <c r="AP36" s="35"/>
      <c r="AQ36" s="35"/>
    </row>
    <row r="37" spans="1:43" ht="24.95" customHeight="1" x14ac:dyDescent="0.35">
      <c r="A37" s="85" t="s">
        <v>66</v>
      </c>
      <c r="B37" s="90"/>
      <c r="C37" s="130" t="s">
        <v>84</v>
      </c>
      <c r="D37" s="128" t="s">
        <v>69</v>
      </c>
      <c r="E37" s="128" t="s">
        <v>67</v>
      </c>
      <c r="F37" s="49"/>
      <c r="G37" s="50">
        <v>36690000</v>
      </c>
      <c r="H37" s="52">
        <f t="shared" si="44"/>
        <v>30831932.773109246</v>
      </c>
      <c r="I37" s="51"/>
      <c r="J37" s="52">
        <v>3700000</v>
      </c>
      <c r="K37" s="52">
        <f t="shared" si="45"/>
        <v>917250</v>
      </c>
      <c r="L37" s="52">
        <f t="shared" si="46"/>
        <v>2782750</v>
      </c>
      <c r="M37" s="53">
        <f t="shared" si="47"/>
        <v>32990000</v>
      </c>
      <c r="N37" s="51"/>
      <c r="O37" s="52">
        <v>4700000</v>
      </c>
      <c r="P37" s="52">
        <f t="shared" si="48"/>
        <v>917250</v>
      </c>
      <c r="Q37" s="52">
        <f>+L37</f>
        <v>2782750</v>
      </c>
      <c r="R37" s="52">
        <f>+O37-P37-Q37</f>
        <v>1000000</v>
      </c>
      <c r="S37" s="53">
        <f>$G37-O37</f>
        <v>31990000</v>
      </c>
      <c r="T37" s="54"/>
      <c r="U37" s="52">
        <v>5700000</v>
      </c>
      <c r="V37" s="52">
        <f t="shared" si="49"/>
        <v>917250</v>
      </c>
      <c r="W37" s="52">
        <f t="shared" si="49"/>
        <v>2782750</v>
      </c>
      <c r="X37" s="52">
        <f>+U37-V37-W37</f>
        <v>2000000</v>
      </c>
      <c r="Y37" s="53">
        <f>$G37-U37</f>
        <v>30990000</v>
      </c>
      <c r="Z37" s="55"/>
      <c r="AA37" s="143" t="str">
        <f>+AA36</f>
        <v>ISO</v>
      </c>
      <c r="AB37" s="143" t="str">
        <f t="shared" ref="AB37:AD37" si="57">+AB36</f>
        <v>ISO</v>
      </c>
      <c r="AC37" s="143" t="str">
        <f t="shared" si="57"/>
        <v>ISO</v>
      </c>
      <c r="AD37" s="143" t="str">
        <f t="shared" si="57"/>
        <v>ISO</v>
      </c>
      <c r="AE37" s="14"/>
      <c r="AF37" s="147">
        <v>0.09</v>
      </c>
      <c r="AG37" s="56">
        <f>+G37*(1-AF37)</f>
        <v>33387900</v>
      </c>
      <c r="AH37" s="56">
        <f t="shared" si="50"/>
        <v>28057058.823529415</v>
      </c>
      <c r="AI37" s="107"/>
      <c r="AJ37" s="121"/>
      <c r="AK37" s="35"/>
      <c r="AL37" s="35"/>
      <c r="AM37" s="35"/>
      <c r="AN37" s="35"/>
      <c r="AO37" s="35"/>
      <c r="AP37" s="35"/>
      <c r="AQ37" s="35"/>
    </row>
    <row r="38" spans="1:43" ht="24.95" customHeight="1" x14ac:dyDescent="0.35">
      <c r="A38" s="85"/>
      <c r="B38" s="92"/>
      <c r="C38" s="122"/>
      <c r="D38" s="93"/>
      <c r="E38" s="94"/>
      <c r="F38" s="95"/>
      <c r="G38" s="96"/>
      <c r="H38" s="96"/>
      <c r="I38" s="97"/>
      <c r="J38" s="98"/>
      <c r="K38" s="98"/>
      <c r="L38" s="98"/>
      <c r="M38" s="99"/>
      <c r="N38" s="97"/>
      <c r="O38" s="100"/>
      <c r="P38" s="100"/>
      <c r="Q38" s="100"/>
      <c r="R38" s="100"/>
      <c r="S38" s="101"/>
      <c r="T38" s="102"/>
      <c r="U38" s="103"/>
      <c r="V38" s="103"/>
      <c r="W38" s="103"/>
      <c r="X38" s="103"/>
      <c r="Y38" s="101"/>
      <c r="Z38" s="104"/>
      <c r="AA38" s="101"/>
      <c r="AB38" s="101"/>
      <c r="AC38" s="101"/>
      <c r="AD38" s="101"/>
      <c r="AE38" s="104"/>
      <c r="AF38" s="101"/>
      <c r="AG38" s="101"/>
      <c r="AH38" s="101"/>
      <c r="AI38" s="112"/>
      <c r="AJ38" s="117"/>
    </row>
    <row r="39" spans="1:43" ht="24.95" customHeight="1" x14ac:dyDescent="0.25">
      <c r="F39" s="38"/>
    </row>
    <row r="40" spans="1:43" ht="24.95" customHeight="1" x14ac:dyDescent="0.25">
      <c r="F40" s="38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</row>
    <row r="41" spans="1:43" ht="24.95" customHeight="1" x14ac:dyDescent="0.25">
      <c r="F41" s="38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</row>
    <row r="42" spans="1:43" ht="24.95" customHeight="1" x14ac:dyDescent="0.25">
      <c r="F42" s="38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</row>
    <row r="43" spans="1:43" ht="24.95" customHeight="1" x14ac:dyDescent="0.25">
      <c r="F43" s="38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</row>
    <row r="44" spans="1:43" ht="24.95" customHeight="1" x14ac:dyDescent="0.25">
      <c r="F44" s="38"/>
    </row>
    <row r="45" spans="1:43" ht="24.95" customHeight="1" x14ac:dyDescent="0.25">
      <c r="F45" s="38"/>
    </row>
    <row r="47" spans="1:43" ht="24.95" customHeight="1" x14ac:dyDescent="0.25">
      <c r="C47" s="41"/>
      <c r="F47" s="42"/>
      <c r="G47" s="40"/>
      <c r="H47" s="40"/>
      <c r="J47" s="40"/>
      <c r="K47" s="40"/>
      <c r="L47" s="40"/>
      <c r="M47" s="40"/>
    </row>
    <row r="48" spans="1:43" ht="24.95" customHeight="1" x14ac:dyDescent="0.25">
      <c r="C48" s="41"/>
      <c r="F48" s="42"/>
      <c r="G48" s="40"/>
      <c r="H48" s="40"/>
      <c r="J48" s="43"/>
      <c r="K48" s="43"/>
      <c r="L48" s="40"/>
      <c r="M48" s="40"/>
    </row>
    <row r="49" spans="3:13" ht="24.95" customHeight="1" x14ac:dyDescent="0.25">
      <c r="C49" s="41"/>
      <c r="F49" s="42"/>
      <c r="G49" s="40"/>
      <c r="H49" s="40"/>
      <c r="J49" s="43"/>
      <c r="K49" s="43"/>
      <c r="L49" s="40"/>
      <c r="M49" s="40"/>
    </row>
  </sheetData>
  <mergeCells count="20">
    <mergeCell ref="AF8:AF9"/>
    <mergeCell ref="AG8:AG9"/>
    <mergeCell ref="AH8:AH9"/>
    <mergeCell ref="J8:M8"/>
    <mergeCell ref="O8:S8"/>
    <mergeCell ref="U8:Y8"/>
    <mergeCell ref="AD8:AD9"/>
    <mergeCell ref="AB8:AB9"/>
    <mergeCell ref="AC8:AC9"/>
    <mergeCell ref="C8:C9"/>
    <mergeCell ref="D8:D9"/>
    <mergeCell ref="E8:E9"/>
    <mergeCell ref="G8:H8"/>
    <mergeCell ref="AA8:AA9"/>
    <mergeCell ref="C34:E34"/>
    <mergeCell ref="C11:E11"/>
    <mergeCell ref="C16:E16"/>
    <mergeCell ref="C21:E21"/>
    <mergeCell ref="C25:E25"/>
    <mergeCell ref="C31:E31"/>
  </mergeCells>
  <conditionalFormatting sqref="D12:E15 D17:E20 D22:E24 D26:E30 D32:E33 D35:E37">
    <cfRule type="cellIs" dxfId="1" priority="1" operator="equal">
      <formula>"PENDIENTE"</formula>
    </cfRule>
  </conditionalFormatting>
  <pageMargins left="0.17" right="0.17" top="0.49" bottom="0.74803149606299213" header="0.22" footer="0.31496062992125984"/>
  <pageSetup scale="6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6B368-75F4-4FBF-86EA-76A107A50B38}">
  <sheetPr>
    <tabColor theme="0" tint="-0.499984740745262"/>
    <pageSetUpPr fitToPage="1"/>
  </sheetPr>
  <dimension ref="A1:AS24"/>
  <sheetViews>
    <sheetView showGridLines="0" zoomScale="70" zoomScaleNormal="70" zoomScaleSheetLayoutView="85" workbookViewId="0">
      <pane xSplit="3" ySplit="9" topLeftCell="E10" activePane="bottomRight" state="frozen"/>
      <selection pane="topRight" activeCell="F1" sqref="F1"/>
      <selection pane="bottomLeft" activeCell="A9" sqref="A9"/>
      <selection pane="bottomRight" activeCell="W12" sqref="W12"/>
    </sheetView>
  </sheetViews>
  <sheetFormatPr baseColWidth="10" defaultColWidth="11.42578125" defaultRowHeight="24.95" customHeight="1" outlineLevelCol="1" x14ac:dyDescent="0.25"/>
  <cols>
    <col min="1" max="1" width="38.5703125" style="2" hidden="1" customWidth="1" outlineLevel="1"/>
    <col min="2" max="2" width="3.7109375" style="4" customWidth="1" collapsed="1"/>
    <col min="3" max="3" width="65.7109375" style="4" customWidth="1"/>
    <col min="4" max="4" width="35.7109375" style="2" hidden="1" customWidth="1" outlineLevel="1"/>
    <col min="5" max="5" width="35.7109375" style="2" customWidth="1" collapsed="1"/>
    <col min="6" max="6" width="2.7109375" style="44" customWidth="1"/>
    <col min="7" max="7" width="25.7109375" style="39" hidden="1" customWidth="1" outlineLevel="1"/>
    <col min="8" max="8" width="25.7109375" style="39" customWidth="1" collapsed="1"/>
    <col min="9" max="9" width="2.7109375" style="39" customWidth="1"/>
    <col min="10" max="10" width="25.7109375" style="39" hidden="1" customWidth="1" outlineLevel="1"/>
    <col min="11" max="11" width="25.7109375" style="39" customWidth="1" collapsed="1"/>
    <col min="12" max="14" width="25.7109375" style="39" hidden="1" customWidth="1" outlineLevel="1"/>
    <col min="15" max="15" width="25.7109375" style="39" customWidth="1" collapsed="1"/>
    <col min="16" max="16" width="2.7109375" style="39" customWidth="1"/>
    <col min="17" max="17" width="25.7109375" style="39" hidden="1" customWidth="1" outlineLevel="1"/>
    <col min="18" max="18" width="25.7109375" style="39" customWidth="1" collapsed="1"/>
    <col min="19" max="22" width="25.7109375" style="39" hidden="1" customWidth="1" outlineLevel="1"/>
    <col min="23" max="23" width="25.7109375" style="39" customWidth="1" collapsed="1"/>
    <col min="24" max="24" width="2.7109375" style="39" customWidth="1"/>
    <col min="25" max="25" width="25.7109375" style="39" hidden="1" customWidth="1" outlineLevel="1"/>
    <col min="26" max="26" width="25.7109375" style="39" customWidth="1" collapsed="1"/>
    <col min="27" max="30" width="25.7109375" style="39" hidden="1" customWidth="1" outlineLevel="1"/>
    <col min="31" max="31" width="25.7109375" style="39" customWidth="1" collapsed="1"/>
    <col min="32" max="32" width="2.7109375" style="39" customWidth="1"/>
    <col min="33" max="35" width="20.7109375" style="39" customWidth="1" outlineLevel="1"/>
    <col min="36" max="36" width="2.7109375" style="39" customWidth="1"/>
    <col min="37" max="37" width="15.7109375" style="39" hidden="1" customWidth="1" outlineLevel="1"/>
    <col min="38" max="39" width="20.7109375" style="39" hidden="1" customWidth="1" outlineLevel="1"/>
    <col min="40" max="40" width="2.7109375" style="39" customWidth="1" collapsed="1"/>
    <col min="41" max="41" width="2.7109375" style="2" customWidth="1"/>
    <col min="42" max="45" width="11.42578125" style="4" customWidth="1" outlineLevel="1"/>
    <col min="46" max="16383" width="2.7109375" style="4" customWidth="1"/>
    <col min="16384" max="16384" width="11.42578125" style="4"/>
  </cols>
  <sheetData>
    <row r="1" spans="1:45" ht="24.95" customHeight="1" x14ac:dyDescent="0.3">
      <c r="B1" s="5"/>
      <c r="C1" s="6"/>
      <c r="D1" s="7"/>
      <c r="E1" s="7"/>
      <c r="F1" s="8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 t="s">
        <v>0</v>
      </c>
      <c r="AG1" s="9"/>
      <c r="AH1" s="9"/>
      <c r="AI1" s="9"/>
      <c r="AJ1" s="9"/>
      <c r="AK1" s="9"/>
      <c r="AL1" s="9"/>
      <c r="AM1" s="9"/>
      <c r="AN1" s="105"/>
      <c r="AO1" s="34"/>
    </row>
    <row r="2" spans="1:45" ht="24.95" customHeight="1" x14ac:dyDescent="0.3">
      <c r="B2" s="5"/>
      <c r="C2" s="10"/>
      <c r="D2" s="7"/>
      <c r="E2" s="45" t="s">
        <v>26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2"/>
      <c r="AG2" s="12"/>
      <c r="AH2" s="12"/>
      <c r="AI2" s="12"/>
      <c r="AJ2" s="12"/>
      <c r="AK2" s="12"/>
      <c r="AL2" s="12"/>
      <c r="AM2" s="12"/>
      <c r="AN2" s="106"/>
      <c r="AO2" s="34"/>
    </row>
    <row r="3" spans="1:45" ht="24.95" customHeight="1" x14ac:dyDescent="0.3">
      <c r="B3" s="5"/>
      <c r="C3" s="10"/>
      <c r="D3" s="7"/>
      <c r="E3" s="46" t="str">
        <f>+PASAJEROS!E3</f>
        <v>Nº 06 - 2026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4"/>
      <c r="AG3" s="14"/>
      <c r="AH3" s="14"/>
      <c r="AI3" s="14"/>
      <c r="AJ3" s="14"/>
      <c r="AK3" s="14"/>
      <c r="AL3" s="14"/>
      <c r="AM3" s="14"/>
      <c r="AN3" s="107"/>
      <c r="AO3" s="34"/>
    </row>
    <row r="4" spans="1:45" ht="24.95" customHeight="1" x14ac:dyDescent="0.3">
      <c r="B4" s="5"/>
      <c r="C4" s="13"/>
      <c r="D4" s="7"/>
      <c r="E4" s="47">
        <f>+PASAJEROS!E4</f>
        <v>46174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4"/>
      <c r="AG4" s="14"/>
      <c r="AH4" s="14"/>
      <c r="AI4" s="14"/>
      <c r="AJ4" s="14"/>
      <c r="AK4" s="14"/>
      <c r="AL4" s="14"/>
      <c r="AM4" s="14"/>
      <c r="AN4" s="108"/>
      <c r="AO4" s="34"/>
    </row>
    <row r="5" spans="1:45" ht="24.95" customHeight="1" x14ac:dyDescent="0.3">
      <c r="B5" s="5"/>
      <c r="C5" s="15"/>
      <c r="D5" s="7"/>
      <c r="E5" s="7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4"/>
      <c r="AG5" s="14"/>
      <c r="AH5" s="14"/>
      <c r="AI5" s="14"/>
      <c r="AJ5" s="14"/>
      <c r="AK5" s="14"/>
      <c r="AL5" s="14"/>
      <c r="AM5" s="14"/>
      <c r="AN5" s="107"/>
      <c r="AO5" s="34"/>
    </row>
    <row r="6" spans="1:45" ht="24.95" customHeight="1" x14ac:dyDescent="0.3">
      <c r="B6" s="5"/>
      <c r="C6" s="15"/>
      <c r="D6" s="7"/>
      <c r="E6" s="7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4"/>
      <c r="AG6" s="14"/>
      <c r="AH6" s="14"/>
      <c r="AI6" s="14"/>
      <c r="AJ6" s="14"/>
      <c r="AK6" s="14"/>
      <c r="AL6" s="14"/>
      <c r="AM6" s="14"/>
      <c r="AN6" s="107"/>
      <c r="AO6" s="34"/>
    </row>
    <row r="7" spans="1:45" ht="24.95" customHeight="1" thickBot="1" x14ac:dyDescent="0.4">
      <c r="B7" s="5"/>
      <c r="C7" s="15"/>
      <c r="D7" s="7"/>
      <c r="E7" s="7"/>
      <c r="F7" s="15"/>
      <c r="G7" s="15"/>
      <c r="H7" s="15"/>
      <c r="I7" s="15"/>
      <c r="J7" s="15"/>
      <c r="K7" s="133" t="s">
        <v>44</v>
      </c>
      <c r="L7" s="134"/>
      <c r="M7" s="135"/>
      <c r="N7" s="136"/>
      <c r="O7" s="136">
        <f>+PASAJEROS!M7</f>
        <v>2.5000000000000001E-2</v>
      </c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4"/>
      <c r="AG7" s="14"/>
      <c r="AH7" s="14"/>
      <c r="AI7" s="14"/>
      <c r="AJ7" s="14"/>
      <c r="AK7" s="14"/>
      <c r="AL7" s="14"/>
      <c r="AM7" s="14"/>
      <c r="AN7" s="107"/>
      <c r="AO7" s="34"/>
    </row>
    <row r="8" spans="1:45" s="65" customFormat="1" ht="27" customHeight="1" x14ac:dyDescent="0.4">
      <c r="A8" s="60"/>
      <c r="B8" s="123"/>
      <c r="C8" s="171" t="s">
        <v>22</v>
      </c>
      <c r="D8" s="172" t="s">
        <v>6</v>
      </c>
      <c r="E8" s="188" t="s">
        <v>7</v>
      </c>
      <c r="F8" s="70"/>
      <c r="G8" s="189" t="s">
        <v>31</v>
      </c>
      <c r="H8" s="174"/>
      <c r="I8" s="61"/>
      <c r="J8" s="178" t="s">
        <v>28</v>
      </c>
      <c r="K8" s="179"/>
      <c r="L8" s="179"/>
      <c r="M8" s="179"/>
      <c r="N8" s="179"/>
      <c r="O8" s="180"/>
      <c r="P8" s="61"/>
      <c r="Q8" s="181" t="s">
        <v>29</v>
      </c>
      <c r="R8" s="182"/>
      <c r="S8" s="182"/>
      <c r="T8" s="182"/>
      <c r="U8" s="182"/>
      <c r="V8" s="182"/>
      <c r="W8" s="190"/>
      <c r="X8" s="71"/>
      <c r="Y8" s="191" t="s">
        <v>30</v>
      </c>
      <c r="Z8" s="185"/>
      <c r="AA8" s="185"/>
      <c r="AB8" s="185"/>
      <c r="AC8" s="185"/>
      <c r="AD8" s="185"/>
      <c r="AE8" s="192"/>
      <c r="AF8" s="80"/>
      <c r="AG8" s="193" t="s">
        <v>102</v>
      </c>
      <c r="AH8" s="193" t="s">
        <v>117</v>
      </c>
      <c r="AI8" s="193" t="s">
        <v>118</v>
      </c>
      <c r="AJ8" s="63"/>
      <c r="AK8" s="176" t="s">
        <v>1</v>
      </c>
      <c r="AL8" s="177" t="s">
        <v>2</v>
      </c>
      <c r="AM8" s="175" t="s">
        <v>3</v>
      </c>
      <c r="AN8" s="109"/>
      <c r="AO8" s="125"/>
      <c r="AP8" s="187" t="s">
        <v>104</v>
      </c>
      <c r="AQ8" s="187"/>
      <c r="AR8" s="187"/>
      <c r="AS8" s="187"/>
    </row>
    <row r="9" spans="1:45" s="2" customFormat="1" ht="42" customHeight="1" thickBot="1" x14ac:dyDescent="0.4">
      <c r="A9" s="2" t="s">
        <v>4</v>
      </c>
      <c r="B9" s="87"/>
      <c r="C9" s="171"/>
      <c r="D9" s="172"/>
      <c r="E9" s="188"/>
      <c r="F9" s="72"/>
      <c r="G9" s="73" t="s">
        <v>106</v>
      </c>
      <c r="H9" s="57" t="s">
        <v>105</v>
      </c>
      <c r="I9" s="58"/>
      <c r="J9" s="157" t="s">
        <v>108</v>
      </c>
      <c r="K9" s="158" t="s">
        <v>113</v>
      </c>
      <c r="L9" s="158" t="s">
        <v>114</v>
      </c>
      <c r="M9" s="158" t="s">
        <v>110</v>
      </c>
      <c r="N9" s="158" t="s">
        <v>115</v>
      </c>
      <c r="O9" s="159" t="s">
        <v>116</v>
      </c>
      <c r="P9" s="58"/>
      <c r="Q9" s="160" t="s">
        <v>108</v>
      </c>
      <c r="R9" s="161" t="s">
        <v>113</v>
      </c>
      <c r="S9" s="161" t="s">
        <v>114</v>
      </c>
      <c r="T9" s="161" t="s">
        <v>110</v>
      </c>
      <c r="U9" s="161" t="s">
        <v>112</v>
      </c>
      <c r="V9" s="161" t="s">
        <v>115</v>
      </c>
      <c r="W9" s="163" t="s">
        <v>116</v>
      </c>
      <c r="X9" s="74"/>
      <c r="Y9" s="164" t="s">
        <v>108</v>
      </c>
      <c r="Z9" s="162" t="s">
        <v>113</v>
      </c>
      <c r="AA9" s="162" t="s">
        <v>114</v>
      </c>
      <c r="AB9" s="162" t="s">
        <v>110</v>
      </c>
      <c r="AC9" s="162" t="s">
        <v>112</v>
      </c>
      <c r="AD9" s="162" t="s">
        <v>115</v>
      </c>
      <c r="AE9" s="165" t="s">
        <v>116</v>
      </c>
      <c r="AF9" s="82"/>
      <c r="AG9" s="193"/>
      <c r="AH9" s="193"/>
      <c r="AI9" s="193"/>
      <c r="AJ9" s="14"/>
      <c r="AK9" s="176"/>
      <c r="AL9" s="177"/>
      <c r="AM9" s="175"/>
      <c r="AN9" s="107"/>
      <c r="AO9" s="83"/>
      <c r="AP9" s="166" t="s">
        <v>45</v>
      </c>
      <c r="AQ9" s="167" t="s">
        <v>46</v>
      </c>
      <c r="AR9" s="168" t="s">
        <v>47</v>
      </c>
      <c r="AS9" s="167" t="s">
        <v>48</v>
      </c>
    </row>
    <row r="10" spans="1:45" s="2" customFormat="1" ht="15" customHeight="1" x14ac:dyDescent="0.35">
      <c r="B10" s="87"/>
      <c r="C10" s="19"/>
      <c r="D10" s="20"/>
      <c r="E10" s="20"/>
      <c r="F10" s="75"/>
      <c r="G10" s="22"/>
      <c r="H10" s="22"/>
      <c r="I10" s="59"/>
      <c r="J10" s="23"/>
      <c r="K10" s="23"/>
      <c r="L10" s="23"/>
      <c r="M10" s="23"/>
      <c r="N10" s="23"/>
      <c r="O10" s="23"/>
      <c r="P10" s="59"/>
      <c r="Q10" s="24"/>
      <c r="R10" s="24"/>
      <c r="S10" s="24"/>
      <c r="T10" s="24"/>
      <c r="U10" s="24"/>
      <c r="V10" s="24"/>
      <c r="W10" s="24"/>
      <c r="X10" s="78"/>
      <c r="Y10" s="22"/>
      <c r="Z10" s="22"/>
      <c r="AA10" s="22"/>
      <c r="AB10" s="22"/>
      <c r="AC10" s="22"/>
      <c r="AD10" s="22"/>
      <c r="AE10" s="22"/>
      <c r="AF10" s="81"/>
      <c r="AG10" s="26"/>
      <c r="AH10" s="26"/>
      <c r="AI10" s="26"/>
      <c r="AJ10" s="25"/>
      <c r="AK10" s="27"/>
      <c r="AL10" s="26"/>
      <c r="AM10" s="26"/>
      <c r="AN10" s="110"/>
      <c r="AO10" s="34"/>
      <c r="AP10" s="114"/>
      <c r="AQ10" s="114"/>
      <c r="AR10" s="114"/>
      <c r="AS10" s="114"/>
    </row>
    <row r="11" spans="1:45" ht="24.95" customHeight="1" x14ac:dyDescent="0.35">
      <c r="A11" s="126" t="s">
        <v>86</v>
      </c>
      <c r="B11" s="90"/>
      <c r="C11" s="169" t="s">
        <v>86</v>
      </c>
      <c r="D11" s="170"/>
      <c r="E11" s="170"/>
      <c r="F11" s="76"/>
      <c r="G11" s="22"/>
      <c r="H11" s="22"/>
      <c r="I11" s="59"/>
      <c r="J11" s="23"/>
      <c r="K11" s="23"/>
      <c r="L11" s="23"/>
      <c r="M11" s="23"/>
      <c r="N11" s="23"/>
      <c r="O11" s="23"/>
      <c r="P11" s="59"/>
      <c r="Q11" s="22"/>
      <c r="R11" s="22"/>
      <c r="S11" s="9"/>
      <c r="T11" s="9"/>
      <c r="U11" s="9"/>
      <c r="V11" s="9"/>
      <c r="W11" s="66"/>
      <c r="X11" s="79"/>
      <c r="Y11" s="9"/>
      <c r="Z11" s="9"/>
      <c r="AA11" s="9"/>
      <c r="AB11" s="9"/>
      <c r="AC11" s="67"/>
      <c r="AD11" s="9"/>
      <c r="AE11" s="9"/>
      <c r="AF11" s="79"/>
      <c r="AG11" s="68"/>
      <c r="AH11" s="68"/>
      <c r="AI11" s="68"/>
      <c r="AJ11" s="9"/>
      <c r="AK11" s="9"/>
      <c r="AL11" s="9"/>
      <c r="AM11" s="9"/>
      <c r="AN11" s="105"/>
      <c r="AO11" s="34"/>
      <c r="AP11" s="114"/>
      <c r="AQ11" s="114"/>
      <c r="AR11" s="114"/>
      <c r="AS11" s="114"/>
    </row>
    <row r="12" spans="1:45" ht="24.95" customHeight="1" x14ac:dyDescent="0.3">
      <c r="A12" s="2" t="s">
        <v>63</v>
      </c>
      <c r="B12" s="5"/>
      <c r="C12" s="149" t="s">
        <v>85</v>
      </c>
      <c r="D12" s="128" t="s">
        <v>71</v>
      </c>
      <c r="E12" s="128" t="s">
        <v>25</v>
      </c>
      <c r="F12" s="13"/>
      <c r="G12" s="50">
        <f>+H12*1.19</f>
        <v>22598100</v>
      </c>
      <c r="H12" s="50">
        <v>18990000</v>
      </c>
      <c r="I12" s="148"/>
      <c r="J12" s="56">
        <f>+K12*1.19</f>
        <v>3213000</v>
      </c>
      <c r="K12" s="56">
        <v>2700000</v>
      </c>
      <c r="L12" s="56">
        <f>+IF(K12/2&gt;H12*$O$7,H12*$O$7,K12/2)</f>
        <v>474750</v>
      </c>
      <c r="M12" s="56">
        <f>K12-L12</f>
        <v>2225250</v>
      </c>
      <c r="N12" s="53">
        <f>$G12-J12</f>
        <v>19385100</v>
      </c>
      <c r="O12" s="53">
        <f>+N12/1.19</f>
        <v>16290000</v>
      </c>
      <c r="P12" s="148"/>
      <c r="Q12" s="52">
        <f>R12*1.19</f>
        <v>3808000</v>
      </c>
      <c r="R12" s="52">
        <v>3200000</v>
      </c>
      <c r="S12" s="52">
        <f>+L12</f>
        <v>474750</v>
      </c>
      <c r="T12" s="52">
        <f>+M12</f>
        <v>2225250</v>
      </c>
      <c r="U12" s="52">
        <f>+R12-S12-T12</f>
        <v>500000</v>
      </c>
      <c r="V12" s="52">
        <f>$G12-Q12</f>
        <v>18790100</v>
      </c>
      <c r="W12" s="53">
        <f>+V12/1.19</f>
        <v>15790000</v>
      </c>
      <c r="X12" s="19"/>
      <c r="Y12" s="69" t="s">
        <v>23</v>
      </c>
      <c r="Z12" s="69" t="s">
        <v>23</v>
      </c>
      <c r="AA12" s="69" t="s">
        <v>23</v>
      </c>
      <c r="AB12" s="69" t="s">
        <v>23</v>
      </c>
      <c r="AC12" s="69" t="s">
        <v>23</v>
      </c>
      <c r="AD12" s="69" t="s">
        <v>23</v>
      </c>
      <c r="AE12" s="69" t="s">
        <v>23</v>
      </c>
      <c r="AF12" s="9"/>
      <c r="AG12" s="143" t="str">
        <f>+IFERROR(IF(H12-VLOOKUP(A12,[1]COMERCIALES!$A:$AE,COLUMNS([1]PASAJEROS!$A$11:$H$11),0)=0,"ISO",H12-VLOOKUP(A12,[1]COMERCIALES!$A:$AE,COLUMNS([1]PASAJEROS!$A$11:$H$11),0)),"N/A")</f>
        <v>ISO</v>
      </c>
      <c r="AH12" s="143">
        <f>+IFERROR(IF(O12-VLOOKUP(A12,[1]COMERCIALES!$A:$AE,COLUMNS([1]COMERCIALES!$A$11:$O$11),0)=0,"ISO",O12-VLOOKUP(A12,[1]COMERCIALES!$A:$AE,COLUMNS([1]COMERCIALES!$A$11:$O$11),0)),"N/A")</f>
        <v>-400000</v>
      </c>
      <c r="AI12" s="143">
        <f>+IFERROR(IF(W12-VLOOKUP(A12,[1]COMERCIALES!$A:$AG,COLUMNS([1]COMERCIALES!$A$11:$W$11),0)=0,"ISO",W12-VLOOKUP(A12,[1]COMERCIALES!$A:$AG,COLUMNS([1]COMERCIALES!$A$11:$W$11),0)),"N/A")</f>
        <v>-400000</v>
      </c>
      <c r="AJ12" s="9"/>
      <c r="AK12" s="147">
        <v>0.1</v>
      </c>
      <c r="AL12" s="56">
        <f>+G12*(1-AK12)</f>
        <v>20338290</v>
      </c>
      <c r="AM12" s="56">
        <f>+AL12/1.19</f>
        <v>17091000</v>
      </c>
      <c r="AN12" s="105"/>
      <c r="AO12" s="77"/>
      <c r="AP12" s="115">
        <f>IFERROR(K12/H12,0)</f>
        <v>0.14218009478672985</v>
      </c>
      <c r="AQ12" s="116">
        <v>0.15</v>
      </c>
      <c r="AR12" s="116">
        <f>IFERROR(+R12/H12,0)</f>
        <v>0.16850974196945762</v>
      </c>
      <c r="AS12" s="116">
        <v>0.19</v>
      </c>
    </row>
    <row r="13" spans="1:45" s="39" customFormat="1" ht="24.95" customHeight="1" x14ac:dyDescent="0.35">
      <c r="B13" s="150"/>
      <c r="C13" s="151"/>
      <c r="D13" s="151"/>
      <c r="E13" s="151"/>
      <c r="F13" s="95"/>
      <c r="G13" s="151"/>
      <c r="H13" s="152"/>
      <c r="I13" s="97"/>
      <c r="J13" s="151"/>
      <c r="K13" s="153"/>
      <c r="L13" s="154"/>
      <c r="M13" s="151"/>
      <c r="N13" s="151"/>
      <c r="O13" s="151"/>
      <c r="P13" s="97"/>
      <c r="Q13" s="103"/>
      <c r="R13" s="103"/>
      <c r="S13" s="103"/>
      <c r="T13" s="151"/>
      <c r="U13" s="151"/>
      <c r="V13" s="151"/>
      <c r="W13" s="151" t="s">
        <v>0</v>
      </c>
      <c r="X13" s="151"/>
      <c r="Y13" s="151"/>
      <c r="Z13" s="151"/>
      <c r="AA13" s="151"/>
      <c r="AB13" s="151"/>
      <c r="AC13" s="155"/>
      <c r="AD13" s="151"/>
      <c r="AE13" s="151"/>
      <c r="AF13" s="151"/>
      <c r="AG13" s="151"/>
      <c r="AH13" s="151"/>
      <c r="AI13" s="151"/>
      <c r="AJ13" s="151"/>
      <c r="AK13" s="151"/>
      <c r="AL13" s="151"/>
      <c r="AM13" s="151"/>
      <c r="AN13" s="156"/>
    </row>
    <row r="14" spans="1:45" ht="24.95" customHeight="1" x14ac:dyDescent="0.25">
      <c r="F14" s="38"/>
    </row>
    <row r="15" spans="1:45" ht="24.95" customHeight="1" x14ac:dyDescent="0.25">
      <c r="F15" s="38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spans="1:45" ht="24.95" customHeight="1" x14ac:dyDescent="0.25">
      <c r="F16" s="38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spans="3:31" ht="24.95" customHeight="1" x14ac:dyDescent="0.25">
      <c r="F17" s="38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spans="3:31" ht="24.95" customHeight="1" x14ac:dyDescent="0.25">
      <c r="F18" s="38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spans="3:31" ht="24.95" customHeight="1" x14ac:dyDescent="0.25">
      <c r="F19" s="38"/>
    </row>
    <row r="20" spans="3:31" ht="24.95" customHeight="1" x14ac:dyDescent="0.25">
      <c r="F20" s="38"/>
    </row>
    <row r="22" spans="3:31" ht="24.95" customHeight="1" x14ac:dyDescent="0.25">
      <c r="C22" s="41"/>
      <c r="F22" s="42"/>
      <c r="G22" s="40"/>
      <c r="H22" s="40"/>
      <c r="J22" s="40"/>
      <c r="K22" s="40"/>
      <c r="L22" s="40"/>
      <c r="M22" s="40"/>
      <c r="N22" s="40"/>
      <c r="O22" s="40"/>
      <c r="Z22" s="4"/>
    </row>
    <row r="23" spans="3:31" ht="24.95" customHeight="1" x14ac:dyDescent="0.25">
      <c r="C23" s="41"/>
      <c r="F23" s="42"/>
      <c r="G23" s="40"/>
      <c r="H23" s="40"/>
      <c r="J23" s="43"/>
      <c r="K23" s="43"/>
      <c r="L23" s="43"/>
      <c r="M23" s="40"/>
      <c r="N23" s="40"/>
      <c r="O23" s="40"/>
    </row>
    <row r="24" spans="3:31" ht="24.95" customHeight="1" x14ac:dyDescent="0.25">
      <c r="C24" s="41"/>
      <c r="F24" s="42"/>
      <c r="G24" s="40"/>
      <c r="H24" s="40"/>
      <c r="J24" s="43"/>
      <c r="K24" s="43"/>
      <c r="L24" s="43"/>
      <c r="M24" s="40"/>
      <c r="N24" s="40"/>
      <c r="O24" s="40"/>
    </row>
  </sheetData>
  <mergeCells count="15">
    <mergeCell ref="C11:E11"/>
    <mergeCell ref="AP8:AS8"/>
    <mergeCell ref="C8:C9"/>
    <mergeCell ref="D8:D9"/>
    <mergeCell ref="E8:E9"/>
    <mergeCell ref="AL8:AL9"/>
    <mergeCell ref="AM8:AM9"/>
    <mergeCell ref="J8:O8"/>
    <mergeCell ref="G8:H8"/>
    <mergeCell ref="Q8:W8"/>
    <mergeCell ref="Y8:AE8"/>
    <mergeCell ref="AG8:AG9"/>
    <mergeCell ref="AK8:AK9"/>
    <mergeCell ref="AI8:AI9"/>
    <mergeCell ref="AH8:AH9"/>
  </mergeCells>
  <conditionalFormatting sqref="AP10:AS13">
    <cfRule type="cellIs" dxfId="0" priority="1" operator="greaterThan">
      <formula>0</formula>
    </cfRule>
  </conditionalFormatting>
  <pageMargins left="0.17" right="0.17" top="0.49" bottom="0.74803149606299213" header="0.22" footer="0.31496062992125984"/>
  <pageSetup scale="7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58614-E313-4038-AF8B-8ED4DDD73CC0}">
  <dimension ref="A1:B12"/>
  <sheetViews>
    <sheetView workbookViewId="0">
      <selection sqref="A1:B1048576"/>
    </sheetView>
  </sheetViews>
  <sheetFormatPr baseColWidth="10" defaultRowHeight="15" x14ac:dyDescent="0.25"/>
  <cols>
    <col min="1" max="2" width="11.42578125" style="113"/>
  </cols>
  <sheetData>
    <row r="1" spans="1:2" x14ac:dyDescent="0.25">
      <c r="A1" s="113">
        <v>1</v>
      </c>
      <c r="B1" s="113" t="s">
        <v>32</v>
      </c>
    </row>
    <row r="2" spans="1:2" x14ac:dyDescent="0.25">
      <c r="A2" s="113">
        <v>2</v>
      </c>
      <c r="B2" s="113" t="s">
        <v>33</v>
      </c>
    </row>
    <row r="3" spans="1:2" x14ac:dyDescent="0.25">
      <c r="A3" s="113">
        <v>3</v>
      </c>
      <c r="B3" s="113" t="s">
        <v>34</v>
      </c>
    </row>
    <row r="4" spans="1:2" x14ac:dyDescent="0.25">
      <c r="A4" s="113">
        <v>4</v>
      </c>
      <c r="B4" s="113" t="s">
        <v>35</v>
      </c>
    </row>
    <row r="5" spans="1:2" x14ac:dyDescent="0.25">
      <c r="A5" s="113">
        <v>5</v>
      </c>
      <c r="B5" s="113" t="s">
        <v>36</v>
      </c>
    </row>
    <row r="6" spans="1:2" x14ac:dyDescent="0.25">
      <c r="A6" s="113">
        <v>6</v>
      </c>
      <c r="B6" s="113" t="s">
        <v>37</v>
      </c>
    </row>
    <row r="7" spans="1:2" x14ac:dyDescent="0.25">
      <c r="A7" s="113">
        <v>7</v>
      </c>
      <c r="B7" s="113" t="s">
        <v>38</v>
      </c>
    </row>
    <row r="8" spans="1:2" x14ac:dyDescent="0.25">
      <c r="A8" s="113">
        <v>8</v>
      </c>
      <c r="B8" s="113" t="s">
        <v>39</v>
      </c>
    </row>
    <row r="9" spans="1:2" x14ac:dyDescent="0.25">
      <c r="A9" s="113">
        <v>9</v>
      </c>
      <c r="B9" s="113" t="s">
        <v>40</v>
      </c>
    </row>
    <row r="10" spans="1:2" x14ac:dyDescent="0.25">
      <c r="A10" s="113">
        <v>10</v>
      </c>
      <c r="B10" s="113" t="s">
        <v>41</v>
      </c>
    </row>
    <row r="11" spans="1:2" x14ac:dyDescent="0.25">
      <c r="A11" s="113">
        <v>11</v>
      </c>
      <c r="B11" s="113" t="s">
        <v>42</v>
      </c>
    </row>
    <row r="12" spans="1:2" x14ac:dyDescent="0.25">
      <c r="A12" s="113">
        <v>12</v>
      </c>
      <c r="B12" s="113" t="s">
        <v>43</v>
      </c>
    </row>
  </sheetData>
  <phoneticPr fontId="2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16AF0FE4E9F64C9FC9589AA365C574" ma:contentTypeVersion="15" ma:contentTypeDescription="Create a new document." ma:contentTypeScope="" ma:versionID="15ee85c2526433b635e3fcc67f9e76f1">
  <xsd:schema xmlns:xsd="http://www.w3.org/2001/XMLSchema" xmlns:xs="http://www.w3.org/2001/XMLSchema" xmlns:p="http://schemas.microsoft.com/office/2006/metadata/properties" xmlns:ns2="55287ef3-d835-4936-bb6f-381c5a8f8fc4" xmlns:ns3="7c8b3300-50d1-4f26-8e59-ad83ef287955" targetNamespace="http://schemas.microsoft.com/office/2006/metadata/properties" ma:root="true" ma:fieldsID="2f58115d231ae33be98b0677566ae6cb" ns2:_="" ns3:_="">
    <xsd:import namespace="55287ef3-d835-4936-bb6f-381c5a8f8fc4"/>
    <xsd:import namespace="7c8b3300-50d1-4f26-8e59-ad83ef2879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287ef3-d835-4936-bb6f-381c5a8f8f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247bebf-ce0e-4fa1-bae7-748a1283d6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8b3300-50d1-4f26-8e59-ad83ef28795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b4145c4-41c7-4a8b-a70d-51bc93dc9323}" ma:internalName="TaxCatchAll" ma:showField="CatchAllData" ma:web="7c8b3300-50d1-4f26-8e59-ad83ef2879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5287ef3-d835-4936-bb6f-381c5a8f8fc4">
      <Terms xmlns="http://schemas.microsoft.com/office/infopath/2007/PartnerControls"/>
    </lcf76f155ced4ddcb4097134ff3c332f>
    <TaxCatchAll xmlns="7c8b3300-50d1-4f26-8e59-ad83ef28795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B99AA5-D14B-4EA2-B691-61EEA68EF4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287ef3-d835-4936-bb6f-381c5a8f8fc4"/>
    <ds:schemaRef ds:uri="7c8b3300-50d1-4f26-8e59-ad83ef2879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038B623-CB50-433D-A09E-FE4E59315F73}">
  <ds:schemaRefs>
    <ds:schemaRef ds:uri="http://schemas.microsoft.com/office/2006/metadata/properties"/>
    <ds:schemaRef ds:uri="http://schemas.microsoft.com/office/infopath/2007/PartnerControls"/>
    <ds:schemaRef ds:uri="55287ef3-d835-4936-bb6f-381c5a8f8fc4"/>
    <ds:schemaRef ds:uri="7c8b3300-50d1-4f26-8e59-ad83ef287955"/>
  </ds:schemaRefs>
</ds:datastoreItem>
</file>

<file path=customXml/itemProps3.xml><?xml version="1.0" encoding="utf-8"?>
<ds:datastoreItem xmlns:ds="http://schemas.openxmlformats.org/officeDocument/2006/customXml" ds:itemID="{44728947-E593-4F23-A753-3CA3AA08958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2fd53d93-3f4c-4b90-b511-bd6bdbb4fba9}" enabled="1" method="Standard" siteId="{d852d5cd-724c-4128-8812-ffa5db3f850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PASAJEROS</vt:lpstr>
      <vt:lpstr>COMERCIALES</vt:lpstr>
      <vt:lpstr>MESES</vt:lpstr>
      <vt:lpstr>COMERCIALES!Área_de_impresión</vt:lpstr>
      <vt:lpstr>PASAJEROS!Área_de_impresión</vt:lpstr>
    </vt:vector>
  </TitlesOfParts>
  <Manager/>
  <Company>PSA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MARCELO FLECK LAVERGNE - U459001</dc:creator>
  <cp:keywords/>
  <dc:description/>
  <cp:lastModifiedBy>KEVIN PATRICIO FAUNDEZ</cp:lastModifiedBy>
  <cp:revision/>
  <dcterms:created xsi:type="dcterms:W3CDTF">2021-09-28T13:00:06Z</dcterms:created>
  <dcterms:modified xsi:type="dcterms:W3CDTF">2026-06-01T13:24:47Z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d53d93-3f4c-4b90-b511-bd6bdbb4fba9_Enabled">
    <vt:lpwstr>true</vt:lpwstr>
  </property>
  <property fmtid="{D5CDD505-2E9C-101B-9397-08002B2CF9AE}" pid="3" name="MSIP_Label_2fd53d93-3f4c-4b90-b511-bd6bdbb4fba9_SetDate">
    <vt:lpwstr>2021-11-15T12:50:06Z</vt:lpwstr>
  </property>
  <property fmtid="{D5CDD505-2E9C-101B-9397-08002B2CF9AE}" pid="4" name="MSIP_Label_2fd53d93-3f4c-4b90-b511-bd6bdbb4fba9_Method">
    <vt:lpwstr>Standard</vt:lpwstr>
  </property>
  <property fmtid="{D5CDD505-2E9C-101B-9397-08002B2CF9AE}" pid="5" name="MSIP_Label_2fd53d93-3f4c-4b90-b511-bd6bdbb4fba9_Name">
    <vt:lpwstr>2fd53d93-3f4c-4b90-b511-bd6bdbb4fba9</vt:lpwstr>
  </property>
  <property fmtid="{D5CDD505-2E9C-101B-9397-08002B2CF9AE}" pid="6" name="MSIP_Label_2fd53d93-3f4c-4b90-b511-bd6bdbb4fba9_SiteId">
    <vt:lpwstr>d852d5cd-724c-4128-8812-ffa5db3f8507</vt:lpwstr>
  </property>
  <property fmtid="{D5CDD505-2E9C-101B-9397-08002B2CF9AE}" pid="7" name="MSIP_Label_2fd53d93-3f4c-4b90-b511-bd6bdbb4fba9_ActionId">
    <vt:lpwstr/>
  </property>
  <property fmtid="{D5CDD505-2E9C-101B-9397-08002B2CF9AE}" pid="8" name="MSIP_Label_2fd53d93-3f4c-4b90-b511-bd6bdbb4fba9_ContentBits">
    <vt:lpwstr>0</vt:lpwstr>
  </property>
  <property fmtid="{D5CDD505-2E9C-101B-9397-08002B2CF9AE}" pid="9" name="MediaServiceImageTags">
    <vt:lpwstr/>
  </property>
  <property fmtid="{D5CDD505-2E9C-101B-9397-08002B2CF9AE}" pid="10" name="ContentTypeId">
    <vt:lpwstr>0x010100EF16AF0FE4E9F64C9FC9589AA365C574</vt:lpwstr>
  </property>
</Properties>
</file>