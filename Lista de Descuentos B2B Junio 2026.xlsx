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hiftup.sharepoint.com/sites/SALESMANAGEMENT/Shared Documents/General/ACCIONES COMERCIALES/LISTAS DE PRECIO/2026/6. Junio/"/>
    </mc:Choice>
  </mc:AlternateContent>
  <xr:revisionPtr revIDLastSave="2" documentId="8_{D086E410-8F88-4F43-B888-1E9BBD7D6328}" xr6:coauthVersionLast="47" xr6:coauthVersionMax="47" xr10:uidLastSave="{17E0BA89-2752-409D-B2AB-059FBF617984}"/>
  <bookViews>
    <workbookView xWindow="-120" yWindow="-120" windowWidth="29040" windowHeight="17520" tabRatio="706" activeTab="1" xr2:uid="{00000000-000D-0000-FFFF-FFFF00000000}"/>
  </bookViews>
  <sheets>
    <sheet name="Peugeot" sheetId="39" r:id="rId1"/>
    <sheet name="RAM" sheetId="55" r:id="rId2"/>
    <sheet name="Citroën" sheetId="53" r:id="rId3"/>
    <sheet name="Opel" sheetId="52" r:id="rId4"/>
    <sheet name="Jeep" sheetId="56" r:id="rId5"/>
    <sheet name="Leapmotor" sheetId="54" r:id="rId6"/>
    <sheet name="FIAT" sheetId="57" r:id="rId7"/>
    <sheet name="MES" sheetId="51" state="hidden" r:id="rId8"/>
  </sheets>
  <externalReferences>
    <externalReference r:id="rId9"/>
    <externalReference r:id="rId10"/>
    <externalReference r:id="rId11"/>
    <externalReference r:id="rId12"/>
    <externalReference r:id="rId13"/>
  </externalReferences>
  <definedNames>
    <definedName name="_xlnm.Print_Area" localSheetId="2">Citroën!$B$1:$L$52</definedName>
    <definedName name="_xlnm.Print_Area" localSheetId="6">FIAT!$B$1:$L$17</definedName>
    <definedName name="_xlnm.Print_Area" localSheetId="4">Jeep!$B$1:$L$37</definedName>
    <definedName name="_xlnm.Print_Area" localSheetId="5">Leapmotor!$B$1:$M$19</definedName>
    <definedName name="_xlnm.Print_Area" localSheetId="3">Opel!$B$1:$L$27</definedName>
    <definedName name="_xlnm.Print_Area" localSheetId="0">Peugeot!$B$1:$L$59</definedName>
    <definedName name="_xlnm.Print_Area" localSheetId="1">RAM!$B$1:$L$50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9" i="55" l="1"/>
  <c r="O39" i="55"/>
  <c r="N39" i="55"/>
  <c r="P38" i="55"/>
  <c r="O38" i="55"/>
  <c r="N38" i="55"/>
  <c r="P37" i="55"/>
  <c r="O37" i="55"/>
  <c r="N37" i="55"/>
  <c r="P35" i="55"/>
  <c r="O35" i="55"/>
  <c r="N35" i="55"/>
  <c r="P34" i="55"/>
  <c r="O34" i="55"/>
  <c r="N34" i="55"/>
  <c r="P33" i="55"/>
  <c r="O33" i="55"/>
  <c r="N33" i="55"/>
  <c r="D21" i="55" l="1"/>
  <c r="D17" i="55"/>
  <c r="P15" i="54" l="1"/>
  <c r="Q12" i="54"/>
  <c r="K17" i="54"/>
  <c r="Q17" i="54" s="1"/>
  <c r="K15" i="54"/>
  <c r="Q15" i="54" s="1"/>
  <c r="K14" i="54"/>
  <c r="Q14" i="54" s="1"/>
  <c r="K12" i="54"/>
  <c r="K11" i="54"/>
  <c r="Q11" i="54" s="1"/>
  <c r="K9" i="54"/>
  <c r="Q9" i="54" s="1"/>
  <c r="G17" i="54"/>
  <c r="P17" i="54" s="1"/>
  <c r="F17" i="54"/>
  <c r="O17" i="54" s="1"/>
  <c r="G15" i="54"/>
  <c r="F15" i="54"/>
  <c r="O15" i="54" s="1"/>
  <c r="G14" i="54"/>
  <c r="P14" i="54" s="1"/>
  <c r="F14" i="54"/>
  <c r="O14" i="54" s="1"/>
  <c r="G12" i="54"/>
  <c r="P12" i="54" s="1"/>
  <c r="F12" i="54"/>
  <c r="O12" i="54" s="1"/>
  <c r="G11" i="54"/>
  <c r="P11" i="54" s="1"/>
  <c r="F11" i="54"/>
  <c r="O11" i="54" s="1"/>
  <c r="G9" i="54"/>
  <c r="P9" i="54" s="1"/>
  <c r="F9" i="54"/>
  <c r="O9" i="54" s="1"/>
  <c r="K23" i="52"/>
  <c r="P23" i="52" s="1"/>
  <c r="K20" i="52"/>
  <c r="P20" i="52" s="1"/>
  <c r="K17" i="52"/>
  <c r="P17" i="52" s="1"/>
  <c r="K14" i="52"/>
  <c r="P14" i="52" s="1"/>
  <c r="K9" i="52"/>
  <c r="P9" i="52" s="1"/>
  <c r="G23" i="52"/>
  <c r="O23" i="52" s="1"/>
  <c r="F23" i="52"/>
  <c r="N23" i="52" s="1"/>
  <c r="G20" i="52"/>
  <c r="O20" i="52" s="1"/>
  <c r="F20" i="52"/>
  <c r="N20" i="52" s="1"/>
  <c r="G17" i="52"/>
  <c r="O17" i="52" s="1"/>
  <c r="F17" i="52"/>
  <c r="N17" i="52" s="1"/>
  <c r="G14" i="52"/>
  <c r="O14" i="52" s="1"/>
  <c r="F14" i="52"/>
  <c r="N14" i="52" s="1"/>
  <c r="G9" i="52"/>
  <c r="O9" i="52" s="1"/>
  <c r="F9" i="52"/>
  <c r="N9" i="52" s="1"/>
  <c r="K53" i="39"/>
  <c r="P53" i="39" s="1"/>
  <c r="K50" i="39"/>
  <c r="P50" i="39" s="1"/>
  <c r="K47" i="39"/>
  <c r="P47" i="39" s="1"/>
  <c r="K44" i="39"/>
  <c r="P44" i="39" s="1"/>
  <c r="G53" i="39"/>
  <c r="O53" i="39" s="1"/>
  <c r="F53" i="39"/>
  <c r="N53" i="39" s="1"/>
  <c r="G50" i="39"/>
  <c r="O50" i="39" s="1"/>
  <c r="F50" i="39"/>
  <c r="N50" i="39" s="1"/>
  <c r="G47" i="39"/>
  <c r="O47" i="39" s="1"/>
  <c r="F47" i="39"/>
  <c r="N47" i="39" s="1"/>
  <c r="G44" i="39"/>
  <c r="O44" i="39" s="1"/>
  <c r="F44" i="39"/>
  <c r="N44" i="39" s="1"/>
  <c r="K38" i="39"/>
  <c r="P38" i="39" s="1"/>
  <c r="K34" i="39"/>
  <c r="P34" i="39" s="1"/>
  <c r="K30" i="39"/>
  <c r="P30" i="39" s="1"/>
  <c r="K27" i="39"/>
  <c r="P27" i="39" s="1"/>
  <c r="K24" i="39"/>
  <c r="P24" i="39" s="1"/>
  <c r="K20" i="39"/>
  <c r="P20" i="39" s="1"/>
  <c r="K17" i="39"/>
  <c r="P17" i="39" s="1"/>
  <c r="K13" i="39"/>
  <c r="P13" i="39" s="1"/>
  <c r="K9" i="39"/>
  <c r="P9" i="39" s="1"/>
  <c r="G38" i="39"/>
  <c r="O38" i="39" s="1"/>
  <c r="F38" i="39"/>
  <c r="N38" i="39" s="1"/>
  <c r="G34" i="39"/>
  <c r="O34" i="39" s="1"/>
  <c r="F34" i="39"/>
  <c r="N34" i="39" s="1"/>
  <c r="G30" i="39"/>
  <c r="O30" i="39" s="1"/>
  <c r="F30" i="39"/>
  <c r="N30" i="39" s="1"/>
  <c r="G27" i="39"/>
  <c r="O27" i="39" s="1"/>
  <c r="F27" i="39"/>
  <c r="N27" i="39" s="1"/>
  <c r="G24" i="39"/>
  <c r="O24" i="39" s="1"/>
  <c r="F24" i="39"/>
  <c r="N24" i="39" s="1"/>
  <c r="G20" i="39"/>
  <c r="O20" i="39" s="1"/>
  <c r="F20" i="39"/>
  <c r="N20" i="39" s="1"/>
  <c r="G17" i="39"/>
  <c r="O17" i="39" s="1"/>
  <c r="F17" i="39"/>
  <c r="N17" i="39" s="1"/>
  <c r="G13" i="39"/>
  <c r="O13" i="39" s="1"/>
  <c r="F13" i="39"/>
  <c r="N13" i="39" s="1"/>
  <c r="G9" i="39"/>
  <c r="O9" i="39" s="1"/>
  <c r="F9" i="39"/>
  <c r="N9" i="39" s="1"/>
  <c r="D23" i="52"/>
  <c r="K25" i="52" s="1"/>
  <c r="P25" i="52" s="1"/>
  <c r="D20" i="52"/>
  <c r="K22" i="52" s="1"/>
  <c r="P22" i="52" s="1"/>
  <c r="D17" i="52"/>
  <c r="G19" i="52" s="1"/>
  <c r="O19" i="52" s="1"/>
  <c r="D14" i="52"/>
  <c r="K16" i="52" s="1"/>
  <c r="P16" i="52" s="1"/>
  <c r="D9" i="52"/>
  <c r="K11" i="52" s="1"/>
  <c r="P11" i="52" s="1"/>
  <c r="D53" i="39"/>
  <c r="K55" i="39" s="1"/>
  <c r="P55" i="39" s="1"/>
  <c r="D50" i="39"/>
  <c r="K52" i="39" s="1"/>
  <c r="P52" i="39" s="1"/>
  <c r="D47" i="39"/>
  <c r="K49" i="39" s="1"/>
  <c r="P49" i="39" s="1"/>
  <c r="D44" i="39"/>
  <c r="G46" i="39" s="1"/>
  <c r="O46" i="39" s="1"/>
  <c r="D38" i="39"/>
  <c r="G40" i="39" s="1"/>
  <c r="O40" i="39" s="1"/>
  <c r="D34" i="39"/>
  <c r="K36" i="39" s="1"/>
  <c r="P36" i="39" s="1"/>
  <c r="D30" i="39"/>
  <c r="G32" i="39" s="1"/>
  <c r="O32" i="39" s="1"/>
  <c r="D27" i="39"/>
  <c r="K29" i="39" s="1"/>
  <c r="P29" i="39" s="1"/>
  <c r="D24" i="39"/>
  <c r="G26" i="39" s="1"/>
  <c r="O26" i="39" s="1"/>
  <c r="D20" i="39"/>
  <c r="K22" i="39" s="1"/>
  <c r="P22" i="39" s="1"/>
  <c r="D17" i="39"/>
  <c r="G19" i="39" s="1"/>
  <c r="O19" i="39" s="1"/>
  <c r="D13" i="39"/>
  <c r="K15" i="39" s="1"/>
  <c r="P15" i="39" s="1"/>
  <c r="D9" i="39"/>
  <c r="G11" i="39" s="1"/>
  <c r="O11" i="39" s="1"/>
  <c r="K13" i="57"/>
  <c r="P13" i="57" s="1"/>
  <c r="K10" i="57"/>
  <c r="P10" i="57" s="1"/>
  <c r="G13" i="57"/>
  <c r="O13" i="57" s="1"/>
  <c r="F13" i="57"/>
  <c r="N13" i="57" s="1"/>
  <c r="G10" i="57"/>
  <c r="O10" i="57" s="1"/>
  <c r="F10" i="57"/>
  <c r="N10" i="57" s="1"/>
  <c r="K46" i="53"/>
  <c r="P46" i="53" s="1"/>
  <c r="K43" i="53"/>
  <c r="P43" i="53" s="1"/>
  <c r="K40" i="53"/>
  <c r="P40" i="53" s="1"/>
  <c r="K37" i="53"/>
  <c r="P37" i="53" s="1"/>
  <c r="K34" i="53"/>
  <c r="P34" i="53" s="1"/>
  <c r="K31" i="53"/>
  <c r="P31" i="53" s="1"/>
  <c r="G46" i="53"/>
  <c r="O46" i="53" s="1"/>
  <c r="F46" i="53"/>
  <c r="N46" i="53" s="1"/>
  <c r="G43" i="53"/>
  <c r="O43" i="53" s="1"/>
  <c r="F43" i="53"/>
  <c r="N43" i="53" s="1"/>
  <c r="G40" i="53"/>
  <c r="O40" i="53" s="1"/>
  <c r="F40" i="53"/>
  <c r="N40" i="53" s="1"/>
  <c r="G37" i="53"/>
  <c r="O37" i="53" s="1"/>
  <c r="F37" i="53"/>
  <c r="N37" i="53" s="1"/>
  <c r="G34" i="53"/>
  <c r="O34" i="53" s="1"/>
  <c r="F34" i="53"/>
  <c r="N34" i="53" s="1"/>
  <c r="G31" i="53"/>
  <c r="O31" i="53" s="1"/>
  <c r="F31" i="53"/>
  <c r="N31" i="53" s="1"/>
  <c r="K25" i="53"/>
  <c r="K21" i="53"/>
  <c r="P21" i="53" s="1"/>
  <c r="K17" i="53"/>
  <c r="P17" i="53" s="1"/>
  <c r="K13" i="53"/>
  <c r="P13" i="53" s="1"/>
  <c r="K9" i="53"/>
  <c r="P9" i="53" s="1"/>
  <c r="G25" i="53"/>
  <c r="F25" i="53"/>
  <c r="G21" i="53"/>
  <c r="O21" i="53" s="1"/>
  <c r="F21" i="53"/>
  <c r="N21" i="53" s="1"/>
  <c r="G17" i="53"/>
  <c r="O17" i="53" s="1"/>
  <c r="F17" i="53"/>
  <c r="N17" i="53" s="1"/>
  <c r="G13" i="53"/>
  <c r="O13" i="53" s="1"/>
  <c r="F13" i="53"/>
  <c r="N13" i="53" s="1"/>
  <c r="G9" i="53"/>
  <c r="O9" i="53" s="1"/>
  <c r="F9" i="53"/>
  <c r="N9" i="53" s="1"/>
  <c r="D13" i="57"/>
  <c r="K15" i="57" s="1"/>
  <c r="P15" i="57" s="1"/>
  <c r="D10" i="57"/>
  <c r="G12" i="57" s="1"/>
  <c r="O12" i="57" s="1"/>
  <c r="D46" i="53"/>
  <c r="G48" i="53" s="1"/>
  <c r="O48" i="53" s="1"/>
  <c r="D43" i="53"/>
  <c r="K45" i="53" s="1"/>
  <c r="P45" i="53" s="1"/>
  <c r="D40" i="53"/>
  <c r="K42" i="53" s="1"/>
  <c r="P42" i="53" s="1"/>
  <c r="D37" i="53"/>
  <c r="K39" i="53" s="1"/>
  <c r="P39" i="53" s="1"/>
  <c r="D34" i="53"/>
  <c r="G36" i="53" s="1"/>
  <c r="O36" i="53" s="1"/>
  <c r="D31" i="53"/>
  <c r="F33" i="53" s="1"/>
  <c r="N33" i="53" s="1"/>
  <c r="D25" i="53"/>
  <c r="K27" i="53" s="1"/>
  <c r="P27" i="53" s="1"/>
  <c r="D21" i="53"/>
  <c r="F23" i="53" s="1"/>
  <c r="N23" i="53" s="1"/>
  <c r="D17" i="53"/>
  <c r="G19" i="53" s="1"/>
  <c r="O19" i="53" s="1"/>
  <c r="D13" i="53"/>
  <c r="K15" i="53" s="1"/>
  <c r="P15" i="53" s="1"/>
  <c r="D9" i="53"/>
  <c r="K11" i="53" s="1"/>
  <c r="P11" i="53" s="1"/>
  <c r="F29" i="39" l="1"/>
  <c r="N29" i="39" s="1"/>
  <c r="F19" i="39"/>
  <c r="N19" i="39" s="1"/>
  <c r="F22" i="39"/>
  <c r="N22" i="39" s="1"/>
  <c r="G22" i="39"/>
  <c r="O22" i="39" s="1"/>
  <c r="F15" i="39"/>
  <c r="N15" i="39" s="1"/>
  <c r="F36" i="39"/>
  <c r="N36" i="39" s="1"/>
  <c r="F49" i="39"/>
  <c r="N49" i="39" s="1"/>
  <c r="F15" i="57"/>
  <c r="N15" i="57" s="1"/>
  <c r="F45" i="53"/>
  <c r="N45" i="53" s="1"/>
  <c r="G15" i="57"/>
  <c r="O15" i="57" s="1"/>
  <c r="F19" i="53"/>
  <c r="N19" i="53" s="1"/>
  <c r="F15" i="53"/>
  <c r="N15" i="53" s="1"/>
  <c r="K19" i="53"/>
  <c r="P19" i="53" s="1"/>
  <c r="G45" i="53"/>
  <c r="O45" i="53" s="1"/>
  <c r="F39" i="53"/>
  <c r="N39" i="53" s="1"/>
  <c r="K48" i="53"/>
  <c r="P48" i="53" s="1"/>
  <c r="F11" i="53"/>
  <c r="N11" i="53" s="1"/>
  <c r="G39" i="53"/>
  <c r="O39" i="53" s="1"/>
  <c r="F55" i="39"/>
  <c r="N55" i="39" s="1"/>
  <c r="F16" i="52"/>
  <c r="N16" i="52" s="1"/>
  <c r="F22" i="52"/>
  <c r="N22" i="52" s="1"/>
  <c r="K11" i="39"/>
  <c r="P11" i="39" s="1"/>
  <c r="K26" i="39"/>
  <c r="P26" i="39" s="1"/>
  <c r="K40" i="39"/>
  <c r="P40" i="39" s="1"/>
  <c r="G49" i="39"/>
  <c r="O49" i="39" s="1"/>
  <c r="G55" i="39"/>
  <c r="O55" i="39" s="1"/>
  <c r="G16" i="52"/>
  <c r="O16" i="52" s="1"/>
  <c r="G22" i="52"/>
  <c r="O22" i="52" s="1"/>
  <c r="G15" i="39"/>
  <c r="O15" i="39" s="1"/>
  <c r="G29" i="39"/>
  <c r="O29" i="39" s="1"/>
  <c r="G36" i="39"/>
  <c r="O36" i="39" s="1"/>
  <c r="K46" i="39"/>
  <c r="P46" i="39" s="1"/>
  <c r="K19" i="52"/>
  <c r="P19" i="52" s="1"/>
  <c r="F46" i="39"/>
  <c r="N46" i="39" s="1"/>
  <c r="F52" i="39"/>
  <c r="N52" i="39" s="1"/>
  <c r="F11" i="52"/>
  <c r="N11" i="52" s="1"/>
  <c r="F19" i="52"/>
  <c r="N19" i="52" s="1"/>
  <c r="F25" i="52"/>
  <c r="N25" i="52" s="1"/>
  <c r="K19" i="39"/>
  <c r="P19" i="39" s="1"/>
  <c r="K32" i="39"/>
  <c r="P32" i="39" s="1"/>
  <c r="G52" i="39"/>
  <c r="O52" i="39" s="1"/>
  <c r="G11" i="52"/>
  <c r="O11" i="52" s="1"/>
  <c r="G25" i="52"/>
  <c r="O25" i="52" s="1"/>
  <c r="F11" i="39"/>
  <c r="N11" i="39" s="1"/>
  <c r="F26" i="39"/>
  <c r="N26" i="39" s="1"/>
  <c r="F32" i="39"/>
  <c r="N32" i="39" s="1"/>
  <c r="F40" i="39"/>
  <c r="N40" i="39" s="1"/>
  <c r="G15" i="53"/>
  <c r="O15" i="53" s="1"/>
  <c r="G23" i="53"/>
  <c r="O23" i="53" s="1"/>
  <c r="K33" i="53"/>
  <c r="P33" i="53" s="1"/>
  <c r="F27" i="53"/>
  <c r="N27" i="53" s="1"/>
  <c r="K36" i="53"/>
  <c r="P36" i="53" s="1"/>
  <c r="G11" i="53"/>
  <c r="O11" i="53" s="1"/>
  <c r="G27" i="53"/>
  <c r="O27" i="53" s="1"/>
  <c r="K23" i="53"/>
  <c r="P23" i="53" s="1"/>
  <c r="K12" i="57"/>
  <c r="P12" i="57" s="1"/>
  <c r="G33" i="53"/>
  <c r="O33" i="53" s="1"/>
  <c r="F36" i="53"/>
  <c r="N36" i="53" s="1"/>
  <c r="F42" i="53"/>
  <c r="N42" i="53" s="1"/>
  <c r="F48" i="53"/>
  <c r="N48" i="53" s="1"/>
  <c r="F12" i="57"/>
  <c r="N12" i="57" s="1"/>
  <c r="G42" i="53"/>
  <c r="O42" i="53" s="1"/>
  <c r="D25" i="55" l="1"/>
  <c r="D31" i="56"/>
  <c r="D28" i="56"/>
  <c r="D25" i="56"/>
  <c r="D22" i="56"/>
  <c r="D19" i="56"/>
  <c r="D13" i="56"/>
  <c r="D9" i="56"/>
  <c r="D13" i="55"/>
  <c r="D9" i="55"/>
  <c r="A3" i="57" l="1"/>
  <c r="C3" i="57" l="1"/>
  <c r="I15" i="57" l="1"/>
  <c r="I10" i="57"/>
  <c r="H13" i="57"/>
  <c r="F14" i="57"/>
  <c r="N14" i="57" s="1"/>
  <c r="F11" i="57"/>
  <c r="N11" i="57" s="1"/>
  <c r="H12" i="57"/>
  <c r="I13" i="57"/>
  <c r="G14" i="57"/>
  <c r="O14" i="57" s="1"/>
  <c r="H15" i="57"/>
  <c r="K11" i="57"/>
  <c r="P11" i="57" s="1"/>
  <c r="K14" i="57"/>
  <c r="P14" i="57" s="1"/>
  <c r="G11" i="57"/>
  <c r="O11" i="57" s="1"/>
  <c r="I12" i="57"/>
  <c r="I11" i="57" s="1"/>
  <c r="H10" i="57"/>
  <c r="A3" i="56"/>
  <c r="A3" i="55"/>
  <c r="K39" i="55" l="1"/>
  <c r="K37" i="55"/>
  <c r="G39" i="55"/>
  <c r="G37" i="55"/>
  <c r="F39" i="55"/>
  <c r="F37" i="55"/>
  <c r="K35" i="55"/>
  <c r="K33" i="55"/>
  <c r="G35" i="55"/>
  <c r="G33" i="55"/>
  <c r="F35" i="55"/>
  <c r="F33" i="55"/>
  <c r="K21" i="55"/>
  <c r="P21" i="55" s="1"/>
  <c r="G21" i="55"/>
  <c r="O21" i="55" s="1"/>
  <c r="F21" i="55"/>
  <c r="N21" i="55" s="1"/>
  <c r="G23" i="55"/>
  <c r="O23" i="55" s="1"/>
  <c r="K23" i="55"/>
  <c r="P23" i="55" s="1"/>
  <c r="F23" i="55"/>
  <c r="N23" i="55" s="1"/>
  <c r="K17" i="55"/>
  <c r="P17" i="55" s="1"/>
  <c r="G17" i="55"/>
  <c r="O17" i="55" s="1"/>
  <c r="F17" i="55"/>
  <c r="N17" i="55" s="1"/>
  <c r="F19" i="55"/>
  <c r="N19" i="55" s="1"/>
  <c r="K19" i="55"/>
  <c r="P19" i="55" s="1"/>
  <c r="G19" i="55"/>
  <c r="O19" i="55" s="1"/>
  <c r="G28" i="56"/>
  <c r="K13" i="56"/>
  <c r="P13" i="56" s="1"/>
  <c r="K31" i="56"/>
  <c r="P31" i="56" s="1"/>
  <c r="F28" i="56"/>
  <c r="K9" i="56"/>
  <c r="P9" i="56" s="1"/>
  <c r="K28" i="56"/>
  <c r="G25" i="56"/>
  <c r="O25" i="56" s="1"/>
  <c r="G13" i="56"/>
  <c r="O13" i="56" s="1"/>
  <c r="G19" i="56"/>
  <c r="O19" i="56" s="1"/>
  <c r="K25" i="56"/>
  <c r="P25" i="56" s="1"/>
  <c r="F25" i="56"/>
  <c r="N25" i="56" s="1"/>
  <c r="F13" i="56"/>
  <c r="N13" i="56" s="1"/>
  <c r="G31" i="56"/>
  <c r="O31" i="56" s="1"/>
  <c r="K22" i="56"/>
  <c r="P22" i="56" s="1"/>
  <c r="G22" i="56"/>
  <c r="O22" i="56" s="1"/>
  <c r="G9" i="56"/>
  <c r="O9" i="56" s="1"/>
  <c r="K19" i="56"/>
  <c r="P19" i="56" s="1"/>
  <c r="F22" i="56"/>
  <c r="N22" i="56" s="1"/>
  <c r="F9" i="56"/>
  <c r="N9" i="56" s="1"/>
  <c r="F31" i="56"/>
  <c r="N31" i="56" s="1"/>
  <c r="F19" i="56"/>
  <c r="N19" i="56" s="1"/>
  <c r="G27" i="56"/>
  <c r="O27" i="56" s="1"/>
  <c r="K27" i="56"/>
  <c r="P27" i="56" s="1"/>
  <c r="K30" i="56"/>
  <c r="G30" i="56"/>
  <c r="G15" i="56"/>
  <c r="O15" i="56" s="1"/>
  <c r="F11" i="56"/>
  <c r="N11" i="56" s="1"/>
  <c r="F15" i="56"/>
  <c r="N15" i="56" s="1"/>
  <c r="F24" i="56"/>
  <c r="N24" i="56" s="1"/>
  <c r="F21" i="56"/>
  <c r="N21" i="56" s="1"/>
  <c r="K33" i="56"/>
  <c r="P33" i="56" s="1"/>
  <c r="K11" i="56"/>
  <c r="P11" i="56" s="1"/>
  <c r="F30" i="56"/>
  <c r="F27" i="56"/>
  <c r="N27" i="56" s="1"/>
  <c r="K21" i="56"/>
  <c r="P21" i="56" s="1"/>
  <c r="G11" i="56"/>
  <c r="O11" i="56" s="1"/>
  <c r="F33" i="56"/>
  <c r="N33" i="56" s="1"/>
  <c r="K15" i="56"/>
  <c r="P15" i="56" s="1"/>
  <c r="G21" i="56"/>
  <c r="O21" i="56" s="1"/>
  <c r="K24" i="56"/>
  <c r="P24" i="56" s="1"/>
  <c r="G24" i="56"/>
  <c r="O24" i="56" s="1"/>
  <c r="G33" i="56"/>
  <c r="O33" i="56" s="1"/>
  <c r="K43" i="55"/>
  <c r="G45" i="55"/>
  <c r="G29" i="55"/>
  <c r="O29" i="55" s="1"/>
  <c r="K41" i="55"/>
  <c r="F45" i="55"/>
  <c r="F29" i="55"/>
  <c r="N29" i="55" s="1"/>
  <c r="K29" i="55"/>
  <c r="P29" i="55" s="1"/>
  <c r="F13" i="55"/>
  <c r="N13" i="55" s="1"/>
  <c r="K45" i="55"/>
  <c r="F9" i="55"/>
  <c r="N9" i="55" s="1"/>
  <c r="K25" i="55"/>
  <c r="P25" i="55" s="1"/>
  <c r="K31" i="55"/>
  <c r="P31" i="55" s="1"/>
  <c r="G43" i="55"/>
  <c r="G13" i="55"/>
  <c r="O13" i="55" s="1"/>
  <c r="F43" i="55"/>
  <c r="H43" i="55" s="1"/>
  <c r="F31" i="55"/>
  <c r="N31" i="55" s="1"/>
  <c r="K13" i="55"/>
  <c r="P13" i="55" s="1"/>
  <c r="G41" i="55"/>
  <c r="G47" i="55"/>
  <c r="G9" i="55"/>
  <c r="O9" i="55" s="1"/>
  <c r="G25" i="55"/>
  <c r="O25" i="55" s="1"/>
  <c r="K9" i="55"/>
  <c r="P9" i="55" s="1"/>
  <c r="F41" i="55"/>
  <c r="F25" i="55"/>
  <c r="N25" i="55" s="1"/>
  <c r="K47" i="55"/>
  <c r="G31" i="55"/>
  <c r="O31" i="55" s="1"/>
  <c r="F47" i="55"/>
  <c r="K27" i="55"/>
  <c r="P27" i="55" s="1"/>
  <c r="G27" i="55"/>
  <c r="O27" i="55" s="1"/>
  <c r="K15" i="55"/>
  <c r="P15" i="55" s="1"/>
  <c r="F27" i="55"/>
  <c r="N27" i="55" s="1"/>
  <c r="F15" i="55"/>
  <c r="N15" i="55" s="1"/>
  <c r="G15" i="55"/>
  <c r="O15" i="55" s="1"/>
  <c r="G11" i="55"/>
  <c r="O11" i="55" s="1"/>
  <c r="F11" i="55"/>
  <c r="N11" i="55" s="1"/>
  <c r="K11" i="55"/>
  <c r="P11" i="55" s="1"/>
  <c r="I43" i="55"/>
  <c r="H14" i="57"/>
  <c r="H11" i="57"/>
  <c r="I14" i="57"/>
  <c r="H39" i="55" l="1"/>
  <c r="I37" i="55"/>
  <c r="G38" i="55"/>
  <c r="I39" i="55"/>
  <c r="H37" i="55"/>
  <c r="H38" i="55" s="1"/>
  <c r="F38" i="55"/>
  <c r="K38" i="55"/>
  <c r="H33" i="55"/>
  <c r="F34" i="55"/>
  <c r="H35" i="55"/>
  <c r="I33" i="55"/>
  <c r="G34" i="55"/>
  <c r="I35" i="55"/>
  <c r="K34" i="55"/>
  <c r="H23" i="55"/>
  <c r="I23" i="55"/>
  <c r="F22" i="55"/>
  <c r="N22" i="55" s="1"/>
  <c r="H21" i="55"/>
  <c r="H22" i="55" s="1"/>
  <c r="I21" i="55"/>
  <c r="G22" i="55"/>
  <c r="O22" i="55" s="1"/>
  <c r="K22" i="55"/>
  <c r="P22" i="55" s="1"/>
  <c r="I19" i="55"/>
  <c r="H19" i="55"/>
  <c r="H17" i="55"/>
  <c r="F18" i="55"/>
  <c r="N18" i="55" s="1"/>
  <c r="I17" i="55"/>
  <c r="G18" i="55"/>
  <c r="O18" i="55" s="1"/>
  <c r="K18" i="55"/>
  <c r="P18" i="55" s="1"/>
  <c r="K42" i="55"/>
  <c r="H25" i="55"/>
  <c r="F26" i="55"/>
  <c r="N26" i="55" s="1"/>
  <c r="H27" i="55"/>
  <c r="I27" i="55"/>
  <c r="I25" i="55"/>
  <c r="G26" i="55"/>
  <c r="O26" i="55" s="1"/>
  <c r="K26" i="55"/>
  <c r="P26" i="55" s="1"/>
  <c r="G42" i="55"/>
  <c r="I41" i="55"/>
  <c r="I42" i="55" s="1"/>
  <c r="H41" i="55"/>
  <c r="H42" i="55" s="1"/>
  <c r="F42" i="55"/>
  <c r="H47" i="55"/>
  <c r="I45" i="55"/>
  <c r="G46" i="55"/>
  <c r="I47" i="55"/>
  <c r="K46" i="55"/>
  <c r="F46" i="55"/>
  <c r="H45" i="55"/>
  <c r="K30" i="55"/>
  <c r="P30" i="55" s="1"/>
  <c r="I29" i="55"/>
  <c r="H29" i="55"/>
  <c r="H34" i="55" l="1"/>
  <c r="I38" i="55"/>
  <c r="I34" i="55"/>
  <c r="I22" i="55"/>
  <c r="I18" i="55"/>
  <c r="H18" i="55"/>
  <c r="H26" i="55"/>
  <c r="I26" i="55"/>
  <c r="H46" i="55"/>
  <c r="I46" i="55"/>
  <c r="I31" i="56"/>
  <c r="H31" i="56"/>
  <c r="H22" i="56"/>
  <c r="I19" i="56"/>
  <c r="H19" i="56"/>
  <c r="H13" i="56"/>
  <c r="I9" i="56"/>
  <c r="C3" i="56"/>
  <c r="C3" i="39"/>
  <c r="C3" i="55"/>
  <c r="H13" i="55"/>
  <c r="I9" i="55"/>
  <c r="I22" i="56" l="1"/>
  <c r="H28" i="56"/>
  <c r="H25" i="56"/>
  <c r="I28" i="56"/>
  <c r="I25" i="56"/>
  <c r="H9" i="56"/>
  <c r="I13" i="56"/>
  <c r="K10" i="55"/>
  <c r="P10" i="55" s="1"/>
  <c r="K14" i="55"/>
  <c r="P14" i="55" s="1"/>
  <c r="I11" i="55"/>
  <c r="I10" i="55" s="1"/>
  <c r="G10" i="55"/>
  <c r="O10" i="55" s="1"/>
  <c r="H9" i="55"/>
  <c r="I13" i="55"/>
  <c r="H11" i="55" l="1"/>
  <c r="H10" i="55" s="1"/>
  <c r="F10" i="55"/>
  <c r="N10" i="55" s="1"/>
  <c r="K10" i="39" l="1"/>
  <c r="P10" i="39" s="1"/>
  <c r="H36" i="39"/>
  <c r="H34" i="39"/>
  <c r="H35" i="39" l="1"/>
  <c r="I36" i="39"/>
  <c r="K35" i="39"/>
  <c r="P35" i="39" s="1"/>
  <c r="F35" i="39"/>
  <c r="N35" i="39" s="1"/>
  <c r="G35" i="39"/>
  <c r="O35" i="39" s="1"/>
  <c r="I34" i="39"/>
  <c r="I35" i="39" l="1"/>
  <c r="A3" i="54"/>
  <c r="C3" i="54" l="1"/>
  <c r="A3" i="52"/>
  <c r="A3" i="53"/>
  <c r="I9" i="54" l="1"/>
  <c r="G10" i="54"/>
  <c r="P10" i="54" s="1"/>
  <c r="I11" i="54"/>
  <c r="H11" i="54"/>
  <c r="K10" i="54"/>
  <c r="Q10" i="54" s="1"/>
  <c r="F10" i="54"/>
  <c r="O10" i="54" s="1"/>
  <c r="H9" i="54"/>
  <c r="C3" i="53"/>
  <c r="C3" i="52"/>
  <c r="I14" i="54"/>
  <c r="I17" i="54"/>
  <c r="H12" i="54"/>
  <c r="F13" i="54"/>
  <c r="O13" i="54" s="1"/>
  <c r="G16" i="54"/>
  <c r="P16" i="54" s="1"/>
  <c r="I15" i="54"/>
  <c r="K16" i="54"/>
  <c r="Q16" i="54" s="1"/>
  <c r="K13" i="54"/>
  <c r="Q13" i="54" s="1"/>
  <c r="H17" i="54"/>
  <c r="F16" i="54"/>
  <c r="O16" i="54" s="1"/>
  <c r="H15" i="54"/>
  <c r="H14" i="54"/>
  <c r="G13" i="54"/>
  <c r="P13" i="54" s="1"/>
  <c r="I12" i="54"/>
  <c r="H10" i="54" l="1"/>
  <c r="I10" i="54"/>
  <c r="I17" i="52"/>
  <c r="G18" i="52"/>
  <c r="O18" i="52" s="1"/>
  <c r="K18" i="52"/>
  <c r="P18" i="52" s="1"/>
  <c r="I19" i="52"/>
  <c r="F18" i="52"/>
  <c r="N18" i="52" s="1"/>
  <c r="H17" i="52"/>
  <c r="H19" i="52"/>
  <c r="I13" i="54"/>
  <c r="I16" i="54"/>
  <c r="H16" i="54"/>
  <c r="H13" i="54"/>
  <c r="H34" i="53"/>
  <c r="H36" i="53"/>
  <c r="I34" i="53"/>
  <c r="F35" i="53"/>
  <c r="N35" i="53" s="1"/>
  <c r="I36" i="53"/>
  <c r="H9" i="52"/>
  <c r="F10" i="52"/>
  <c r="N10" i="52" s="1"/>
  <c r="H11" i="52"/>
  <c r="G35" i="53"/>
  <c r="O35" i="53" s="1"/>
  <c r="I11" i="52"/>
  <c r="I9" i="52"/>
  <c r="K10" i="52"/>
  <c r="P10" i="52" s="1"/>
  <c r="K35" i="53"/>
  <c r="P35" i="53" s="1"/>
  <c r="G10" i="52"/>
  <c r="O10" i="52" s="1"/>
  <c r="I53" i="39"/>
  <c r="H53" i="39"/>
  <c r="H18" i="52" l="1"/>
  <c r="I18" i="52"/>
  <c r="H35" i="53"/>
  <c r="I35" i="53"/>
  <c r="H10" i="52"/>
  <c r="I10" i="52"/>
  <c r="K22" i="53"/>
  <c r="P22" i="53" s="1"/>
  <c r="H21" i="53"/>
  <c r="I21" i="53"/>
  <c r="H19" i="53"/>
  <c r="I19" i="53" l="1"/>
  <c r="I23" i="52" l="1"/>
  <c r="H23" i="52"/>
  <c r="I16" i="52"/>
  <c r="H16" i="52"/>
  <c r="I14" i="52"/>
  <c r="H14" i="52"/>
  <c r="I15" i="52" l="1"/>
  <c r="K15" i="52"/>
  <c r="P15" i="52" s="1"/>
  <c r="H15" i="52"/>
  <c r="F15" i="52"/>
  <c r="N15" i="52" s="1"/>
  <c r="G15" i="52"/>
  <c r="O15" i="52" s="1"/>
  <c r="H20" i="52"/>
  <c r="I20" i="52"/>
  <c r="H24" i="39" l="1"/>
  <c r="H40" i="39" l="1"/>
  <c r="I38" i="39"/>
  <c r="H46" i="39"/>
  <c r="H44" i="39"/>
  <c r="I46" i="39"/>
  <c r="K45" i="39"/>
  <c r="P45" i="39" s="1"/>
  <c r="I47" i="39"/>
  <c r="I50" i="39"/>
  <c r="H49" i="39"/>
  <c r="H50" i="39"/>
  <c r="I49" i="39"/>
  <c r="F39" i="39"/>
  <c r="N39" i="39" s="1"/>
  <c r="F48" i="39"/>
  <c r="N48" i="39" s="1"/>
  <c r="H38" i="39"/>
  <c r="F14" i="39"/>
  <c r="N14" i="39" s="1"/>
  <c r="H20" i="39"/>
  <c r="H32" i="39"/>
  <c r="H47" i="39"/>
  <c r="G39" i="39"/>
  <c r="O39" i="39" s="1"/>
  <c r="G48" i="39"/>
  <c r="O48" i="39" s="1"/>
  <c r="F31" i="39"/>
  <c r="N31" i="39" s="1"/>
  <c r="G45" i="39"/>
  <c r="O45" i="39" s="1"/>
  <c r="I15" i="39"/>
  <c r="F21" i="39"/>
  <c r="N21" i="39" s="1"/>
  <c r="H27" i="39"/>
  <c r="I30" i="39"/>
  <c r="I44" i="39"/>
  <c r="K28" i="39"/>
  <c r="P28" i="39" s="1"/>
  <c r="I22" i="39"/>
  <c r="F45" i="39"/>
  <c r="N45" i="39" s="1"/>
  <c r="K31" i="39"/>
  <c r="P31" i="39" s="1"/>
  <c r="H13" i="39"/>
  <c r="F25" i="39"/>
  <c r="N25" i="39" s="1"/>
  <c r="I27" i="39"/>
  <c r="G31" i="39"/>
  <c r="O31" i="39" s="1"/>
  <c r="K48" i="39"/>
  <c r="P48" i="39" s="1"/>
  <c r="I13" i="39"/>
  <c r="F28" i="39"/>
  <c r="N28" i="39" s="1"/>
  <c r="H30" i="39"/>
  <c r="K18" i="39"/>
  <c r="P18" i="39" s="1"/>
  <c r="G14" i="39"/>
  <c r="O14" i="39" s="1"/>
  <c r="I24" i="39"/>
  <c r="G28" i="39"/>
  <c r="O28" i="39" s="1"/>
  <c r="G25" i="39"/>
  <c r="O25" i="39" s="1"/>
  <c r="H15" i="39"/>
  <c r="G21" i="39"/>
  <c r="O21" i="39" s="1"/>
  <c r="H26" i="39"/>
  <c r="H25" i="39" s="1"/>
  <c r="H29" i="39"/>
  <c r="I32" i="39"/>
  <c r="K21" i="39"/>
  <c r="P21" i="39" s="1"/>
  <c r="K39" i="39"/>
  <c r="P39" i="39" s="1"/>
  <c r="H17" i="39"/>
  <c r="I20" i="39"/>
  <c r="I29" i="39"/>
  <c r="I17" i="39"/>
  <c r="H22" i="39"/>
  <c r="I26" i="39"/>
  <c r="I40" i="39"/>
  <c r="I39" i="39" l="1"/>
  <c r="H39" i="39"/>
  <c r="H45" i="39"/>
  <c r="I45" i="39"/>
  <c r="H48" i="39"/>
  <c r="I48" i="39"/>
  <c r="H31" i="39"/>
  <c r="H21" i="39"/>
  <c r="I25" i="39"/>
  <c r="I14" i="39"/>
  <c r="I21" i="39"/>
  <c r="I28" i="39"/>
  <c r="H14" i="39"/>
  <c r="I31" i="39"/>
  <c r="H28" i="39"/>
  <c r="H11" i="39" l="1"/>
  <c r="H9" i="39"/>
  <c r="I9" i="39"/>
  <c r="K14" i="39"/>
  <c r="P14" i="39" s="1"/>
  <c r="G10" i="39"/>
  <c r="O10" i="39" s="1"/>
  <c r="F10" i="39"/>
  <c r="N10" i="39" s="1"/>
  <c r="I11" i="39"/>
  <c r="H10" i="39" l="1"/>
  <c r="I10" i="39"/>
  <c r="I19" i="39" l="1"/>
  <c r="I18" i="39" s="1"/>
  <c r="G18" i="39"/>
  <c r="O18" i="39" s="1"/>
  <c r="F18" i="39"/>
  <c r="N18" i="39" s="1"/>
  <c r="H19" i="39"/>
  <c r="H18" i="39" s="1"/>
  <c r="I17" i="53" l="1"/>
  <c r="I18" i="53" s="1"/>
  <c r="G18" i="53"/>
  <c r="O18" i="53" s="1"/>
  <c r="F18" i="53"/>
  <c r="N18" i="53" s="1"/>
  <c r="H17" i="53"/>
  <c r="H18" i="53" s="1"/>
  <c r="K18" i="53" l="1"/>
  <c r="P18" i="53" s="1"/>
  <c r="K32" i="53" l="1"/>
  <c r="P32" i="53" s="1"/>
  <c r="I39" i="53"/>
  <c r="H11" i="53"/>
  <c r="H40" i="53"/>
  <c r="F41" i="53"/>
  <c r="N41" i="53" s="1"/>
  <c r="H25" i="53"/>
  <c r="F26" i="53"/>
  <c r="N26" i="53" s="1"/>
  <c r="K47" i="53"/>
  <c r="P47" i="53" s="1"/>
  <c r="G47" i="53"/>
  <c r="O47" i="53" s="1"/>
  <c r="I46" i="53"/>
  <c r="H42" i="53"/>
  <c r="I42" i="53"/>
  <c r="I27" i="53"/>
  <c r="G32" i="53"/>
  <c r="O32" i="53" s="1"/>
  <c r="I31" i="53"/>
  <c r="I33" i="53"/>
  <c r="F32" i="53"/>
  <c r="N32" i="53" s="1"/>
  <c r="H31" i="53"/>
  <c r="H33" i="53"/>
  <c r="K44" i="53"/>
  <c r="P44" i="53" s="1"/>
  <c r="F44" i="53"/>
  <c r="N44" i="53" s="1"/>
  <c r="H43" i="53"/>
  <c r="I25" i="53"/>
  <c r="G26" i="53"/>
  <c r="O26" i="53" s="1"/>
  <c r="H46" i="53"/>
  <c r="F47" i="53"/>
  <c r="N47" i="53" s="1"/>
  <c r="H45" i="53"/>
  <c r="I40" i="53"/>
  <c r="G41" i="53"/>
  <c r="O41" i="53" s="1"/>
  <c r="K41" i="53"/>
  <c r="P41" i="53" s="1"/>
  <c r="H39" i="53"/>
  <c r="I48" i="53"/>
  <c r="I43" i="53"/>
  <c r="G44" i="53"/>
  <c r="O44" i="53" s="1"/>
  <c r="I37" i="53"/>
  <c r="G38" i="53"/>
  <c r="O38" i="53" s="1"/>
  <c r="H13" i="53"/>
  <c r="H48" i="53"/>
  <c r="H37" i="53"/>
  <c r="F38" i="53"/>
  <c r="N38" i="53" s="1"/>
  <c r="I13" i="53"/>
  <c r="H27" i="53"/>
  <c r="I9" i="53"/>
  <c r="G10" i="53"/>
  <c r="O10" i="53" s="1"/>
  <c r="I45" i="53"/>
  <c r="I11" i="53"/>
  <c r="F10" i="53"/>
  <c r="N10" i="53" s="1"/>
  <c r="H9" i="53"/>
  <c r="K38" i="53"/>
  <c r="P38" i="53" s="1"/>
  <c r="K26" i="53"/>
  <c r="P26" i="53" s="1"/>
  <c r="H38" i="53" l="1"/>
  <c r="I10" i="53"/>
  <c r="I41" i="53"/>
  <c r="I38" i="53"/>
  <c r="H10" i="53"/>
  <c r="H44" i="53"/>
  <c r="I47" i="53"/>
  <c r="H26" i="53"/>
  <c r="H32" i="53"/>
  <c r="H41" i="53"/>
  <c r="I44" i="53"/>
  <c r="H47" i="53"/>
  <c r="I26" i="53"/>
  <c r="I32" i="53"/>
  <c r="I23" i="53" l="1"/>
  <c r="I22" i="53" s="1"/>
  <c r="G22" i="53"/>
  <c r="O22" i="53" s="1"/>
  <c r="H23" i="53"/>
  <c r="H22" i="53" s="1"/>
  <c r="F22" i="53"/>
  <c r="N22" i="53" s="1"/>
  <c r="K54" i="39" l="1"/>
  <c r="P54" i="39" s="1"/>
  <c r="H52" i="39"/>
  <c r="H51" i="39" s="1"/>
  <c r="F51" i="39"/>
  <c r="N51" i="39" s="1"/>
  <c r="I52" i="39"/>
  <c r="I51" i="39" s="1"/>
  <c r="G51" i="39"/>
  <c r="O51" i="39" s="1"/>
  <c r="H55" i="39"/>
  <c r="H54" i="39" s="1"/>
  <c r="F54" i="39"/>
  <c r="N54" i="39" s="1"/>
  <c r="K51" i="39"/>
  <c r="P51" i="39" s="1"/>
  <c r="G54" i="39"/>
  <c r="O54" i="39" s="1"/>
  <c r="I55" i="39"/>
  <c r="I54" i="39" s="1"/>
  <c r="H22" i="52" l="1"/>
  <c r="H21" i="52" s="1"/>
  <c r="F21" i="52"/>
  <c r="N21" i="52" s="1"/>
  <c r="K24" i="52"/>
  <c r="P24" i="52" s="1"/>
  <c r="K21" i="52"/>
  <c r="P21" i="52" s="1"/>
  <c r="I25" i="52"/>
  <c r="I24" i="52" s="1"/>
  <c r="G24" i="52"/>
  <c r="O24" i="52" s="1"/>
  <c r="I22" i="52"/>
  <c r="I21" i="52" s="1"/>
  <c r="G21" i="52"/>
  <c r="O21" i="52" s="1"/>
  <c r="H25" i="52"/>
  <c r="H24" i="52" s="1"/>
  <c r="F24" i="52"/>
  <c r="N24" i="52" s="1"/>
  <c r="F14" i="53" l="1"/>
  <c r="N14" i="53" s="1"/>
  <c r="H15" i="53"/>
  <c r="H14" i="53" s="1"/>
  <c r="I15" i="53"/>
  <c r="I14" i="53" s="1"/>
  <c r="G14" i="53"/>
  <c r="O14" i="53" s="1"/>
  <c r="K14" i="53" l="1"/>
  <c r="P14" i="53" s="1"/>
  <c r="K10" i="53" l="1"/>
  <c r="P10" i="53" s="1"/>
  <c r="K25" i="39" l="1"/>
  <c r="P25" i="39" s="1"/>
  <c r="K32" i="56" l="1"/>
  <c r="P32" i="56" s="1"/>
  <c r="I33" i="56"/>
  <c r="I32" i="56" s="1"/>
  <c r="G32" i="56"/>
  <c r="O32" i="56" s="1"/>
  <c r="H24" i="56"/>
  <c r="H23" i="56" s="1"/>
  <c r="F23" i="56"/>
  <c r="N23" i="56" s="1"/>
  <c r="K23" i="56"/>
  <c r="P23" i="56" s="1"/>
  <c r="F32" i="56"/>
  <c r="N32" i="56" s="1"/>
  <c r="H33" i="56"/>
  <c r="H32" i="56" s="1"/>
  <c r="I24" i="56"/>
  <c r="I23" i="56" s="1"/>
  <c r="G23" i="56"/>
  <c r="O23" i="56" s="1"/>
  <c r="K10" i="56" l="1"/>
  <c r="P10" i="56" s="1"/>
  <c r="I11" i="56"/>
  <c r="I10" i="56" s="1"/>
  <c r="G10" i="56"/>
  <c r="O10" i="56" s="1"/>
  <c r="H11" i="56"/>
  <c r="H10" i="56" s="1"/>
  <c r="F10" i="56"/>
  <c r="N10" i="56" s="1"/>
  <c r="K29" i="56" l="1"/>
  <c r="I15" i="56" l="1"/>
  <c r="I14" i="56" s="1"/>
  <c r="G14" i="56"/>
  <c r="O14" i="56" s="1"/>
  <c r="K20" i="56"/>
  <c r="P20" i="56" s="1"/>
  <c r="K26" i="56"/>
  <c r="P26" i="56" s="1"/>
  <c r="I27" i="56"/>
  <c r="I26" i="56" s="1"/>
  <c r="G26" i="56"/>
  <c r="O26" i="56" s="1"/>
  <c r="H27" i="56"/>
  <c r="H26" i="56" s="1"/>
  <c r="F26" i="56"/>
  <c r="N26" i="56" s="1"/>
  <c r="H21" i="56"/>
  <c r="H20" i="56" s="1"/>
  <c r="F20" i="56"/>
  <c r="N20" i="56" s="1"/>
  <c r="I31" i="55"/>
  <c r="I30" i="55" s="1"/>
  <c r="G30" i="55"/>
  <c r="O30" i="55" s="1"/>
  <c r="F30" i="55"/>
  <c r="N30" i="55" s="1"/>
  <c r="H31" i="55"/>
  <c r="H30" i="55" s="1"/>
  <c r="F14" i="56"/>
  <c r="N14" i="56" s="1"/>
  <c r="H15" i="56"/>
  <c r="H14" i="56" s="1"/>
  <c r="I21" i="56"/>
  <c r="I20" i="56" s="1"/>
  <c r="G20" i="56"/>
  <c r="O20" i="56" s="1"/>
  <c r="G14" i="55"/>
  <c r="O14" i="55" s="1"/>
  <c r="I15" i="55"/>
  <c r="I14" i="55" s="1"/>
  <c r="K14" i="56"/>
  <c r="P14" i="56" s="1"/>
  <c r="I30" i="56"/>
  <c r="I29" i="56" s="1"/>
  <c r="G29" i="56"/>
  <c r="H30" i="56"/>
  <c r="H29" i="56" s="1"/>
  <c r="F29" i="56"/>
  <c r="F14" i="55"/>
  <c r="N14" i="55" s="1"/>
  <c r="H15" i="55"/>
  <c r="H14" i="55" s="1"/>
</calcChain>
</file>

<file path=xl/sharedStrings.xml><?xml version="1.0" encoding="utf-8"?>
<sst xmlns="http://schemas.openxmlformats.org/spreadsheetml/2006/main" count="420" uniqueCount="144">
  <si>
    <t>TABLA DESCUENTOS FLOTAS</t>
  </si>
  <si>
    <t xml:space="preserve">Versión </t>
  </si>
  <si>
    <t>Total</t>
  </si>
  <si>
    <t xml:space="preserve">RED </t>
  </si>
  <si>
    <t>Otros VP</t>
  </si>
  <si>
    <t>Stellantis</t>
  </si>
  <si>
    <t>Tramo 1
(1 a 5)</t>
  </si>
  <si>
    <t>Tramo 2
(6 a 99)</t>
  </si>
  <si>
    <t>Grandes Cuentas
(sobre 100)</t>
  </si>
  <si>
    <t>Aportes</t>
  </si>
  <si>
    <t>Conces. Professional</t>
  </si>
  <si>
    <t>Conces. No Professional</t>
  </si>
  <si>
    <t>Margen Fijo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</si>
  <si>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</si>
  <si>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</si>
  <si>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</si>
  <si>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</si>
  <si>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</si>
  <si>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</si>
  <si>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</si>
  <si>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</si>
  <si>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</si>
  <si>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</si>
  <si>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</si>
  <si>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</si>
  <si>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</si>
  <si>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CC21</t>
  </si>
  <si>
    <t>CC24</t>
  </si>
  <si>
    <t>K9 VU</t>
  </si>
  <si>
    <t>K0 VU</t>
  </si>
  <si>
    <t>PARTNER MCA L2 BLUEHDI 100</t>
  </si>
  <si>
    <t>Expert MCA L3 BlueHdi 145</t>
  </si>
  <si>
    <t>RIFTER MCA ALLURE BLUEHDI 100</t>
  </si>
  <si>
    <t>208 MCA ACTIVE PURETECH 75</t>
  </si>
  <si>
    <t>Berlingo MCA M BlueHDi 100</t>
  </si>
  <si>
    <t>Berlingo MCA XL BlueHDi 100</t>
  </si>
  <si>
    <t>C3 Puretech 82 Live Pack</t>
  </si>
  <si>
    <t>C3 Aircross VTi 115 Feel Pack 5P</t>
  </si>
  <si>
    <t>C4 Puretech 130 EAT8 Feel Pack</t>
  </si>
  <si>
    <t>C5 Aircross BlueHDi 130 EAT8 Feel Pack</t>
  </si>
  <si>
    <t>Berlingo Multispace BlueHdi 100 Plus</t>
  </si>
  <si>
    <t>PARTNER MCA L1 BLUEHDI 100</t>
  </si>
  <si>
    <t>Traveller MCA Business L3 8P BlueHDi 180 EAT8</t>
  </si>
  <si>
    <t>308 Allure Puretech EAT8</t>
  </si>
  <si>
    <t>New 3008 Allure MHEV 136 eDCT6</t>
  </si>
  <si>
    <t>JUMPY MCA Comfort XL BlueHDi 145</t>
  </si>
  <si>
    <t>Nota: Para el caso de VU, personas naturales sin giro comercial tendrán el descuento de Tramo 1, a excepción de Multispace, donde se aplican descuentos y bonos de lista de precios normal.</t>
  </si>
  <si>
    <t>Nota: Para el caso de VU, personas naturales sin giro comercial tendrán el descuento de Tramo 1, a excepción de Rifter y Landtrek, donde se aplican descuentos y bonos de lista de precios normal.</t>
  </si>
  <si>
    <t>Spacetourer MCA BlueHDi 180 EAT8 8P</t>
  </si>
  <si>
    <t>K0 VP</t>
  </si>
  <si>
    <t>New 5008 Allure MHEV 136 EDCT6</t>
  </si>
  <si>
    <t>∆ M-1
Tramo 1 (pp)</t>
  </si>
  <si>
    <t>∆ M-1
Tramo 2 (pp)</t>
  </si>
  <si>
    <t>∆ M-1 
GC (pp)</t>
  </si>
  <si>
    <t>Basalt VTI 115 Feel</t>
  </si>
  <si>
    <t>COMBO MCA LITE 1.5 TD</t>
  </si>
  <si>
    <r>
      <t>COMBO</t>
    </r>
    <r>
      <rPr>
        <sz val="10"/>
        <rFont val="Opel Next"/>
        <family val="2"/>
      </rPr>
      <t xml:space="preserve"> MCA LITE 1,5 TD</t>
    </r>
  </si>
  <si>
    <t>ISO</t>
  </si>
  <si>
    <t>Berlingo MCA M Diesel 100HP MT</t>
  </si>
  <si>
    <t>Berlingo MCA XL Diesel 100HP MT</t>
  </si>
  <si>
    <t>Jumpy MCA XL Diesel 145HP MT</t>
  </si>
  <si>
    <t>Boxer MCA Furgón  L2H2 BlueHDi</t>
  </si>
  <si>
    <t>Boxer MCA Furgón  L3H2 BlueHDi</t>
  </si>
  <si>
    <t>Boxer MCA Furgón  L4H2 BlueHDi</t>
  </si>
  <si>
    <t>JUMPER MCA L2H2 BlueHDi</t>
  </si>
  <si>
    <r>
      <t xml:space="preserve">Familia </t>
    </r>
    <r>
      <rPr>
        <b/>
        <sz val="10"/>
        <rFont val="Opel Next"/>
        <family val="2"/>
      </rPr>
      <t>CORSA</t>
    </r>
  </si>
  <si>
    <r>
      <t xml:space="preserve">Familia </t>
    </r>
    <r>
      <rPr>
        <b/>
        <sz val="10"/>
        <rFont val="Opel Next"/>
        <family val="2"/>
      </rPr>
      <t>MOKKA</t>
    </r>
  </si>
  <si>
    <r>
      <t xml:space="preserve">Familia </t>
    </r>
    <r>
      <rPr>
        <b/>
        <sz val="10"/>
        <rFont val="Opel Next"/>
        <family val="2"/>
      </rPr>
      <t>GRANDLAND</t>
    </r>
  </si>
  <si>
    <t>C10 REEV DESIGN</t>
  </si>
  <si>
    <t>C10 BEV DESIGN</t>
  </si>
  <si>
    <t>C10 BEV</t>
  </si>
  <si>
    <t>C10 REEV</t>
  </si>
  <si>
    <t>LANDTREK MCA</t>
  </si>
  <si>
    <t>Landtrek Action4 BlueHDi 4x4 AT 6.3</t>
  </si>
  <si>
    <t>PARTNER MCA L2 DIESEL 100HP MT</t>
  </si>
  <si>
    <t>EXPERT MCA L3 DIESEL 145HP MT</t>
  </si>
  <si>
    <t>BOXER MCA Furgón  L2H2 Diesel 140hp MT</t>
  </si>
  <si>
    <t>BOXER MCA Furgón  L3H2 Diesel 140hp MT</t>
  </si>
  <si>
    <t>BOXER MCA Furgón L4H2 Diesel 140hp MT</t>
  </si>
  <si>
    <r>
      <rPr>
        <sz val="8"/>
        <color theme="0"/>
        <rFont val="Peugeot New"/>
      </rPr>
      <t xml:space="preserve">Familia </t>
    </r>
    <r>
      <rPr>
        <b/>
        <sz val="8"/>
        <color theme="0"/>
        <rFont val="Peugeot New"/>
      </rPr>
      <t>RIFTER MCA</t>
    </r>
  </si>
  <si>
    <r>
      <rPr>
        <sz val="8"/>
        <color theme="0"/>
        <rFont val="Peugeot New"/>
      </rPr>
      <t xml:space="preserve">Familia </t>
    </r>
    <r>
      <rPr>
        <b/>
        <sz val="8"/>
        <color theme="0"/>
        <rFont val="Peugeot New"/>
      </rPr>
      <t>TRAVELLER</t>
    </r>
  </si>
  <si>
    <r>
      <t xml:space="preserve">Familia </t>
    </r>
    <r>
      <rPr>
        <b/>
        <sz val="8"/>
        <color theme="0"/>
        <rFont val="Peugeot New"/>
      </rPr>
      <t>208 / 2008</t>
    </r>
  </si>
  <si>
    <r>
      <rPr>
        <sz val="8"/>
        <color theme="0"/>
        <rFont val="Peugeot New"/>
      </rPr>
      <t>Familia</t>
    </r>
    <r>
      <rPr>
        <b/>
        <sz val="8"/>
        <color theme="0"/>
        <rFont val="Peugeot New"/>
      </rPr>
      <t xml:space="preserve"> 308</t>
    </r>
  </si>
  <si>
    <r>
      <rPr>
        <sz val="8"/>
        <color theme="0"/>
        <rFont val="Peugeot New"/>
      </rPr>
      <t xml:space="preserve">Familia </t>
    </r>
    <r>
      <rPr>
        <b/>
        <sz val="8"/>
        <color theme="0"/>
        <rFont val="Peugeot New"/>
      </rPr>
      <t>Nuevo 3008</t>
    </r>
  </si>
  <si>
    <r>
      <rPr>
        <sz val="8"/>
        <color theme="0"/>
        <rFont val="Peugeot New"/>
      </rPr>
      <t>Familia</t>
    </r>
    <r>
      <rPr>
        <b/>
        <sz val="8"/>
        <color theme="0"/>
        <rFont val="Peugeot New"/>
      </rPr>
      <t xml:space="preserve"> Nuevo 5008</t>
    </r>
  </si>
  <si>
    <t>208 MCA Style Puretech 100</t>
  </si>
  <si>
    <r>
      <t xml:space="preserve">Familia </t>
    </r>
    <r>
      <rPr>
        <b/>
        <sz val="10"/>
        <rFont val="Opel Next"/>
        <family val="2"/>
      </rPr>
      <t>CROSSLAND</t>
    </r>
  </si>
  <si>
    <t>Familia BERLINGO MULTISPACE MCA</t>
  </si>
  <si>
    <t>Familia C4</t>
  </si>
  <si>
    <t>Familia NEW Basalt</t>
  </si>
  <si>
    <t>Familia C3</t>
  </si>
  <si>
    <t>Familia SPACETOURER</t>
  </si>
  <si>
    <t>Familia RAM 700</t>
  </si>
  <si>
    <t>Familia GLADIATOR</t>
  </si>
  <si>
    <t>Familia WRANGLER</t>
  </si>
  <si>
    <t>OTROS VP</t>
  </si>
  <si>
    <t>Familia AVENGER</t>
  </si>
  <si>
    <t>Familia RENEGADE</t>
  </si>
  <si>
    <t>Familia COMPASS</t>
  </si>
  <si>
    <t>Familia GRAND CHEROKEE</t>
  </si>
  <si>
    <r>
      <rPr>
        <sz val="10"/>
        <color theme="0"/>
        <rFont val="Citroen Type"/>
      </rPr>
      <t xml:space="preserve">Familia </t>
    </r>
    <r>
      <rPr>
        <b/>
        <sz val="10"/>
        <color theme="0"/>
        <rFont val="Citroen Type"/>
      </rPr>
      <t>JUMPER</t>
    </r>
  </si>
  <si>
    <t>C4 MCA Hybrid 136 eDCT6 Plus</t>
  </si>
  <si>
    <t>C5 Aircross Plus Gasolina 180HP AT</t>
  </si>
  <si>
    <t>Berlingo MCA Multispace XL BlueHDi 100 Feel</t>
  </si>
  <si>
    <t>NEW CORSA MCA EDITION 1.2 MT6</t>
  </si>
  <si>
    <t>New Crossland GS Hybrid</t>
  </si>
  <si>
    <t>MOKKA MCA EDITION 1.2T MT6</t>
  </si>
  <si>
    <t>New Grandland GS Hybrid</t>
  </si>
  <si>
    <t>Familia C3 AIRCROSS</t>
  </si>
  <si>
    <t>Familia C5 AIRCROSS</t>
  </si>
  <si>
    <t>Basalt Feel Pack Gasolina 96HP MT</t>
  </si>
  <si>
    <t>RAM 700 SLT SINGLE CAB 1.3 MT</t>
  </si>
  <si>
    <t>RAM RAMPAGE BIGHORN 2.2 DIESEL 200 HP 4X4 AT</t>
  </si>
  <si>
    <t>RAM 1500 BIGHORN NIGHT EDITION 3.6 V6 MILD HYBRID 305 HP 4X4 AT</t>
  </si>
  <si>
    <t>JEEP GLADIATOR RUBICON 3.6L AT8 4x4</t>
  </si>
  <si>
    <t>JEEP WRANGLER SPORT 2.0T AT8 4x4</t>
  </si>
  <si>
    <t>JEEP AVENGER ALTITUDE 1.0T MHEV</t>
  </si>
  <si>
    <t>JEEP RENEGADE SPORT 1.3T AT6 FWD</t>
  </si>
  <si>
    <t>JEEP COMPASS SPORT 1.3T AT6 FWD</t>
  </si>
  <si>
    <t>JEEP COMMANDER MCA LIMITED 1.3T AT6 FWD</t>
  </si>
  <si>
    <t>G.Cherokee Altitude 2.0T AT 4x4</t>
  </si>
  <si>
    <t>Familia COMMANDER MCA</t>
  </si>
  <si>
    <t>Familia FASTBACK MCA</t>
  </si>
  <si>
    <t>Familia PULSE MCA</t>
  </si>
  <si>
    <t>FIAT PULSE Drive 1.3 MT MCA</t>
  </si>
  <si>
    <t>FIAT FASTBACK Drive Turbo AT MCA</t>
  </si>
  <si>
    <t>N/A</t>
  </si>
  <si>
    <t>Familia RAM 2500</t>
  </si>
  <si>
    <t>RAM 2500 BIGHORN</t>
  </si>
  <si>
    <t>B10 BEV</t>
  </si>
  <si>
    <t>RAM 1500 RHO 3.0 HO 540 HP 4x4 AT</t>
  </si>
  <si>
    <t>Familia DAKOTA</t>
  </si>
  <si>
    <t>RAM DAKOTA WARLOCK</t>
  </si>
  <si>
    <t>RAMPAGE LARAMIE</t>
  </si>
  <si>
    <t>RAMPAGE R/T</t>
  </si>
  <si>
    <t>RAM RAMPAGE LARAMIE 2.2 DIESEL 200 HP 4X4 AT</t>
  </si>
  <si>
    <t>RAM RAMPAGE R/T  2.0 GASOLINA 272 HP 4X4 AT</t>
  </si>
  <si>
    <t>1500 BIGHORN NIGHT EDITION</t>
  </si>
  <si>
    <t>1500 BIGHORN</t>
  </si>
  <si>
    <t>1500 REBEL / LARAMIE</t>
  </si>
  <si>
    <t>RAM 1500 BIGHORN 3.0 SO 420 HP 4X4 AT</t>
  </si>
  <si>
    <t>RAM 1500 REBEL 3.0 SO 420 HP 4X4 AT</t>
  </si>
  <si>
    <t>RAM 1500 RHO</t>
  </si>
  <si>
    <t>RAMPAGE BIGHORN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</si>
</sst>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\+#,##0\ \p\p;\-#,##0\ \p\p"/>
    <numFmt numFmtId="166" formatCode="\+#,##0.0;\-#,##0.0"/>
    <numFmt numFmtId="167" formatCode="0.0000%"/>
  </numFmts>
  <fonts count="8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Peugeot New"/>
    </font>
    <font>
      <i/>
      <sz val="8"/>
      <name val="Peugeot New"/>
    </font>
    <font>
      <sz val="8"/>
      <color indexed="18"/>
      <name val="Peugeot New"/>
    </font>
    <font>
      <b/>
      <sz val="8"/>
      <color theme="0"/>
      <name val="Peugeot New"/>
    </font>
    <font>
      <sz val="10"/>
      <name val="Peugeot New"/>
    </font>
    <font>
      <b/>
      <sz val="14"/>
      <color theme="1"/>
      <name val="Peugeot New"/>
    </font>
    <font>
      <b/>
      <sz val="10"/>
      <name val="Peugeot New"/>
    </font>
    <font>
      <sz val="10"/>
      <name val="Opel Next"/>
      <family val="2"/>
    </font>
    <font>
      <sz val="8"/>
      <name val="Opel Next"/>
      <family val="2"/>
    </font>
    <font>
      <b/>
      <sz val="10"/>
      <name val="Opel Next"/>
      <family val="2"/>
    </font>
    <font>
      <b/>
      <sz val="14"/>
      <color theme="1"/>
      <name val="Opel Next"/>
      <family val="2"/>
    </font>
    <font>
      <sz val="10"/>
      <color theme="2" tint="-0.749992370372631"/>
      <name val="Opel Next"/>
      <family val="2"/>
    </font>
    <font>
      <sz val="10"/>
      <name val="Citroen Type"/>
    </font>
    <font>
      <sz val="8"/>
      <name val="Citroen Type"/>
    </font>
    <font>
      <b/>
      <sz val="14"/>
      <color theme="1"/>
      <name val="Citroen Type"/>
    </font>
    <font>
      <b/>
      <sz val="10"/>
      <name val="Citroen Type"/>
    </font>
    <font>
      <b/>
      <sz val="10"/>
      <color theme="0"/>
      <name val="Peugeot New Black"/>
    </font>
    <font>
      <b/>
      <sz val="9"/>
      <color theme="0"/>
      <name val="Citroen Type"/>
    </font>
    <font>
      <b/>
      <sz val="10"/>
      <color theme="0"/>
      <name val="Citroen Type"/>
    </font>
    <font>
      <sz val="9"/>
      <name val="Citroen Type"/>
    </font>
    <font>
      <b/>
      <sz val="9"/>
      <name val="Citroen Type"/>
    </font>
    <font>
      <i/>
      <sz val="10"/>
      <name val="Citroen Type"/>
    </font>
    <font>
      <b/>
      <i/>
      <sz val="10"/>
      <name val="Citroen Type"/>
    </font>
    <font>
      <sz val="10"/>
      <color indexed="18"/>
      <name val="Citroen Type"/>
    </font>
    <font>
      <i/>
      <sz val="10"/>
      <name val="Opel Next"/>
      <family val="2"/>
    </font>
    <font>
      <b/>
      <sz val="9"/>
      <name val="Montserrat"/>
    </font>
    <font>
      <sz val="9"/>
      <name val="Montserrat"/>
    </font>
    <font>
      <b/>
      <sz val="9"/>
      <color theme="1"/>
      <name val="Montserrat"/>
    </font>
    <font>
      <i/>
      <sz val="9"/>
      <name val="Montserrat"/>
    </font>
    <font>
      <sz val="9"/>
      <color theme="2" tint="-0.749992370372631"/>
      <name val="Montserrat"/>
    </font>
    <font>
      <sz val="9"/>
      <color indexed="18"/>
      <name val="Montserrat"/>
    </font>
    <font>
      <b/>
      <sz val="9"/>
      <color theme="0"/>
      <name val="Montserrat"/>
    </font>
    <font>
      <b/>
      <sz val="10"/>
      <color theme="0"/>
      <name val="Peugeot New"/>
    </font>
    <font>
      <sz val="10"/>
      <color theme="1"/>
      <name val="Peugeot New"/>
    </font>
    <font>
      <sz val="8"/>
      <color theme="1"/>
      <name val="Peugeot New"/>
    </font>
    <font>
      <i/>
      <sz val="8"/>
      <color theme="1"/>
      <name val="Peugeot New"/>
    </font>
    <font>
      <b/>
      <sz val="8"/>
      <color theme="1"/>
      <name val="Peugeot New"/>
    </font>
    <font>
      <b/>
      <sz val="10"/>
      <color theme="1"/>
      <name val="Peugeot New"/>
    </font>
    <font>
      <sz val="8"/>
      <color theme="0"/>
      <name val="Peugeot New"/>
    </font>
    <font>
      <b/>
      <sz val="10"/>
      <color theme="1"/>
      <name val="Opel Next"/>
      <family val="2"/>
    </font>
    <font>
      <b/>
      <sz val="11"/>
      <color theme="0"/>
      <name val="Opel Next"/>
      <family val="2"/>
    </font>
    <font>
      <b/>
      <sz val="11"/>
      <name val="Opel Next"/>
      <family val="2"/>
    </font>
    <font>
      <sz val="11"/>
      <name val="Opel Next"/>
      <family val="2"/>
    </font>
    <font>
      <b/>
      <sz val="10"/>
      <color theme="1"/>
      <name val="Citroen Type"/>
    </font>
    <font>
      <sz val="10"/>
      <color theme="0"/>
      <name val="Citroen Type"/>
    </font>
    <font>
      <i/>
      <sz val="10"/>
      <color theme="1"/>
      <name val="Citroen Type"/>
    </font>
    <font>
      <sz val="10"/>
      <color theme="1"/>
      <name val="Citroen Type"/>
    </font>
    <font>
      <b/>
      <i/>
      <sz val="10"/>
      <color theme="1"/>
      <name val="Citroen Type"/>
    </font>
    <font>
      <b/>
      <sz val="20"/>
      <color theme="1"/>
      <name val="Opel Next"/>
      <family val="2"/>
    </font>
    <font>
      <b/>
      <sz val="18"/>
      <color rgb="FF8196AE"/>
      <name val="Citroen Type"/>
    </font>
    <font>
      <sz val="9"/>
      <color theme="0" tint="-0.499984740745262"/>
      <name val="Montserrat"/>
    </font>
    <font>
      <b/>
      <sz val="9"/>
      <color rgb="FF12472D"/>
      <name val="Montserrat"/>
    </font>
    <font>
      <sz val="10"/>
      <name val="Neue Plak Regular"/>
    </font>
    <font>
      <b/>
      <sz val="10"/>
      <color theme="0"/>
      <name val="Neue Plak Regular"/>
    </font>
    <font>
      <b/>
      <sz val="10"/>
      <name val="Neue Plak Regular"/>
    </font>
    <font>
      <sz val="10"/>
      <color theme="1"/>
      <name val="Neue Plak Regular"/>
    </font>
    <font>
      <b/>
      <sz val="10"/>
      <color theme="1"/>
      <name val="Neue Plak Regular"/>
    </font>
    <font>
      <i/>
      <sz val="10"/>
      <color theme="1"/>
      <name val="Neue Plak Regular"/>
    </font>
    <font>
      <i/>
      <sz val="10"/>
      <name val="Neue Plak Regular"/>
    </font>
    <font>
      <sz val="10"/>
      <color indexed="18"/>
      <name val="Neue Plak Regular"/>
    </font>
    <font>
      <b/>
      <sz val="16"/>
      <color theme="1"/>
      <name val="Neue Plak Regular"/>
    </font>
    <font>
      <b/>
      <sz val="10"/>
      <color theme="0"/>
      <name val="Roboto Light"/>
    </font>
    <font>
      <b/>
      <sz val="14"/>
      <color rgb="FF12472D"/>
      <name val="Montserrat"/>
    </font>
    <font>
      <b/>
      <sz val="12"/>
      <color theme="0"/>
      <name val="Opel Next"/>
      <family val="2"/>
    </font>
    <font>
      <b/>
      <sz val="9"/>
      <color theme="0"/>
      <name val="Neue Plak Regular"/>
    </font>
    <font>
      <sz val="9"/>
      <name val="Neue Plak Regular"/>
    </font>
    <font>
      <b/>
      <sz val="9"/>
      <name val="Neue Plak Regular"/>
    </font>
    <font>
      <b/>
      <sz val="9"/>
      <color theme="0"/>
      <name val="Roboto Light"/>
    </font>
    <font>
      <sz val="10"/>
      <name val="Futura PT Medium"/>
      <family val="2"/>
    </font>
    <font>
      <sz val="8"/>
      <name val="Futura PT Medium"/>
      <family val="2"/>
    </font>
    <font>
      <b/>
      <sz val="14"/>
      <color theme="1"/>
      <name val="Futura PT Medium"/>
      <family val="2"/>
    </font>
    <font>
      <b/>
      <sz val="10"/>
      <color theme="1"/>
      <name val="Futura PT Medium"/>
      <family val="2"/>
    </font>
    <font>
      <b/>
      <sz val="20"/>
      <color theme="1"/>
      <name val="Futura PT Medium"/>
      <family val="2"/>
    </font>
    <font>
      <b/>
      <sz val="12"/>
      <color theme="0"/>
      <name val="Futura PT Medium"/>
      <family val="2"/>
    </font>
    <font>
      <b/>
      <sz val="11"/>
      <name val="Futura PT Medium"/>
      <family val="2"/>
    </font>
    <font>
      <sz val="11"/>
      <name val="Futura PT Medium"/>
      <family val="2"/>
    </font>
    <font>
      <b/>
      <sz val="11"/>
      <color theme="0"/>
      <name val="Futura PT Medium"/>
      <family val="2"/>
    </font>
    <font>
      <sz val="10"/>
      <color theme="2" tint="-0.749992370372631"/>
      <name val="Futura PT Medium"/>
      <family val="2"/>
    </font>
    <font>
      <i/>
      <sz val="10"/>
      <name val="Futura PT Medium"/>
      <family val="2"/>
    </font>
    <font>
      <b/>
      <sz val="10"/>
      <color theme="0"/>
      <name val="Futura PT Medium"/>
      <family val="2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mediumGray"/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A3E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8196AE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12472D"/>
        <bgColor indexed="64"/>
      </patternFill>
    </fill>
    <fill>
      <patternFill patternType="solid">
        <fgColor rgb="FFB39A64"/>
        <bgColor indexed="64"/>
      </patternFill>
    </fill>
    <fill>
      <patternFill patternType="solid">
        <fgColor rgb="FFB1A577"/>
        <bgColor indexed="64"/>
      </patternFill>
    </fill>
    <fill>
      <patternFill patternType="solid">
        <fgColor rgb="FF3E3E3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68F52"/>
        <bgColor indexed="64"/>
      </patternFill>
    </fill>
  </fills>
  <borders count="81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medium">
        <color theme="0"/>
      </left>
      <right/>
      <top style="medium">
        <color theme="1"/>
      </top>
      <bottom style="medium">
        <color theme="0"/>
      </bottom>
      <diagonal/>
    </border>
    <border>
      <left/>
      <right/>
      <top style="medium">
        <color theme="1"/>
      </top>
      <bottom style="medium">
        <color theme="0"/>
      </bottom>
      <diagonal/>
    </border>
    <border>
      <left/>
      <right style="medium">
        <color theme="1"/>
      </right>
      <top style="medium">
        <color theme="1"/>
      </top>
      <bottom style="medium">
        <color theme="0"/>
      </bottom>
      <diagonal/>
    </border>
    <border>
      <left style="medium">
        <color theme="1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1"/>
      </right>
      <top style="medium">
        <color theme="0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0"/>
      </left>
      <right style="medium">
        <color theme="0"/>
      </right>
      <top/>
      <bottom style="medium">
        <color theme="1"/>
      </bottom>
      <diagonal/>
    </border>
    <border>
      <left/>
      <right style="medium">
        <color theme="0"/>
      </right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indexed="64"/>
      </top>
      <bottom/>
      <diagonal/>
    </border>
    <border>
      <left style="medium">
        <color indexed="64"/>
      </left>
      <right style="medium">
        <color theme="0"/>
      </right>
      <top/>
      <bottom style="medium">
        <color indexed="64"/>
      </bottom>
      <diagonal/>
    </border>
    <border>
      <left style="medium">
        <color theme="0"/>
      </left>
      <right style="medium">
        <color theme="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/>
      <right style="medium">
        <color indexed="64"/>
      </right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indexed="64"/>
      </right>
      <top/>
      <bottom style="medium">
        <color theme="0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theme="1"/>
      </top>
      <bottom/>
      <diagonal/>
    </border>
    <border>
      <left style="medium">
        <color theme="0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theme="0"/>
      </bottom>
      <diagonal/>
    </border>
    <border>
      <left/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 style="medium">
        <color indexed="64"/>
      </right>
      <top style="medium">
        <color theme="0"/>
      </top>
      <bottom/>
      <diagonal/>
    </border>
    <border>
      <left style="medium">
        <color theme="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indexed="64"/>
      </bottom>
      <diagonal/>
    </border>
    <border>
      <left style="medium">
        <color theme="0"/>
      </left>
      <right/>
      <top/>
      <bottom style="medium">
        <color indexed="64"/>
      </bottom>
      <diagonal/>
    </border>
    <border>
      <left style="medium">
        <color theme="0"/>
      </left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0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 style="medium">
        <color theme="0"/>
      </left>
      <right/>
      <top/>
      <bottom style="medium">
        <color theme="1"/>
      </bottom>
      <diagonal/>
    </border>
    <border>
      <left style="medium">
        <color theme="0"/>
      </left>
      <right/>
      <top style="medium">
        <color theme="0"/>
      </top>
      <bottom style="medium">
        <color theme="1"/>
      </bottom>
      <diagonal/>
    </border>
    <border>
      <left style="medium">
        <color theme="0"/>
      </left>
      <right style="medium">
        <color theme="1"/>
      </right>
      <top/>
      <bottom style="medium">
        <color theme="1"/>
      </bottom>
      <diagonal/>
    </border>
    <border>
      <left style="medium">
        <color theme="0"/>
      </left>
      <right style="medium">
        <color theme="1"/>
      </right>
      <top/>
      <bottom/>
      <diagonal/>
    </border>
    <border>
      <left/>
      <right style="medium">
        <color theme="1"/>
      </right>
      <top/>
      <bottom style="medium">
        <color theme="0"/>
      </bottom>
      <diagonal/>
    </border>
  </borders>
  <cellStyleXfs count="6">
    <xf numFmtId="0" fontId="0" fillId="0" borderId="0"/>
    <xf numFmtId="0" fontId="3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4" fillId="0" borderId="0" applyFill="0" applyBorder="0" applyAlignment="0" applyProtection="0"/>
  </cellStyleXfs>
  <cellXfs count="816">
    <xf numFmtId="0" fontId="0" fillId="0" borderId="0" xfId="0"/>
    <xf numFmtId="164" fontId="7" fillId="0" borderId="0" xfId="2" applyNumberFormat="1" applyFont="1" applyFill="1" applyBorder="1" applyAlignment="1">
      <alignment horizontal="center" vertical="center"/>
    </xf>
    <xf numFmtId="0" fontId="1" fillId="0" borderId="0" xfId="0" applyFont="1"/>
    <xf numFmtId="0" fontId="6" fillId="0" borderId="0" xfId="1" applyFont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5" fillId="3" borderId="0" xfId="0" applyFont="1" applyFill="1" applyAlignment="1">
      <alignment horizontal="center" vertical="center"/>
    </xf>
    <xf numFmtId="10" fontId="9" fillId="3" borderId="0" xfId="0" applyNumberFormat="1" applyFont="1" applyFill="1" applyAlignment="1">
      <alignment vertical="center"/>
    </xf>
    <xf numFmtId="9" fontId="9" fillId="3" borderId="0" xfId="2" applyFont="1" applyFill="1" applyAlignment="1">
      <alignment vertical="center"/>
    </xf>
    <xf numFmtId="0" fontId="12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3" fillId="3" borderId="0" xfId="0" applyFont="1" applyFill="1" applyAlignment="1">
      <alignment vertical="center"/>
    </xf>
    <xf numFmtId="0" fontId="13" fillId="3" borderId="0" xfId="0" applyFont="1" applyFill="1" applyAlignment="1">
      <alignment horizontal="center" vertical="center"/>
    </xf>
    <xf numFmtId="10" fontId="12" fillId="3" borderId="0" xfId="0" applyNumberFormat="1" applyFont="1" applyFill="1" applyAlignment="1">
      <alignment vertical="center"/>
    </xf>
    <xf numFmtId="9" fontId="12" fillId="3" borderId="0" xfId="2" applyFont="1" applyFill="1" applyAlignment="1">
      <alignment vertical="center"/>
    </xf>
    <xf numFmtId="0" fontId="17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3" borderId="0" xfId="0" applyFont="1" applyFill="1" applyAlignment="1">
      <alignment vertical="center"/>
    </xf>
    <xf numFmtId="0" fontId="18" fillId="3" borderId="0" xfId="0" applyFont="1" applyFill="1" applyAlignment="1">
      <alignment horizontal="center" vertical="center"/>
    </xf>
    <xf numFmtId="10" fontId="17" fillId="3" borderId="0" xfId="0" applyNumberFormat="1" applyFont="1" applyFill="1" applyAlignment="1">
      <alignment vertical="center"/>
    </xf>
    <xf numFmtId="9" fontId="17" fillId="3" borderId="0" xfId="2" applyFont="1" applyFill="1" applyAlignment="1">
      <alignment vertical="center"/>
    </xf>
    <xf numFmtId="0" fontId="20" fillId="0" borderId="0" xfId="0" applyFont="1" applyAlignment="1">
      <alignment horizontal="center" vertical="center"/>
    </xf>
    <xf numFmtId="0" fontId="17" fillId="0" borderId="17" xfId="1" applyFont="1" applyBorder="1" applyAlignment="1">
      <alignment horizontal="left" vertical="center"/>
    </xf>
    <xf numFmtId="0" fontId="20" fillId="0" borderId="1" xfId="1" applyFont="1" applyBorder="1" applyAlignment="1">
      <alignment horizontal="center" vertical="center"/>
    </xf>
    <xf numFmtId="0" fontId="26" fillId="2" borderId="18" xfId="1" applyFont="1" applyFill="1" applyBorder="1" applyAlignment="1">
      <alignment vertical="center"/>
    </xf>
    <xf numFmtId="0" fontId="27" fillId="2" borderId="10" xfId="1" applyFont="1" applyFill="1" applyBorder="1" applyAlignment="1">
      <alignment horizontal="center" vertical="center"/>
    </xf>
    <xf numFmtId="0" fontId="27" fillId="0" borderId="0" xfId="1" applyFont="1" applyAlignment="1">
      <alignment horizontal="center" vertical="center"/>
    </xf>
    <xf numFmtId="164" fontId="28" fillId="0" borderId="0" xfId="2" applyNumberFormat="1" applyFont="1" applyFill="1" applyBorder="1" applyAlignment="1">
      <alignment horizontal="center" vertical="center"/>
    </xf>
    <xf numFmtId="0" fontId="12" fillId="0" borderId="17" xfId="1" applyFont="1" applyBorder="1" applyAlignment="1">
      <alignment horizontal="left" vertical="center"/>
    </xf>
    <xf numFmtId="0" fontId="12" fillId="0" borderId="1" xfId="1" applyFont="1" applyBorder="1" applyAlignment="1">
      <alignment horizontal="center" vertical="center"/>
    </xf>
    <xf numFmtId="164" fontId="16" fillId="0" borderId="0" xfId="2" applyNumberFormat="1" applyFont="1" applyFill="1" applyBorder="1" applyAlignment="1">
      <alignment horizontal="center" vertical="center"/>
    </xf>
    <xf numFmtId="164" fontId="16" fillId="0" borderId="3" xfId="2" applyNumberFormat="1" applyFont="1" applyFill="1" applyBorder="1" applyAlignment="1">
      <alignment horizontal="center" vertical="center"/>
    </xf>
    <xf numFmtId="0" fontId="29" fillId="2" borderId="18" xfId="1" applyFont="1" applyFill="1" applyBorder="1" applyAlignment="1">
      <alignment vertical="center"/>
    </xf>
    <xf numFmtId="0" fontId="29" fillId="2" borderId="10" xfId="1" applyFont="1" applyFill="1" applyBorder="1" applyAlignment="1">
      <alignment horizontal="center" vertical="center"/>
    </xf>
    <xf numFmtId="164" fontId="16" fillId="0" borderId="13" xfId="2" applyNumberFormat="1" applyFont="1" applyFill="1" applyBorder="1" applyAlignment="1">
      <alignment horizontal="center" vertical="center"/>
    </xf>
    <xf numFmtId="0" fontId="12" fillId="0" borderId="2" xfId="1" applyFont="1" applyBorder="1" applyAlignment="1">
      <alignment vertical="center"/>
    </xf>
    <xf numFmtId="0" fontId="12" fillId="0" borderId="2" xfId="1" applyFont="1" applyBorder="1" applyAlignment="1">
      <alignment horizontal="center" vertical="center"/>
    </xf>
    <xf numFmtId="0" fontId="29" fillId="2" borderId="11" xfId="1" applyFont="1" applyFill="1" applyBorder="1" applyAlignment="1">
      <alignment vertical="center"/>
    </xf>
    <xf numFmtId="0" fontId="29" fillId="2" borderId="11" xfId="1" applyFont="1" applyFill="1" applyBorder="1" applyAlignment="1">
      <alignment horizontal="center" vertical="center"/>
    </xf>
    <xf numFmtId="0" fontId="29" fillId="0" borderId="11" xfId="1" applyFont="1" applyBorder="1" applyAlignment="1">
      <alignment vertical="center"/>
    </xf>
    <xf numFmtId="0" fontId="29" fillId="0" borderId="11" xfId="1" applyFont="1" applyBorder="1" applyAlignment="1">
      <alignment horizontal="center" vertical="center"/>
    </xf>
    <xf numFmtId="0" fontId="12" fillId="0" borderId="19" xfId="0" applyFont="1" applyBorder="1" applyAlignment="1">
      <alignment vertical="center"/>
    </xf>
    <xf numFmtId="0" fontId="13" fillId="0" borderId="20" xfId="0" applyFont="1" applyBorder="1" applyAlignment="1">
      <alignment vertical="center"/>
    </xf>
    <xf numFmtId="0" fontId="13" fillId="0" borderId="20" xfId="0" applyFont="1" applyBorder="1" applyAlignment="1">
      <alignment horizontal="center" vertical="center"/>
    </xf>
    <xf numFmtId="0" fontId="12" fillId="0" borderId="20" xfId="0" applyFont="1" applyBorder="1" applyAlignment="1">
      <alignment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vertical="center"/>
    </xf>
    <xf numFmtId="0" fontId="13" fillId="0" borderId="0" xfId="0" applyFont="1" applyAlignment="1">
      <alignment vertical="center"/>
    </xf>
    <xf numFmtId="3" fontId="15" fillId="0" borderId="0" xfId="4" applyNumberFormat="1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9" fontId="12" fillId="0" borderId="23" xfId="0" applyNumberFormat="1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3" fontId="12" fillId="0" borderId="23" xfId="0" applyNumberFormat="1" applyFont="1" applyBorder="1" applyAlignment="1">
      <alignment horizontal="center" vertical="center"/>
    </xf>
    <xf numFmtId="0" fontId="12" fillId="0" borderId="24" xfId="0" applyFont="1" applyBorder="1" applyAlignment="1">
      <alignment vertical="center"/>
    </xf>
    <xf numFmtId="0" fontId="13" fillId="0" borderId="25" xfId="0" applyFont="1" applyBorder="1" applyAlignment="1">
      <alignment vertical="center"/>
    </xf>
    <xf numFmtId="0" fontId="13" fillId="0" borderId="25" xfId="0" applyFont="1" applyBorder="1" applyAlignment="1">
      <alignment horizontal="center" vertical="center"/>
    </xf>
    <xf numFmtId="0" fontId="12" fillId="0" borderId="25" xfId="0" applyFont="1" applyBorder="1" applyAlignment="1">
      <alignment vertical="center"/>
    </xf>
    <xf numFmtId="0" fontId="12" fillId="0" borderId="2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7" fillId="0" borderId="19" xfId="0" applyFont="1" applyBorder="1" applyAlignment="1">
      <alignment vertical="center"/>
    </xf>
    <xf numFmtId="0" fontId="18" fillId="0" borderId="20" xfId="0" applyFont="1" applyBorder="1" applyAlignment="1">
      <alignment vertical="center"/>
    </xf>
    <xf numFmtId="0" fontId="18" fillId="0" borderId="20" xfId="0" applyFont="1" applyBorder="1" applyAlignment="1">
      <alignment horizontal="center" vertical="center"/>
    </xf>
    <xf numFmtId="0" fontId="17" fillId="0" borderId="20" xfId="0" applyFont="1" applyBorder="1" applyAlignment="1">
      <alignment vertical="center"/>
    </xf>
    <xf numFmtId="0" fontId="17" fillId="0" borderId="20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22" xfId="0" applyFont="1" applyBorder="1" applyAlignment="1">
      <alignment vertical="center"/>
    </xf>
    <xf numFmtId="0" fontId="18" fillId="0" borderId="0" xfId="0" applyFont="1" applyAlignment="1">
      <alignment vertical="center"/>
    </xf>
    <xf numFmtId="3" fontId="19" fillId="0" borderId="0" xfId="4" applyNumberFormat="1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9" fontId="17" fillId="0" borderId="23" xfId="0" applyNumberFormat="1" applyFont="1" applyBorder="1" applyAlignment="1">
      <alignment horizontal="center" vertical="center"/>
    </xf>
    <xf numFmtId="0" fontId="26" fillId="0" borderId="0" xfId="1" applyFont="1" applyAlignment="1">
      <alignment vertical="center"/>
    </xf>
    <xf numFmtId="0" fontId="17" fillId="2" borderId="0" xfId="0" applyFont="1" applyFill="1" applyAlignment="1">
      <alignment vertical="center"/>
    </xf>
    <xf numFmtId="0" fontId="20" fillId="2" borderId="0" xfId="0" applyFont="1" applyFill="1" applyAlignment="1">
      <alignment horizontal="center" vertical="center"/>
    </xf>
    <xf numFmtId="3" fontId="17" fillId="0" borderId="23" xfId="0" applyNumberFormat="1" applyFont="1" applyBorder="1" applyAlignment="1">
      <alignment horizontal="center" vertical="center"/>
    </xf>
    <xf numFmtId="0" fontId="17" fillId="0" borderId="24" xfId="0" applyFont="1" applyBorder="1" applyAlignment="1">
      <alignment vertical="center"/>
    </xf>
    <xf numFmtId="0" fontId="18" fillId="0" borderId="25" xfId="0" applyFont="1" applyBorder="1" applyAlignment="1">
      <alignment vertical="center"/>
    </xf>
    <xf numFmtId="0" fontId="18" fillId="0" borderId="25" xfId="0" applyFont="1" applyBorder="1" applyAlignment="1">
      <alignment horizontal="center" vertical="center"/>
    </xf>
    <xf numFmtId="0" fontId="17" fillId="0" borderId="25" xfId="0" applyFont="1" applyBorder="1" applyAlignment="1">
      <alignment vertical="center"/>
    </xf>
    <xf numFmtId="0" fontId="17" fillId="0" borderId="25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9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0" xfId="0" applyFont="1" applyBorder="1" applyAlignment="1">
      <alignment horizontal="center" vertical="center"/>
    </xf>
    <xf numFmtId="0" fontId="9" fillId="0" borderId="20" xfId="0" applyFont="1" applyBorder="1" applyAlignment="1">
      <alignment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6" fillId="0" borderId="0" xfId="1" applyFont="1" applyAlignment="1">
      <alignment vertical="center"/>
    </xf>
    <xf numFmtId="0" fontId="11" fillId="0" borderId="0" xfId="0" applyFont="1" applyAlignment="1">
      <alignment horizontal="center" vertical="center"/>
    </xf>
    <xf numFmtId="3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5" fillId="0" borderId="25" xfId="0" applyFont="1" applyBorder="1" applyAlignment="1">
      <alignment horizontal="center" vertical="center"/>
    </xf>
    <xf numFmtId="0" fontId="9" fillId="0" borderId="25" xfId="0" applyFont="1" applyBorder="1" applyAlignment="1">
      <alignment vertical="center"/>
    </xf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165" fontId="9" fillId="3" borderId="0" xfId="0" applyNumberFormat="1" applyFont="1" applyFill="1" applyAlignment="1">
      <alignment vertical="center"/>
    </xf>
    <xf numFmtId="166" fontId="16" fillId="2" borderId="1" xfId="2" applyNumberFormat="1" applyFont="1" applyFill="1" applyBorder="1" applyAlignment="1">
      <alignment horizontal="center" vertical="center"/>
    </xf>
    <xf numFmtId="166" fontId="16" fillId="2" borderId="3" xfId="2" applyNumberFormat="1" applyFont="1" applyFill="1" applyBorder="1" applyAlignment="1">
      <alignment horizontal="center" vertical="center"/>
    </xf>
    <xf numFmtId="166" fontId="16" fillId="2" borderId="10" xfId="2" applyNumberFormat="1" applyFont="1" applyFill="1" applyBorder="1" applyAlignment="1">
      <alignment horizontal="center" vertical="center"/>
    </xf>
    <xf numFmtId="166" fontId="16" fillId="2" borderId="8" xfId="2" applyNumberFormat="1" applyFont="1" applyFill="1" applyBorder="1" applyAlignment="1">
      <alignment horizontal="center" vertical="center"/>
    </xf>
    <xf numFmtId="164" fontId="16" fillId="0" borderId="8" xfId="2" applyNumberFormat="1" applyFont="1" applyFill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31" fillId="3" borderId="0" xfId="0" applyFont="1" applyFill="1" applyAlignment="1">
      <alignment vertical="center"/>
    </xf>
    <xf numFmtId="0" fontId="30" fillId="0" borderId="0" xfId="0" applyFont="1" applyAlignment="1">
      <alignment horizontal="center" vertical="center"/>
    </xf>
    <xf numFmtId="0" fontId="31" fillId="3" borderId="0" xfId="0" applyFont="1" applyFill="1" applyAlignment="1">
      <alignment horizontal="center" vertical="center"/>
    </xf>
    <xf numFmtId="0" fontId="31" fillId="0" borderId="19" xfId="0" applyFont="1" applyBorder="1" applyAlignment="1">
      <alignment vertical="center"/>
    </xf>
    <xf numFmtId="0" fontId="31" fillId="0" borderId="20" xfId="0" applyFont="1" applyBorder="1" applyAlignment="1">
      <alignment vertical="center"/>
    </xf>
    <xf numFmtId="0" fontId="31" fillId="0" borderId="20" xfId="0" applyFont="1" applyBorder="1" applyAlignment="1">
      <alignment horizontal="center" vertical="center"/>
    </xf>
    <xf numFmtId="0" fontId="31" fillId="0" borderId="21" xfId="0" applyFont="1" applyBorder="1" applyAlignment="1">
      <alignment horizontal="center" vertical="center"/>
    </xf>
    <xf numFmtId="0" fontId="31" fillId="0" borderId="22" xfId="0" applyFont="1" applyBorder="1" applyAlignment="1">
      <alignment vertical="center"/>
    </xf>
    <xf numFmtId="3" fontId="32" fillId="0" borderId="0" xfId="4" applyNumberFormat="1" applyFont="1" applyAlignment="1">
      <alignment vertical="center"/>
    </xf>
    <xf numFmtId="9" fontId="31" fillId="0" borderId="23" xfId="0" applyNumberFormat="1" applyFont="1" applyBorder="1" applyAlignment="1">
      <alignment horizontal="center" vertical="center"/>
    </xf>
    <xf numFmtId="0" fontId="31" fillId="0" borderId="17" xfId="1" applyFont="1" applyBorder="1" applyAlignment="1">
      <alignment horizontal="left" vertical="center"/>
    </xf>
    <xf numFmtId="0" fontId="31" fillId="0" borderId="1" xfId="1" applyFont="1" applyBorder="1" applyAlignment="1">
      <alignment horizontal="center" vertical="center"/>
    </xf>
    <xf numFmtId="166" fontId="34" fillId="2" borderId="1" xfId="2" applyNumberFormat="1" applyFont="1" applyFill="1" applyBorder="1" applyAlignment="1">
      <alignment horizontal="center" vertical="center"/>
    </xf>
    <xf numFmtId="166" fontId="34" fillId="2" borderId="3" xfId="2" applyNumberFormat="1" applyFont="1" applyFill="1" applyBorder="1" applyAlignment="1">
      <alignment horizontal="center" vertical="center"/>
    </xf>
    <xf numFmtId="0" fontId="33" fillId="2" borderId="18" xfId="1" applyFont="1" applyFill="1" applyBorder="1" applyAlignment="1">
      <alignment vertical="center"/>
    </xf>
    <xf numFmtId="0" fontId="33" fillId="2" borderId="10" xfId="1" applyFont="1" applyFill="1" applyBorder="1" applyAlignment="1">
      <alignment horizontal="center" vertical="center"/>
    </xf>
    <xf numFmtId="166" fontId="34" fillId="2" borderId="10" xfId="2" applyNumberFormat="1" applyFont="1" applyFill="1" applyBorder="1" applyAlignment="1">
      <alignment horizontal="center" vertical="center"/>
    </xf>
    <xf numFmtId="166" fontId="34" fillId="2" borderId="8" xfId="2" applyNumberFormat="1" applyFont="1" applyFill="1" applyBorder="1" applyAlignment="1">
      <alignment horizontal="center" vertical="center"/>
    </xf>
    <xf numFmtId="0" fontId="33" fillId="0" borderId="0" xfId="1" applyFont="1" applyAlignment="1">
      <alignment vertical="center"/>
    </xf>
    <xf numFmtId="0" fontId="33" fillId="0" borderId="0" xfId="1" applyFont="1" applyAlignment="1">
      <alignment horizontal="center" vertical="center"/>
    </xf>
    <xf numFmtId="164" fontId="35" fillId="0" borderId="0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vertical="center"/>
    </xf>
    <xf numFmtId="0" fontId="37" fillId="8" borderId="16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49" fontId="8" fillId="6" borderId="37" xfId="0" applyNumberFormat="1" applyFont="1" applyFill="1" applyBorder="1" applyAlignment="1">
      <alignment horizontal="center" vertical="center"/>
    </xf>
    <xf numFmtId="49" fontId="8" fillId="6" borderId="38" xfId="0" applyNumberFormat="1" applyFont="1" applyFill="1" applyBorder="1" applyAlignment="1">
      <alignment horizontal="center" vertical="center"/>
    </xf>
    <xf numFmtId="0" fontId="37" fillId="3" borderId="0" xfId="0" applyFont="1" applyFill="1" applyAlignment="1">
      <alignment horizontal="center" vertical="center"/>
    </xf>
    <xf numFmtId="0" fontId="37" fillId="0" borderId="22" xfId="0" applyFont="1" applyBorder="1" applyAlignment="1">
      <alignment vertical="center"/>
    </xf>
    <xf numFmtId="0" fontId="8" fillId="8" borderId="2" xfId="4" applyFont="1" applyFill="1" applyBorder="1" applyAlignment="1">
      <alignment horizontal="left" vertical="center" indent="1"/>
    </xf>
    <xf numFmtId="9" fontId="8" fillId="8" borderId="1" xfId="4" applyNumberFormat="1" applyFont="1" applyFill="1" applyBorder="1" applyAlignment="1">
      <alignment horizontal="center" vertical="center"/>
    </xf>
    <xf numFmtId="0" fontId="8" fillId="8" borderId="1" xfId="4" applyFont="1" applyFill="1" applyBorder="1" applyAlignment="1">
      <alignment vertical="center"/>
    </xf>
    <xf numFmtId="164" fontId="8" fillId="8" borderId="0" xfId="2" applyNumberFormat="1" applyFont="1" applyFill="1" applyBorder="1" applyAlignment="1">
      <alignment horizontal="center" vertical="center"/>
    </xf>
    <xf numFmtId="164" fontId="8" fillId="8" borderId="3" xfId="2" applyNumberFormat="1" applyFont="1" applyFill="1" applyBorder="1" applyAlignment="1">
      <alignment horizontal="center" vertical="center"/>
    </xf>
    <xf numFmtId="0" fontId="37" fillId="0" borderId="1" xfId="0" applyFont="1" applyBorder="1" applyAlignment="1">
      <alignment vertical="center"/>
    </xf>
    <xf numFmtId="9" fontId="37" fillId="0" borderId="23" xfId="0" applyNumberFormat="1" applyFont="1" applyBorder="1" applyAlignment="1">
      <alignment horizontal="center" vertical="center"/>
    </xf>
    <xf numFmtId="0" fontId="37" fillId="3" borderId="0" xfId="0" applyFont="1" applyFill="1" applyAlignment="1">
      <alignment vertical="center"/>
    </xf>
    <xf numFmtId="166" fontId="8" fillId="8" borderId="9" xfId="2" applyNumberFormat="1" applyFont="1" applyFill="1" applyBorder="1" applyAlignment="1">
      <alignment horizontal="center" vertical="center"/>
    </xf>
    <xf numFmtId="166" fontId="8" fillId="8" borderId="12" xfId="2" applyNumberFormat="1" applyFont="1" applyFill="1" applyBorder="1" applyAlignment="1">
      <alignment horizontal="center" vertical="center"/>
    </xf>
    <xf numFmtId="3" fontId="10" fillId="0" borderId="0" xfId="4" applyNumberFormat="1" applyFont="1" applyAlignment="1">
      <alignment vertical="center"/>
    </xf>
    <xf numFmtId="0" fontId="5" fillId="0" borderId="0" xfId="1" applyFont="1" applyAlignment="1">
      <alignment vertical="center"/>
    </xf>
    <xf numFmtId="0" fontId="38" fillId="3" borderId="0" xfId="0" applyFont="1" applyFill="1" applyAlignment="1">
      <alignment horizontal="center" vertical="center"/>
    </xf>
    <xf numFmtId="0" fontId="38" fillId="0" borderId="22" xfId="0" applyFont="1" applyBorder="1" applyAlignment="1">
      <alignment vertical="center"/>
    </xf>
    <xf numFmtId="0" fontId="39" fillId="0" borderId="17" xfId="1" applyFont="1" applyBorder="1" applyAlignment="1">
      <alignment horizontal="left" vertical="center"/>
    </xf>
    <xf numFmtId="0" fontId="39" fillId="0" borderId="1" xfId="1" applyFont="1" applyBorder="1" applyAlignment="1">
      <alignment horizontal="center" vertical="center"/>
    </xf>
    <xf numFmtId="0" fontId="39" fillId="0" borderId="1" xfId="1" applyFont="1" applyBorder="1" applyAlignment="1">
      <alignment vertical="center"/>
    </xf>
    <xf numFmtId="164" fontId="39" fillId="0" borderId="0" xfId="2" applyNumberFormat="1" applyFont="1" applyFill="1" applyBorder="1" applyAlignment="1">
      <alignment horizontal="center" vertical="center"/>
    </xf>
    <xf numFmtId="164" fontId="39" fillId="0" borderId="3" xfId="2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vertical="center"/>
    </xf>
    <xf numFmtId="0" fontId="38" fillId="0" borderId="23" xfId="0" applyFont="1" applyBorder="1" applyAlignment="1">
      <alignment horizontal="center" vertical="center"/>
    </xf>
    <xf numFmtId="0" fontId="38" fillId="3" borderId="0" xfId="0" applyFont="1" applyFill="1" applyAlignment="1">
      <alignment vertical="center"/>
    </xf>
    <xf numFmtId="166" fontId="39" fillId="0" borderId="1" xfId="2" applyNumberFormat="1" applyFont="1" applyFill="1" applyBorder="1" applyAlignment="1">
      <alignment horizontal="center" vertical="center"/>
    </xf>
    <xf numFmtId="166" fontId="39" fillId="0" borderId="0" xfId="2" applyNumberFormat="1" applyFont="1" applyFill="1" applyBorder="1" applyAlignment="1">
      <alignment horizontal="center" vertical="center"/>
    </xf>
    <xf numFmtId="0" fontId="40" fillId="0" borderId="18" xfId="1" applyFont="1" applyBorder="1" applyAlignment="1">
      <alignment vertical="center"/>
    </xf>
    <xf numFmtId="0" fontId="40" fillId="0" borderId="10" xfId="1" applyFont="1" applyBorder="1" applyAlignment="1">
      <alignment horizontal="center" vertical="center"/>
    </xf>
    <xf numFmtId="0" fontId="39" fillId="0" borderId="10" xfId="1" applyFont="1" applyBorder="1" applyAlignment="1">
      <alignment vertical="center"/>
    </xf>
    <xf numFmtId="164" fontId="39" fillId="0" borderId="13" xfId="2" applyNumberFormat="1" applyFont="1" applyFill="1" applyBorder="1" applyAlignment="1">
      <alignment horizontal="center" vertical="center"/>
    </xf>
    <xf numFmtId="164" fontId="39" fillId="0" borderId="8" xfId="2" applyNumberFormat="1" applyFont="1" applyFill="1" applyBorder="1" applyAlignment="1">
      <alignment horizontal="center" vertical="center"/>
    </xf>
    <xf numFmtId="166" fontId="39" fillId="0" borderId="10" xfId="2" applyNumberFormat="1" applyFont="1" applyFill="1" applyBorder="1" applyAlignment="1">
      <alignment horizontal="center" vertical="center"/>
    </xf>
    <xf numFmtId="166" fontId="39" fillId="0" borderId="13" xfId="2" applyNumberFormat="1" applyFont="1" applyFill="1" applyBorder="1" applyAlignment="1">
      <alignment horizontal="center" vertical="center"/>
    </xf>
    <xf numFmtId="0" fontId="39" fillId="2" borderId="1" xfId="1" applyFont="1" applyFill="1" applyBorder="1" applyAlignment="1">
      <alignment vertical="center"/>
    </xf>
    <xf numFmtId="164" fontId="39" fillId="2" borderId="0" xfId="2" applyNumberFormat="1" applyFont="1" applyFill="1" applyBorder="1" applyAlignment="1">
      <alignment horizontal="center" vertical="center"/>
    </xf>
    <xf numFmtId="164" fontId="39" fillId="2" borderId="3" xfId="2" applyNumberFormat="1" applyFont="1" applyFill="1" applyBorder="1" applyAlignment="1">
      <alignment horizontal="center" vertical="center"/>
    </xf>
    <xf numFmtId="0" fontId="39" fillId="2" borderId="10" xfId="1" applyFont="1" applyFill="1" applyBorder="1" applyAlignment="1">
      <alignment vertical="center"/>
    </xf>
    <xf numFmtId="164" fontId="39" fillId="2" borderId="13" xfId="2" applyNumberFormat="1" applyFont="1" applyFill="1" applyBorder="1" applyAlignment="1">
      <alignment horizontal="center" vertical="center"/>
    </xf>
    <xf numFmtId="164" fontId="39" fillId="2" borderId="8" xfId="2" applyNumberFormat="1" applyFont="1" applyFill="1" applyBorder="1" applyAlignment="1">
      <alignment horizontal="center" vertical="center"/>
    </xf>
    <xf numFmtId="0" fontId="39" fillId="2" borderId="0" xfId="0" applyFont="1" applyFill="1" applyAlignment="1">
      <alignment vertical="center"/>
    </xf>
    <xf numFmtId="0" fontId="39" fillId="2" borderId="0" xfId="0" applyFont="1" applyFill="1" applyAlignment="1">
      <alignment horizontal="center" vertical="center"/>
    </xf>
    <xf numFmtId="0" fontId="38" fillId="0" borderId="0" xfId="0" applyFont="1" applyAlignment="1">
      <alignment vertical="center"/>
    </xf>
    <xf numFmtId="165" fontId="38" fillId="3" borderId="0" xfId="0" applyNumberFormat="1" applyFont="1" applyFill="1" applyAlignment="1">
      <alignment vertical="center"/>
    </xf>
    <xf numFmtId="0" fontId="40" fillId="2" borderId="1" xfId="1" applyFont="1" applyFill="1" applyBorder="1" applyAlignment="1">
      <alignment horizontal="center" vertical="center"/>
    </xf>
    <xf numFmtId="164" fontId="39" fillId="2" borderId="2" xfId="2" applyNumberFormat="1" applyFont="1" applyFill="1" applyBorder="1" applyAlignment="1">
      <alignment horizontal="center" vertical="center"/>
    </xf>
    <xf numFmtId="164" fontId="39" fillId="2" borderId="11" xfId="2" applyNumberFormat="1" applyFont="1" applyFill="1" applyBorder="1" applyAlignment="1">
      <alignment horizontal="center" vertical="center"/>
    </xf>
    <xf numFmtId="0" fontId="39" fillId="0" borderId="1" xfId="1" applyFont="1" applyBorder="1" applyAlignment="1">
      <alignment horizontal="left" vertical="center"/>
    </xf>
    <xf numFmtId="164" fontId="39" fillId="0" borderId="2" xfId="2" applyNumberFormat="1" applyFont="1" applyFill="1" applyBorder="1" applyAlignment="1">
      <alignment horizontal="center" vertical="center"/>
    </xf>
    <xf numFmtId="0" fontId="42" fillId="0" borderId="0" xfId="0" quotePrefix="1" applyFont="1" applyAlignment="1">
      <alignment horizontal="center" vertical="center"/>
    </xf>
    <xf numFmtId="0" fontId="39" fillId="0" borderId="10" xfId="1" applyFont="1" applyBorder="1" applyAlignment="1">
      <alignment horizontal="left" vertical="center"/>
    </xf>
    <xf numFmtId="0" fontId="39" fillId="0" borderId="10" xfId="1" applyFont="1" applyBorder="1" applyAlignment="1">
      <alignment horizontal="center" vertical="center"/>
    </xf>
    <xf numFmtId="164" fontId="39" fillId="0" borderId="11" xfId="2" applyNumberFormat="1" applyFont="1" applyFill="1" applyBorder="1" applyAlignment="1">
      <alignment horizontal="center" vertical="center"/>
    </xf>
    <xf numFmtId="0" fontId="40" fillId="2" borderId="0" xfId="1" applyFont="1" applyFill="1" applyAlignment="1">
      <alignment vertical="center"/>
    </xf>
    <xf numFmtId="0" fontId="40" fillId="2" borderId="0" xfId="1" applyFont="1" applyFill="1" applyAlignment="1">
      <alignment horizontal="center" vertical="center"/>
    </xf>
    <xf numFmtId="0" fontId="39" fillId="2" borderId="0" xfId="1" applyFont="1" applyFill="1" applyAlignment="1">
      <alignment vertical="center"/>
    </xf>
    <xf numFmtId="0" fontId="39" fillId="2" borderId="2" xfId="1" applyFont="1" applyFill="1" applyBorder="1" applyAlignment="1">
      <alignment horizontal="center" vertical="center"/>
    </xf>
    <xf numFmtId="0" fontId="41" fillId="0" borderId="2" xfId="1" applyFont="1" applyBorder="1" applyAlignment="1">
      <alignment horizontal="center" vertical="center"/>
    </xf>
    <xf numFmtId="0" fontId="39" fillId="0" borderId="0" xfId="0" applyFont="1" applyAlignment="1">
      <alignment vertical="center"/>
    </xf>
    <xf numFmtId="0" fontId="39" fillId="0" borderId="0" xfId="0" applyFont="1" applyAlignment="1">
      <alignment horizontal="center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3" fontId="38" fillId="0" borderId="23" xfId="0" applyNumberFormat="1" applyFont="1" applyBorder="1" applyAlignment="1">
      <alignment horizontal="center" vertical="center"/>
    </xf>
    <xf numFmtId="0" fontId="39" fillId="0" borderId="2" xfId="1" applyFont="1" applyBorder="1" applyAlignment="1">
      <alignment horizontal="center" vertical="center"/>
    </xf>
    <xf numFmtId="0" fontId="39" fillId="0" borderId="2" xfId="1" applyFont="1" applyBorder="1" applyAlignment="1">
      <alignment vertical="center"/>
    </xf>
    <xf numFmtId="0" fontId="40" fillId="2" borderId="11" xfId="1" applyFont="1" applyFill="1" applyBorder="1" applyAlignment="1">
      <alignment vertical="center"/>
    </xf>
    <xf numFmtId="0" fontId="40" fillId="2" borderId="11" xfId="1" applyFont="1" applyFill="1" applyBorder="1" applyAlignment="1">
      <alignment horizontal="center" vertical="center"/>
    </xf>
    <xf numFmtId="0" fontId="8" fillId="8" borderId="27" xfId="4" applyFont="1" applyFill="1" applyBorder="1" applyAlignment="1">
      <alignment horizontal="left" vertical="center" indent="1"/>
    </xf>
    <xf numFmtId="9" fontId="8" fillId="8" borderId="47" xfId="4" applyNumberFormat="1" applyFont="1" applyFill="1" applyBorder="1" applyAlignment="1">
      <alignment horizontal="center" vertical="center"/>
    </xf>
    <xf numFmtId="0" fontId="8" fillId="8" borderId="47" xfId="4" applyFont="1" applyFill="1" applyBorder="1" applyAlignment="1">
      <alignment vertical="center"/>
    </xf>
    <xf numFmtId="164" fontId="8" fillId="8" borderId="28" xfId="2" applyNumberFormat="1" applyFont="1" applyFill="1" applyBorder="1" applyAlignment="1">
      <alignment horizontal="center" vertical="center"/>
    </xf>
    <xf numFmtId="164" fontId="8" fillId="8" borderId="48" xfId="2" applyNumberFormat="1" applyFont="1" applyFill="1" applyBorder="1" applyAlignment="1">
      <alignment horizontal="center" vertical="center"/>
    </xf>
    <xf numFmtId="164" fontId="8" fillId="8" borderId="49" xfId="2" applyNumberFormat="1" applyFont="1" applyFill="1" applyBorder="1" applyAlignment="1">
      <alignment horizontal="center" vertical="center"/>
    </xf>
    <xf numFmtId="0" fontId="39" fillId="0" borderId="50" xfId="1" applyFont="1" applyBorder="1" applyAlignment="1">
      <alignment horizontal="left" vertical="center"/>
    </xf>
    <xf numFmtId="0" fontId="40" fillId="2" borderId="52" xfId="1" applyFont="1" applyFill="1" applyBorder="1" applyAlignment="1">
      <alignment vertical="center"/>
    </xf>
    <xf numFmtId="0" fontId="40" fillId="2" borderId="53" xfId="1" applyFont="1" applyFill="1" applyBorder="1" applyAlignment="1">
      <alignment horizontal="center" vertical="center"/>
    </xf>
    <xf numFmtId="0" fontId="39" fillId="2" borderId="53" xfId="1" applyFont="1" applyFill="1" applyBorder="1" applyAlignment="1">
      <alignment vertical="center"/>
    </xf>
    <xf numFmtId="164" fontId="39" fillId="2" borderId="39" xfId="2" applyNumberFormat="1" applyFont="1" applyFill="1" applyBorder="1" applyAlignment="1">
      <alignment horizontal="center" vertical="center"/>
    </xf>
    <xf numFmtId="164" fontId="39" fillId="2" borderId="54" xfId="2" applyNumberFormat="1" applyFont="1" applyFill="1" applyBorder="1" applyAlignment="1">
      <alignment horizontal="center" vertical="center"/>
    </xf>
    <xf numFmtId="0" fontId="40" fillId="2" borderId="57" xfId="1" applyFont="1" applyFill="1" applyBorder="1" applyAlignment="1">
      <alignment vertical="center"/>
    </xf>
    <xf numFmtId="164" fontId="39" fillId="2" borderId="51" xfId="2" applyNumberFormat="1" applyFont="1" applyFill="1" applyBorder="1" applyAlignment="1">
      <alignment horizontal="center" vertical="center"/>
    </xf>
    <xf numFmtId="164" fontId="39" fillId="2" borderId="55" xfId="2" applyNumberFormat="1" applyFont="1" applyFill="1" applyBorder="1" applyAlignment="1">
      <alignment horizontal="center" vertical="center"/>
    </xf>
    <xf numFmtId="164" fontId="39" fillId="2" borderId="42" xfId="2" applyNumberFormat="1" applyFont="1" applyFill="1" applyBorder="1" applyAlignment="1">
      <alignment horizontal="center" vertical="center"/>
    </xf>
    <xf numFmtId="0" fontId="39" fillId="0" borderId="56" xfId="1" applyFont="1" applyBorder="1" applyAlignment="1">
      <alignment vertical="center"/>
    </xf>
    <xf numFmtId="0" fontId="39" fillId="0" borderId="37" xfId="1" applyFont="1" applyBorder="1" applyAlignment="1">
      <alignment vertical="center"/>
    </xf>
    <xf numFmtId="0" fontId="41" fillId="0" borderId="55" xfId="1" applyFont="1" applyBorder="1" applyAlignment="1">
      <alignment horizontal="center" vertical="center"/>
    </xf>
    <xf numFmtId="164" fontId="8" fillId="8" borderId="5" xfId="2" applyNumberFormat="1" applyFont="1" applyFill="1" applyBorder="1" applyAlignment="1">
      <alignment horizontal="center" vertical="center"/>
    </xf>
    <xf numFmtId="0" fontId="40" fillId="0" borderId="37" xfId="1" applyFont="1" applyBorder="1" applyAlignment="1">
      <alignment vertical="center"/>
    </xf>
    <xf numFmtId="0" fontId="40" fillId="0" borderId="55" xfId="1" applyFont="1" applyBorder="1" applyAlignment="1">
      <alignment horizontal="center" vertical="center"/>
    </xf>
    <xf numFmtId="0" fontId="39" fillId="0" borderId="53" xfId="1" applyFont="1" applyBorder="1" applyAlignment="1">
      <alignment vertical="center"/>
    </xf>
    <xf numFmtId="164" fontId="39" fillId="0" borderId="55" xfId="2" applyNumberFormat="1" applyFont="1" applyFill="1" applyBorder="1" applyAlignment="1">
      <alignment horizontal="center" vertical="center"/>
    </xf>
    <xf numFmtId="164" fontId="39" fillId="0" borderId="54" xfId="2" applyNumberFormat="1" applyFont="1" applyFill="1" applyBorder="1" applyAlignment="1">
      <alignment horizontal="center" vertical="center"/>
    </xf>
    <xf numFmtId="164" fontId="39" fillId="0" borderId="39" xfId="2" applyNumberFormat="1" applyFont="1" applyFill="1" applyBorder="1" applyAlignment="1">
      <alignment horizontal="center" vertical="center"/>
    </xf>
    <xf numFmtId="0" fontId="39" fillId="2" borderId="57" xfId="1" applyFont="1" applyFill="1" applyBorder="1" applyAlignment="1">
      <alignment vertical="center"/>
    </xf>
    <xf numFmtId="0" fontId="8" fillId="8" borderId="56" xfId="4" applyFont="1" applyFill="1" applyBorder="1" applyAlignment="1">
      <alignment horizontal="left" vertical="center" indent="1"/>
    </xf>
    <xf numFmtId="164" fontId="8" fillId="8" borderId="51" xfId="2" applyNumberFormat="1" applyFont="1" applyFill="1" applyBorder="1" applyAlignment="1">
      <alignment horizontal="center" vertical="center"/>
    </xf>
    <xf numFmtId="0" fontId="39" fillId="2" borderId="37" xfId="4" applyFont="1" applyFill="1" applyBorder="1" applyAlignment="1">
      <alignment horizontal="left" vertical="center"/>
    </xf>
    <xf numFmtId="0" fontId="39" fillId="2" borderId="55" xfId="4" applyFont="1" applyFill="1" applyBorder="1" applyAlignment="1">
      <alignment horizontal="center" vertical="center"/>
    </xf>
    <xf numFmtId="0" fontId="43" fillId="8" borderId="27" xfId="4" applyFont="1" applyFill="1" applyBorder="1" applyAlignment="1">
      <alignment horizontal="left" vertical="center" indent="1"/>
    </xf>
    <xf numFmtId="0" fontId="39" fillId="2" borderId="56" xfId="1" applyFont="1" applyFill="1" applyBorder="1" applyAlignment="1">
      <alignment vertical="center"/>
    </xf>
    <xf numFmtId="164" fontId="39" fillId="0" borderId="51" xfId="2" applyNumberFormat="1" applyFont="1" applyFill="1" applyBorder="1" applyAlignment="1">
      <alignment horizontal="center" vertical="center"/>
    </xf>
    <xf numFmtId="164" fontId="39" fillId="0" borderId="42" xfId="2" applyNumberFormat="1" applyFont="1" applyFill="1" applyBorder="1" applyAlignment="1">
      <alignment horizontal="center" vertical="center"/>
    </xf>
    <xf numFmtId="167" fontId="8" fillId="8" borderId="1" xfId="4" applyNumberFormat="1" applyFont="1" applyFill="1" applyBorder="1" applyAlignment="1">
      <alignment horizontal="center" vertical="center"/>
    </xf>
    <xf numFmtId="9" fontId="40" fillId="2" borderId="1" xfId="1" applyNumberFormat="1" applyFont="1" applyFill="1" applyBorder="1" applyAlignment="1">
      <alignment horizontal="center" vertical="center"/>
    </xf>
    <xf numFmtId="9" fontId="40" fillId="2" borderId="53" xfId="1" applyNumberFormat="1" applyFont="1" applyFill="1" applyBorder="1" applyAlignment="1">
      <alignment horizontal="center" vertical="center"/>
    </xf>
    <xf numFmtId="0" fontId="42" fillId="3" borderId="0" xfId="0" applyFont="1" applyFill="1" applyAlignment="1">
      <alignment horizontal="center" vertical="center"/>
    </xf>
    <xf numFmtId="0" fontId="12" fillId="0" borderId="1" xfId="1" applyFont="1" applyBorder="1" applyAlignment="1">
      <alignment vertical="center"/>
    </xf>
    <xf numFmtId="0" fontId="12" fillId="0" borderId="10" xfId="1" applyFont="1" applyBorder="1" applyAlignment="1">
      <alignment vertical="center"/>
    </xf>
    <xf numFmtId="0" fontId="14" fillId="10" borderId="6" xfId="0" applyFont="1" applyFill="1" applyBorder="1" applyAlignment="1">
      <alignment horizontal="center" vertical="center"/>
    </xf>
    <xf numFmtId="0" fontId="44" fillId="2" borderId="6" xfId="0" applyFont="1" applyFill="1" applyBorder="1" applyAlignment="1">
      <alignment horizontal="center" vertical="center"/>
    </xf>
    <xf numFmtId="0" fontId="47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0" fontId="47" fillId="0" borderId="23" xfId="0" applyFont="1" applyBorder="1" applyAlignment="1">
      <alignment horizontal="center" vertical="center"/>
    </xf>
    <xf numFmtId="0" fontId="47" fillId="3" borderId="0" xfId="0" applyFont="1" applyFill="1" applyAlignment="1">
      <alignment vertical="center"/>
    </xf>
    <xf numFmtId="49" fontId="45" fillId="6" borderId="65" xfId="0" applyNumberFormat="1" applyFont="1" applyFill="1" applyBorder="1" applyAlignment="1">
      <alignment horizontal="center" vertical="center"/>
    </xf>
    <xf numFmtId="49" fontId="45" fillId="6" borderId="13" xfId="0" applyNumberFormat="1" applyFont="1" applyFill="1" applyBorder="1" applyAlignment="1">
      <alignment horizontal="center" vertical="center"/>
    </xf>
    <xf numFmtId="0" fontId="45" fillId="6" borderId="66" xfId="0" applyFont="1" applyFill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9" fontId="14" fillId="10" borderId="1" xfId="1" applyNumberFormat="1" applyFont="1" applyFill="1" applyBorder="1" applyAlignment="1">
      <alignment horizontal="center" vertical="center"/>
    </xf>
    <xf numFmtId="0" fontId="14" fillId="10" borderId="9" xfId="1" applyFont="1" applyFill="1" applyBorder="1" applyAlignment="1">
      <alignment vertical="center"/>
    </xf>
    <xf numFmtId="164" fontId="14" fillId="10" borderId="12" xfId="2" applyNumberFormat="1" applyFont="1" applyFill="1" applyBorder="1" applyAlignment="1">
      <alignment horizontal="center" vertical="center"/>
    </xf>
    <xf numFmtId="164" fontId="14" fillId="10" borderId="5" xfId="2" applyNumberFormat="1" applyFont="1" applyFill="1" applyBorder="1" applyAlignment="1">
      <alignment horizontal="center" vertical="center"/>
    </xf>
    <xf numFmtId="164" fontId="14" fillId="10" borderId="9" xfId="2" applyNumberFormat="1" applyFont="1" applyFill="1" applyBorder="1" applyAlignment="1">
      <alignment horizontal="center" vertical="center"/>
    </xf>
    <xf numFmtId="166" fontId="14" fillId="10" borderId="9" xfId="2" applyNumberFormat="1" applyFont="1" applyFill="1" applyBorder="1" applyAlignment="1">
      <alignment horizontal="center" vertical="center"/>
    </xf>
    <xf numFmtId="166" fontId="14" fillId="10" borderId="5" xfId="2" applyNumberFormat="1" applyFont="1" applyFill="1" applyBorder="1" applyAlignment="1">
      <alignment horizontal="center" vertical="center"/>
    </xf>
    <xf numFmtId="9" fontId="14" fillId="10" borderId="9" xfId="1" applyNumberFormat="1" applyFont="1" applyFill="1" applyBorder="1" applyAlignment="1">
      <alignment horizontal="center" vertical="center"/>
    </xf>
    <xf numFmtId="0" fontId="14" fillId="10" borderId="2" xfId="1" applyFont="1" applyFill="1" applyBorder="1" applyAlignment="1">
      <alignment horizontal="left" vertical="center" indent="1"/>
    </xf>
    <xf numFmtId="0" fontId="12" fillId="10" borderId="9" xfId="1" applyFont="1" applyFill="1" applyBorder="1" applyAlignment="1">
      <alignment horizontal="left" vertical="center" indent="1"/>
    </xf>
    <xf numFmtId="0" fontId="17" fillId="0" borderId="0" xfId="1" applyFont="1" applyAlignment="1">
      <alignment vertical="center"/>
    </xf>
    <xf numFmtId="49" fontId="22" fillId="11" borderId="6" xfId="0" applyNumberFormat="1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48" fillId="2" borderId="6" xfId="0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9" fontId="23" fillId="13" borderId="1" xfId="1" applyNumberFormat="1" applyFont="1" applyFill="1" applyBorder="1" applyAlignment="1">
      <alignment horizontal="center" vertical="center"/>
    </xf>
    <xf numFmtId="0" fontId="23" fillId="13" borderId="9" xfId="1" applyFont="1" applyFill="1" applyBorder="1" applyAlignment="1">
      <alignment vertical="center"/>
    </xf>
    <xf numFmtId="164" fontId="23" fillId="13" borderId="12" xfId="2" applyNumberFormat="1" applyFont="1" applyFill="1" applyBorder="1" applyAlignment="1">
      <alignment horizontal="center" vertical="center"/>
    </xf>
    <xf numFmtId="164" fontId="23" fillId="13" borderId="5" xfId="2" applyNumberFormat="1" applyFont="1" applyFill="1" applyBorder="1" applyAlignment="1">
      <alignment horizontal="center" vertical="center"/>
    </xf>
    <xf numFmtId="166" fontId="23" fillId="13" borderId="9" xfId="2" applyNumberFormat="1" applyFont="1" applyFill="1" applyBorder="1" applyAlignment="1">
      <alignment horizontal="center" vertical="center"/>
    </xf>
    <xf numFmtId="166" fontId="23" fillId="13" borderId="5" xfId="2" applyNumberFormat="1" applyFont="1" applyFill="1" applyBorder="1" applyAlignment="1">
      <alignment horizontal="center" vertical="center"/>
    </xf>
    <xf numFmtId="164" fontId="51" fillId="0" borderId="0" xfId="2" applyNumberFormat="1" applyFont="1" applyFill="1" applyBorder="1" applyAlignment="1">
      <alignment horizontal="center" vertical="center"/>
    </xf>
    <xf numFmtId="164" fontId="51" fillId="0" borderId="3" xfId="2" applyNumberFormat="1" applyFont="1" applyFill="1" applyBorder="1" applyAlignment="1">
      <alignment horizontal="center" vertical="center"/>
    </xf>
    <xf numFmtId="0" fontId="51" fillId="0" borderId="23" xfId="0" applyFont="1" applyBorder="1" applyAlignment="1">
      <alignment horizontal="center" vertical="center"/>
    </xf>
    <xf numFmtId="0" fontId="51" fillId="3" borderId="0" xfId="0" applyFont="1" applyFill="1" applyAlignment="1">
      <alignment vertical="center"/>
    </xf>
    <xf numFmtId="166" fontId="51" fillId="0" borderId="1" xfId="2" applyNumberFormat="1" applyFont="1" applyFill="1" applyBorder="1" applyAlignment="1">
      <alignment horizontal="center" vertical="center"/>
    </xf>
    <xf numFmtId="166" fontId="51" fillId="0" borderId="3" xfId="2" applyNumberFormat="1" applyFont="1" applyFill="1" applyBorder="1" applyAlignment="1">
      <alignment horizontal="center" vertical="center"/>
    </xf>
    <xf numFmtId="164" fontId="51" fillId="0" borderId="13" xfId="2" applyNumberFormat="1" applyFont="1" applyFill="1" applyBorder="1" applyAlignment="1">
      <alignment horizontal="center" vertical="center"/>
    </xf>
    <xf numFmtId="164" fontId="51" fillId="0" borderId="8" xfId="2" applyNumberFormat="1" applyFont="1" applyFill="1" applyBorder="1" applyAlignment="1">
      <alignment horizontal="center" vertical="center"/>
    </xf>
    <xf numFmtId="166" fontId="51" fillId="0" borderId="10" xfId="2" applyNumberFormat="1" applyFont="1" applyFill="1" applyBorder="1" applyAlignment="1">
      <alignment horizontal="center" vertical="center"/>
    </xf>
    <xf numFmtId="166" fontId="51" fillId="0" borderId="8" xfId="2" applyNumberFormat="1" applyFont="1" applyFill="1" applyBorder="1" applyAlignment="1">
      <alignment horizontal="center" vertical="center"/>
    </xf>
    <xf numFmtId="0" fontId="51" fillId="0" borderId="1" xfId="1" applyFont="1" applyBorder="1" applyAlignment="1">
      <alignment vertical="center"/>
    </xf>
    <xf numFmtId="0" fontId="51" fillId="0" borderId="10" xfId="1" applyFont="1" applyBorder="1" applyAlignment="1">
      <alignment vertical="center"/>
    </xf>
    <xf numFmtId="0" fontId="23" fillId="13" borderId="2" xfId="1" applyFont="1" applyFill="1" applyBorder="1" applyAlignment="1">
      <alignment horizontal="left" vertical="center" indent="1"/>
    </xf>
    <xf numFmtId="164" fontId="51" fillId="0" borderId="11" xfId="2" applyNumberFormat="1" applyFont="1" applyFill="1" applyBorder="1" applyAlignment="1">
      <alignment horizontal="center" vertical="center"/>
    </xf>
    <xf numFmtId="0" fontId="23" fillId="13" borderId="27" xfId="1" applyFont="1" applyFill="1" applyBorder="1" applyAlignment="1">
      <alignment horizontal="left" vertical="center" indent="1"/>
    </xf>
    <xf numFmtId="9" fontId="23" fillId="13" borderId="47" xfId="1" applyNumberFormat="1" applyFont="1" applyFill="1" applyBorder="1" applyAlignment="1">
      <alignment horizontal="center" vertical="center"/>
    </xf>
    <xf numFmtId="0" fontId="23" fillId="13" borderId="47" xfId="1" applyFont="1" applyFill="1" applyBorder="1" applyAlignment="1">
      <alignment vertical="center"/>
    </xf>
    <xf numFmtId="164" fontId="23" fillId="13" borderId="28" xfId="2" applyNumberFormat="1" applyFont="1" applyFill="1" applyBorder="1" applyAlignment="1">
      <alignment horizontal="center" vertical="center"/>
    </xf>
    <xf numFmtId="164" fontId="23" fillId="13" borderId="48" xfId="2" applyNumberFormat="1" applyFont="1" applyFill="1" applyBorder="1" applyAlignment="1">
      <alignment horizontal="center" vertical="center"/>
    </xf>
    <xf numFmtId="164" fontId="23" fillId="13" borderId="49" xfId="2" applyNumberFormat="1" applyFont="1" applyFill="1" applyBorder="1" applyAlignment="1">
      <alignment horizontal="center" vertical="center"/>
    </xf>
    <xf numFmtId="164" fontId="51" fillId="0" borderId="51" xfId="2" applyNumberFormat="1" applyFont="1" applyFill="1" applyBorder="1" applyAlignment="1">
      <alignment horizontal="center" vertical="center"/>
    </xf>
    <xf numFmtId="0" fontId="51" fillId="0" borderId="53" xfId="1" applyFont="1" applyBorder="1" applyAlignment="1">
      <alignment vertical="center"/>
    </xf>
    <xf numFmtId="164" fontId="51" fillId="0" borderId="39" xfId="2" applyNumberFormat="1" applyFont="1" applyFill="1" applyBorder="1" applyAlignment="1">
      <alignment horizontal="center" vertical="center"/>
    </xf>
    <xf numFmtId="164" fontId="51" fillId="0" borderId="54" xfId="2" applyNumberFormat="1" applyFont="1" applyFill="1" applyBorder="1" applyAlignment="1">
      <alignment horizontal="center" vertical="center"/>
    </xf>
    <xf numFmtId="164" fontId="51" fillId="0" borderId="42" xfId="2" applyNumberFormat="1" applyFont="1" applyFill="1" applyBorder="1" applyAlignment="1">
      <alignment horizontal="center" vertical="center"/>
    </xf>
    <xf numFmtId="0" fontId="51" fillId="3" borderId="0" xfId="0" applyFont="1" applyFill="1" applyAlignment="1">
      <alignment horizontal="center" vertical="center"/>
    </xf>
    <xf numFmtId="0" fontId="51" fillId="0" borderId="22" xfId="0" applyFont="1" applyBorder="1" applyAlignment="1">
      <alignment vertical="center"/>
    </xf>
    <xf numFmtId="0" fontId="51" fillId="0" borderId="32" xfId="1" applyFont="1" applyBorder="1" applyAlignment="1">
      <alignment horizontal="left" vertical="center"/>
    </xf>
    <xf numFmtId="0" fontId="48" fillId="0" borderId="1" xfId="1" applyFont="1" applyBorder="1" applyAlignment="1">
      <alignment horizontal="center" vertical="center"/>
    </xf>
    <xf numFmtId="0" fontId="50" fillId="2" borderId="71" xfId="1" applyFont="1" applyFill="1" applyBorder="1" applyAlignment="1">
      <alignment vertical="center"/>
    </xf>
    <xf numFmtId="0" fontId="52" fillId="2" borderId="53" xfId="1" applyFont="1" applyFill="1" applyBorder="1" applyAlignment="1">
      <alignment horizontal="center" vertical="center"/>
    </xf>
    <xf numFmtId="0" fontId="50" fillId="2" borderId="1" xfId="1" applyFont="1" applyFill="1" applyBorder="1" applyAlignment="1">
      <alignment vertical="center"/>
    </xf>
    <xf numFmtId="0" fontId="52" fillId="2" borderId="1" xfId="1" applyFont="1" applyFill="1" applyBorder="1" applyAlignment="1">
      <alignment horizontal="center" vertical="center"/>
    </xf>
    <xf numFmtId="0" fontId="50" fillId="2" borderId="10" xfId="1" applyFont="1" applyFill="1" applyBorder="1" applyAlignment="1">
      <alignment vertical="center"/>
    </xf>
    <xf numFmtId="0" fontId="52" fillId="2" borderId="10" xfId="1" applyFont="1" applyFill="1" applyBorder="1" applyAlignment="1">
      <alignment horizontal="center" vertical="center"/>
    </xf>
    <xf numFmtId="0" fontId="51" fillId="2" borderId="0" xfId="0" applyFont="1" applyFill="1" applyAlignment="1">
      <alignment vertical="center"/>
    </xf>
    <xf numFmtId="0" fontId="48" fillId="2" borderId="0" xfId="0" applyFont="1" applyFill="1" applyAlignment="1">
      <alignment horizontal="center" vertical="center"/>
    </xf>
    <xf numFmtId="0" fontId="51" fillId="0" borderId="0" xfId="0" applyFont="1" applyAlignment="1">
      <alignment vertical="center"/>
    </xf>
    <xf numFmtId="0" fontId="51" fillId="2" borderId="1" xfId="4" applyFont="1" applyFill="1" applyBorder="1" applyAlignment="1">
      <alignment vertical="center"/>
    </xf>
    <xf numFmtId="0" fontId="51" fillId="2" borderId="1" xfId="1" applyFont="1" applyFill="1" applyBorder="1" applyAlignment="1">
      <alignment vertical="center"/>
    </xf>
    <xf numFmtId="164" fontId="51" fillId="2" borderId="0" xfId="2" applyNumberFormat="1" applyFont="1" applyFill="1" applyBorder="1" applyAlignment="1">
      <alignment horizontal="center" vertical="center"/>
    </xf>
    <xf numFmtId="164" fontId="51" fillId="2" borderId="2" xfId="2" applyNumberFormat="1" applyFont="1" applyFill="1" applyBorder="1" applyAlignment="1">
      <alignment horizontal="center" vertical="center"/>
    </xf>
    <xf numFmtId="164" fontId="51" fillId="2" borderId="3" xfId="2" applyNumberFormat="1" applyFont="1" applyFill="1" applyBorder="1" applyAlignment="1">
      <alignment horizontal="center" vertical="center"/>
    </xf>
    <xf numFmtId="164" fontId="51" fillId="2" borderId="8" xfId="2" applyNumberFormat="1" applyFont="1" applyFill="1" applyBorder="1" applyAlignment="1">
      <alignment horizontal="center" vertical="center"/>
    </xf>
    <xf numFmtId="0" fontId="51" fillId="2" borderId="10" xfId="1" applyFont="1" applyFill="1" applyBorder="1" applyAlignment="1">
      <alignment vertical="center"/>
    </xf>
    <xf numFmtId="164" fontId="51" fillId="2" borderId="13" xfId="2" applyNumberFormat="1" applyFont="1" applyFill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8" fillId="0" borderId="0" xfId="0" applyFont="1" applyAlignment="1">
      <alignment vertical="center"/>
    </xf>
    <xf numFmtId="3" fontId="51" fillId="0" borderId="23" xfId="0" applyNumberFormat="1" applyFont="1" applyBorder="1" applyAlignment="1">
      <alignment horizontal="center" vertical="center"/>
    </xf>
    <xf numFmtId="0" fontId="51" fillId="0" borderId="2" xfId="1" applyFont="1" applyBorder="1" applyAlignment="1">
      <alignment vertical="center"/>
    </xf>
    <xf numFmtId="0" fontId="48" fillId="0" borderId="2" xfId="1" applyFont="1" applyBorder="1" applyAlignment="1">
      <alignment horizontal="center" vertical="center"/>
    </xf>
    <xf numFmtId="164" fontId="51" fillId="0" borderId="2" xfId="2" applyNumberFormat="1" applyFont="1" applyFill="1" applyBorder="1" applyAlignment="1">
      <alignment horizontal="center" vertical="center"/>
    </xf>
    <xf numFmtId="0" fontId="50" fillId="2" borderId="11" xfId="1" applyFont="1" applyFill="1" applyBorder="1" applyAlignment="1">
      <alignment vertical="center"/>
    </xf>
    <xf numFmtId="0" fontId="52" fillId="2" borderId="11" xfId="1" applyFont="1" applyFill="1" applyBorder="1" applyAlignment="1">
      <alignment horizontal="center" vertical="center"/>
    </xf>
    <xf numFmtId="0" fontId="49" fillId="0" borderId="22" xfId="0" applyFont="1" applyBorder="1" applyAlignment="1">
      <alignment vertical="center"/>
    </xf>
    <xf numFmtId="9" fontId="23" fillId="13" borderId="9" xfId="1" applyNumberFormat="1" applyFont="1" applyFill="1" applyBorder="1" applyAlignment="1">
      <alignment horizontal="center" vertical="center"/>
    </xf>
    <xf numFmtId="164" fontId="23" fillId="13" borderId="4" xfId="2" applyNumberFormat="1" applyFont="1" applyFill="1" applyBorder="1" applyAlignment="1">
      <alignment horizontal="center" vertical="center"/>
    </xf>
    <xf numFmtId="0" fontId="49" fillId="0" borderId="0" xfId="0" applyFont="1" applyAlignment="1">
      <alignment vertical="center"/>
    </xf>
    <xf numFmtId="0" fontId="49" fillId="0" borderId="23" xfId="0" applyFont="1" applyBorder="1" applyAlignment="1">
      <alignment horizontal="center" vertical="center"/>
    </xf>
    <xf numFmtId="0" fontId="49" fillId="3" borderId="0" xfId="0" applyFont="1" applyFill="1" applyAlignment="1">
      <alignment vertical="center"/>
    </xf>
    <xf numFmtId="9" fontId="23" fillId="13" borderId="4" xfId="2" applyFont="1" applyFill="1" applyBorder="1" applyAlignment="1">
      <alignment horizontal="center" vertical="center"/>
    </xf>
    <xf numFmtId="3" fontId="49" fillId="0" borderId="23" xfId="0" applyNumberFormat="1" applyFont="1" applyBorder="1" applyAlignment="1">
      <alignment horizontal="center" vertical="center"/>
    </xf>
    <xf numFmtId="9" fontId="23" fillId="13" borderId="4" xfId="1" applyNumberFormat="1" applyFont="1" applyFill="1" applyBorder="1" applyAlignment="1">
      <alignment horizontal="center" vertical="center"/>
    </xf>
    <xf numFmtId="0" fontId="23" fillId="13" borderId="4" xfId="1" applyFont="1" applyFill="1" applyBorder="1" applyAlignment="1">
      <alignment horizontal="left" vertical="center" indent="1"/>
    </xf>
    <xf numFmtId="0" fontId="23" fillId="13" borderId="14" xfId="4" applyFont="1" applyFill="1" applyBorder="1" applyAlignment="1">
      <alignment horizontal="left" vertical="center" indent="1"/>
    </xf>
    <xf numFmtId="0" fontId="23" fillId="13" borderId="14" xfId="1" applyFont="1" applyFill="1" applyBorder="1" applyAlignment="1">
      <alignment horizontal="left" vertical="center" indent="1"/>
    </xf>
    <xf numFmtId="0" fontId="31" fillId="0" borderId="1" xfId="1" applyFont="1" applyBorder="1" applyAlignment="1">
      <alignment vertical="center"/>
    </xf>
    <xf numFmtId="0" fontId="31" fillId="0" borderId="10" xfId="1" applyFont="1" applyBorder="1" applyAlignment="1">
      <alignment vertical="center"/>
    </xf>
    <xf numFmtId="0" fontId="55" fillId="0" borderId="0" xfId="1" applyFont="1" applyAlignment="1">
      <alignment vertical="center"/>
    </xf>
    <xf numFmtId="0" fontId="36" fillId="14" borderId="6" xfId="0" applyFont="1" applyFill="1" applyBorder="1" applyAlignment="1">
      <alignment horizontal="center" vertical="center"/>
    </xf>
    <xf numFmtId="0" fontId="56" fillId="2" borderId="6" xfId="0" applyFont="1" applyFill="1" applyBorder="1" applyAlignment="1">
      <alignment horizontal="center" vertical="center"/>
    </xf>
    <xf numFmtId="49" fontId="36" fillId="14" borderId="6" xfId="0" applyNumberFormat="1" applyFont="1" applyFill="1" applyBorder="1" applyAlignment="1">
      <alignment horizontal="center" vertical="center"/>
    </xf>
    <xf numFmtId="0" fontId="57" fillId="3" borderId="0" xfId="0" applyFont="1" applyFill="1" applyAlignment="1">
      <alignment horizontal="center" vertical="center"/>
    </xf>
    <xf numFmtId="0" fontId="57" fillId="0" borderId="19" xfId="0" applyFont="1" applyBorder="1" applyAlignment="1">
      <alignment vertical="center"/>
    </xf>
    <xf numFmtId="0" fontId="57" fillId="0" borderId="20" xfId="0" applyFont="1" applyBorder="1" applyAlignment="1">
      <alignment vertical="center"/>
    </xf>
    <xf numFmtId="0" fontId="57" fillId="0" borderId="20" xfId="0" applyFont="1" applyBorder="1" applyAlignment="1">
      <alignment horizontal="center" vertical="center"/>
    </xf>
    <xf numFmtId="0" fontId="57" fillId="0" borderId="21" xfId="0" applyFont="1" applyBorder="1" applyAlignment="1">
      <alignment horizontal="center" vertical="center"/>
    </xf>
    <xf numFmtId="0" fontId="57" fillId="3" borderId="0" xfId="0" applyFont="1" applyFill="1" applyAlignment="1">
      <alignment vertical="center"/>
    </xf>
    <xf numFmtId="0" fontId="57" fillId="0" borderId="0" xfId="0" applyFont="1" applyAlignment="1">
      <alignment vertical="center"/>
    </xf>
    <xf numFmtId="0" fontId="57" fillId="0" borderId="0" xfId="0" applyFont="1" applyAlignment="1">
      <alignment horizontal="center" vertical="center"/>
    </xf>
    <xf numFmtId="0" fontId="57" fillId="0" borderId="23" xfId="0" applyFont="1" applyBorder="1" applyAlignment="1">
      <alignment horizontal="center" vertical="center"/>
    </xf>
    <xf numFmtId="0" fontId="59" fillId="2" borderId="16" xfId="0" applyFont="1" applyFill="1" applyBorder="1" applyAlignment="1">
      <alignment horizontal="center" vertical="center"/>
    </xf>
    <xf numFmtId="0" fontId="57" fillId="0" borderId="22" xfId="0" applyFont="1" applyBorder="1" applyAlignment="1">
      <alignment vertical="center"/>
    </xf>
    <xf numFmtId="0" fontId="59" fillId="0" borderId="0" xfId="0" applyFont="1" applyAlignment="1">
      <alignment horizontal="center" vertical="center"/>
    </xf>
    <xf numFmtId="0" fontId="58" fillId="3" borderId="0" xfId="0" applyFont="1" applyFill="1" applyAlignment="1">
      <alignment horizontal="center" vertical="center"/>
    </xf>
    <xf numFmtId="0" fontId="58" fillId="0" borderId="22" xfId="0" applyFont="1" applyBorder="1" applyAlignment="1">
      <alignment vertical="center"/>
    </xf>
    <xf numFmtId="0" fontId="58" fillId="0" borderId="1" xfId="0" applyFont="1" applyBorder="1" applyAlignment="1">
      <alignment vertical="center"/>
    </xf>
    <xf numFmtId="9" fontId="58" fillId="0" borderId="23" xfId="0" applyNumberFormat="1" applyFont="1" applyBorder="1" applyAlignment="1">
      <alignment horizontal="center" vertical="center"/>
    </xf>
    <xf numFmtId="0" fontId="58" fillId="3" borderId="0" xfId="0" applyFont="1" applyFill="1" applyAlignment="1">
      <alignment vertical="center"/>
    </xf>
    <xf numFmtId="0" fontId="60" fillId="3" borderId="0" xfId="0" applyFont="1" applyFill="1" applyAlignment="1">
      <alignment horizontal="center" vertical="center"/>
    </xf>
    <xf numFmtId="0" fontId="60" fillId="0" borderId="22" xfId="0" applyFont="1" applyBorder="1" applyAlignment="1">
      <alignment vertical="center"/>
    </xf>
    <xf numFmtId="0" fontId="60" fillId="0" borderId="23" xfId="0" applyFont="1" applyBorder="1" applyAlignment="1">
      <alignment horizontal="center" vertical="center"/>
    </xf>
    <xf numFmtId="0" fontId="60" fillId="3" borderId="0" xfId="0" applyFont="1" applyFill="1" applyAlignment="1">
      <alignment vertical="center"/>
    </xf>
    <xf numFmtId="165" fontId="57" fillId="3" borderId="0" xfId="0" applyNumberFormat="1" applyFont="1" applyFill="1" applyAlignment="1">
      <alignment vertical="center"/>
    </xf>
    <xf numFmtId="0" fontId="61" fillId="3" borderId="0" xfId="0" applyFont="1" applyFill="1" applyAlignment="1">
      <alignment horizontal="center" vertical="center"/>
    </xf>
    <xf numFmtId="0" fontId="60" fillId="0" borderId="0" xfId="0" applyFont="1" applyAlignment="1">
      <alignment vertical="center"/>
    </xf>
    <xf numFmtId="0" fontId="61" fillId="0" borderId="0" xfId="0" quotePrefix="1" applyFont="1" applyAlignment="1">
      <alignment horizontal="center" vertical="center"/>
    </xf>
    <xf numFmtId="0" fontId="58" fillId="0" borderId="3" xfId="0" applyFont="1" applyBorder="1" applyAlignment="1">
      <alignment vertical="center"/>
    </xf>
    <xf numFmtId="3" fontId="57" fillId="0" borderId="23" xfId="0" applyNumberFormat="1" applyFont="1" applyBorder="1" applyAlignment="1">
      <alignment horizontal="center" vertical="center"/>
    </xf>
    <xf numFmtId="0" fontId="57" fillId="0" borderId="24" xfId="0" applyFont="1" applyBorder="1" applyAlignment="1">
      <alignment vertical="center"/>
    </xf>
    <xf numFmtId="0" fontId="57" fillId="0" borderId="25" xfId="0" applyFont="1" applyBorder="1" applyAlignment="1">
      <alignment vertical="center"/>
    </xf>
    <xf numFmtId="0" fontId="57" fillId="0" borderId="25" xfId="0" applyFont="1" applyBorder="1" applyAlignment="1">
      <alignment horizontal="center" vertical="center"/>
    </xf>
    <xf numFmtId="0" fontId="57" fillId="0" borderId="26" xfId="0" applyFont="1" applyBorder="1" applyAlignment="1">
      <alignment horizontal="center" vertical="center"/>
    </xf>
    <xf numFmtId="10" fontId="57" fillId="3" borderId="0" xfId="0" applyNumberFormat="1" applyFont="1" applyFill="1" applyAlignment="1">
      <alignment vertical="center"/>
    </xf>
    <xf numFmtId="9" fontId="57" fillId="3" borderId="0" xfId="2" applyFont="1" applyFill="1" applyAlignment="1">
      <alignment vertical="center"/>
    </xf>
    <xf numFmtId="0" fontId="58" fillId="16" borderId="16" xfId="0" applyFont="1" applyFill="1" applyBorder="1" applyAlignment="1">
      <alignment horizontal="center" vertical="center"/>
    </xf>
    <xf numFmtId="3" fontId="61" fillId="0" borderId="0" xfId="4" applyNumberFormat="1" applyFont="1" applyAlignment="1">
      <alignment vertical="center"/>
    </xf>
    <xf numFmtId="49" fontId="58" fillId="6" borderId="37" xfId="0" applyNumberFormat="1" applyFont="1" applyFill="1" applyBorder="1" applyAlignment="1">
      <alignment horizontal="center" vertical="center"/>
    </xf>
    <xf numFmtId="49" fontId="58" fillId="6" borderId="38" xfId="0" applyNumberFormat="1" applyFont="1" applyFill="1" applyBorder="1" applyAlignment="1">
      <alignment horizontal="center" vertical="center"/>
    </xf>
    <xf numFmtId="9" fontId="58" fillId="16" borderId="1" xfId="4" applyNumberFormat="1" applyFont="1" applyFill="1" applyBorder="1" applyAlignment="1">
      <alignment horizontal="center" vertical="center"/>
    </xf>
    <xf numFmtId="0" fontId="58" fillId="16" borderId="1" xfId="4" applyFont="1" applyFill="1" applyBorder="1" applyAlignment="1">
      <alignment vertical="center"/>
    </xf>
    <xf numFmtId="164" fontId="58" fillId="16" borderId="0" xfId="2" applyNumberFormat="1" applyFont="1" applyFill="1" applyBorder="1" applyAlignment="1">
      <alignment horizontal="center" vertical="center"/>
    </xf>
    <xf numFmtId="164" fontId="58" fillId="16" borderId="3" xfId="2" applyNumberFormat="1" applyFont="1" applyFill="1" applyBorder="1" applyAlignment="1">
      <alignment horizontal="center" vertical="center"/>
    </xf>
    <xf numFmtId="166" fontId="58" fillId="16" borderId="9" xfId="2" applyNumberFormat="1" applyFont="1" applyFill="1" applyBorder="1" applyAlignment="1">
      <alignment horizontal="center" vertical="center"/>
    </xf>
    <xf numFmtId="166" fontId="58" fillId="16" borderId="12" xfId="2" applyNumberFormat="1" applyFont="1" applyFill="1" applyBorder="1" applyAlignment="1">
      <alignment horizontal="center" vertical="center"/>
    </xf>
    <xf numFmtId="0" fontId="60" fillId="0" borderId="1" xfId="1" applyFont="1" applyBorder="1" applyAlignment="1">
      <alignment horizontal="center" vertical="center"/>
    </xf>
    <xf numFmtId="0" fontId="60" fillId="0" borderId="1" xfId="1" applyFont="1" applyBorder="1" applyAlignment="1">
      <alignment vertical="center"/>
    </xf>
    <xf numFmtId="164" fontId="60" fillId="0" borderId="0" xfId="2" applyNumberFormat="1" applyFont="1" applyFill="1" applyBorder="1" applyAlignment="1">
      <alignment horizontal="center" vertical="center"/>
    </xf>
    <xf numFmtId="164" fontId="60" fillId="0" borderId="3" xfId="2" applyNumberFormat="1" applyFont="1" applyFill="1" applyBorder="1" applyAlignment="1">
      <alignment horizontal="center" vertical="center"/>
    </xf>
    <xf numFmtId="166" fontId="60" fillId="0" borderId="1" xfId="2" applyNumberFormat="1" applyFont="1" applyFill="1" applyBorder="1" applyAlignment="1">
      <alignment horizontal="center" vertical="center"/>
    </xf>
    <xf numFmtId="166" fontId="60" fillId="0" borderId="0" xfId="2" applyNumberFormat="1" applyFont="1" applyFill="1" applyBorder="1" applyAlignment="1">
      <alignment horizontal="center" vertical="center"/>
    </xf>
    <xf numFmtId="0" fontId="60" fillId="0" borderId="10" xfId="1" applyFont="1" applyBorder="1" applyAlignment="1">
      <alignment vertical="center"/>
    </xf>
    <xf numFmtId="164" fontId="60" fillId="0" borderId="13" xfId="2" applyNumberFormat="1" applyFont="1" applyFill="1" applyBorder="1" applyAlignment="1">
      <alignment horizontal="center" vertical="center"/>
    </xf>
    <xf numFmtId="164" fontId="60" fillId="0" borderId="8" xfId="2" applyNumberFormat="1" applyFont="1" applyFill="1" applyBorder="1" applyAlignment="1">
      <alignment horizontal="center" vertical="center"/>
    </xf>
    <xf numFmtId="166" fontId="60" fillId="0" borderId="10" xfId="2" applyNumberFormat="1" applyFont="1" applyFill="1" applyBorder="1" applyAlignment="1">
      <alignment horizontal="center" vertical="center"/>
    </xf>
    <xf numFmtId="166" fontId="60" fillId="0" borderId="13" xfId="2" applyNumberFormat="1" applyFont="1" applyFill="1" applyBorder="1" applyAlignment="1">
      <alignment horizontal="center" vertical="center"/>
    </xf>
    <xf numFmtId="0" fontId="57" fillId="0" borderId="0" xfId="1" applyFont="1" applyAlignment="1">
      <alignment vertical="center"/>
    </xf>
    <xf numFmtId="0" fontId="63" fillId="0" borderId="0" xfId="1" applyFont="1" applyAlignment="1">
      <alignment horizontal="center" vertical="center"/>
    </xf>
    <xf numFmtId="164" fontId="64" fillId="0" borderId="0" xfId="2" applyNumberFormat="1" applyFont="1" applyFill="1" applyBorder="1" applyAlignment="1">
      <alignment horizontal="center" vertical="center"/>
    </xf>
    <xf numFmtId="0" fontId="63" fillId="0" borderId="0" xfId="1" applyFont="1" applyAlignment="1">
      <alignment vertical="center"/>
    </xf>
    <xf numFmtId="0" fontId="58" fillId="16" borderId="27" xfId="4" applyFont="1" applyFill="1" applyBorder="1" applyAlignment="1">
      <alignment horizontal="left" vertical="center" indent="1"/>
    </xf>
    <xf numFmtId="9" fontId="58" fillId="16" borderId="47" xfId="4" applyNumberFormat="1" applyFont="1" applyFill="1" applyBorder="1" applyAlignment="1">
      <alignment horizontal="center" vertical="center"/>
    </xf>
    <xf numFmtId="0" fontId="58" fillId="16" borderId="47" xfId="4" applyFont="1" applyFill="1" applyBorder="1" applyAlignment="1">
      <alignment vertical="center"/>
    </xf>
    <xf numFmtId="164" fontId="58" fillId="16" borderId="28" xfId="2" applyNumberFormat="1" applyFont="1" applyFill="1" applyBorder="1" applyAlignment="1">
      <alignment horizontal="center" vertical="center"/>
    </xf>
    <xf numFmtId="164" fontId="58" fillId="16" borderId="48" xfId="2" applyNumberFormat="1" applyFont="1" applyFill="1" applyBorder="1" applyAlignment="1">
      <alignment horizontal="center" vertical="center"/>
    </xf>
    <xf numFmtId="0" fontId="60" fillId="0" borderId="50" xfId="1" applyFont="1" applyBorder="1" applyAlignment="1">
      <alignment horizontal="left" vertical="center"/>
    </xf>
    <xf numFmtId="0" fontId="60" fillId="2" borderId="1" xfId="1" applyFont="1" applyFill="1" applyBorder="1" applyAlignment="1">
      <alignment vertical="center"/>
    </xf>
    <xf numFmtId="164" fontId="60" fillId="2" borderId="0" xfId="2" applyNumberFormat="1" applyFont="1" applyFill="1" applyBorder="1" applyAlignment="1">
      <alignment horizontal="center" vertical="center"/>
    </xf>
    <xf numFmtId="164" fontId="60" fillId="2" borderId="3" xfId="2" applyNumberFormat="1" applyFont="1" applyFill="1" applyBorder="1" applyAlignment="1">
      <alignment horizontal="center" vertical="center"/>
    </xf>
    <xf numFmtId="0" fontId="62" fillId="2" borderId="52" xfId="1" applyFont="1" applyFill="1" applyBorder="1" applyAlignment="1">
      <alignment vertical="center"/>
    </xf>
    <xf numFmtId="0" fontId="62" fillId="2" borderId="53" xfId="1" applyFont="1" applyFill="1" applyBorder="1" applyAlignment="1">
      <alignment horizontal="center" vertical="center"/>
    </xf>
    <xf numFmtId="0" fontId="60" fillId="2" borderId="53" xfId="1" applyFont="1" applyFill="1" applyBorder="1" applyAlignment="1">
      <alignment vertical="center"/>
    </xf>
    <xf numFmtId="164" fontId="60" fillId="2" borderId="39" xfId="2" applyNumberFormat="1" applyFont="1" applyFill="1" applyBorder="1" applyAlignment="1">
      <alignment horizontal="center" vertical="center"/>
    </xf>
    <xf numFmtId="164" fontId="60" fillId="2" borderId="54" xfId="2" applyNumberFormat="1" applyFont="1" applyFill="1" applyBorder="1" applyAlignment="1">
      <alignment horizontal="center" vertical="center"/>
    </xf>
    <xf numFmtId="0" fontId="62" fillId="2" borderId="57" xfId="1" applyFont="1" applyFill="1" applyBorder="1" applyAlignment="1">
      <alignment vertical="center"/>
    </xf>
    <xf numFmtId="9" fontId="62" fillId="2" borderId="1" xfId="1" applyNumberFormat="1" applyFont="1" applyFill="1" applyBorder="1" applyAlignment="1">
      <alignment horizontal="center" vertical="center"/>
    </xf>
    <xf numFmtId="164" fontId="60" fillId="2" borderId="2" xfId="2" applyNumberFormat="1" applyFont="1" applyFill="1" applyBorder="1" applyAlignment="1">
      <alignment horizontal="center" vertical="center"/>
    </xf>
    <xf numFmtId="164" fontId="60" fillId="2" borderId="51" xfId="2" applyNumberFormat="1" applyFont="1" applyFill="1" applyBorder="1" applyAlignment="1">
      <alignment horizontal="center" vertical="center"/>
    </xf>
    <xf numFmtId="9" fontId="62" fillId="2" borderId="53" xfId="1" applyNumberFormat="1" applyFont="1" applyFill="1" applyBorder="1" applyAlignment="1">
      <alignment horizontal="center" vertical="center"/>
    </xf>
    <xf numFmtId="164" fontId="60" fillId="2" borderId="55" xfId="2" applyNumberFormat="1" applyFont="1" applyFill="1" applyBorder="1" applyAlignment="1">
      <alignment horizontal="center" vertical="center"/>
    </xf>
    <xf numFmtId="164" fontId="60" fillId="2" borderId="42" xfId="2" applyNumberFormat="1" applyFont="1" applyFill="1" applyBorder="1" applyAlignment="1">
      <alignment horizontal="center" vertical="center"/>
    </xf>
    <xf numFmtId="0" fontId="60" fillId="0" borderId="1" xfId="1" applyFont="1" applyBorder="1" applyAlignment="1">
      <alignment horizontal="left" vertical="center"/>
    </xf>
    <xf numFmtId="164" fontId="60" fillId="0" borderId="2" xfId="2" applyNumberFormat="1" applyFont="1" applyFill="1" applyBorder="1" applyAlignment="1">
      <alignment horizontal="center" vertical="center"/>
    </xf>
    <xf numFmtId="0" fontId="60" fillId="0" borderId="10" xfId="1" applyFont="1" applyBorder="1" applyAlignment="1">
      <alignment horizontal="left" vertical="center"/>
    </xf>
    <xf numFmtId="0" fontId="60" fillId="0" borderId="10" xfId="1" applyFont="1" applyBorder="1" applyAlignment="1">
      <alignment horizontal="center" vertical="center"/>
    </xf>
    <xf numFmtId="164" fontId="60" fillId="0" borderId="11" xfId="2" applyNumberFormat="1" applyFont="1" applyFill="1" applyBorder="1" applyAlignment="1">
      <alignment horizontal="center" vertical="center"/>
    </xf>
    <xf numFmtId="0" fontId="60" fillId="0" borderId="0" xfId="1" applyFont="1" applyAlignment="1">
      <alignment horizontal="left" vertical="center"/>
    </xf>
    <xf numFmtId="0" fontId="60" fillId="2" borderId="57" xfId="1" applyFont="1" applyFill="1" applyBorder="1" applyAlignment="1">
      <alignment vertical="center"/>
    </xf>
    <xf numFmtId="0" fontId="62" fillId="2" borderId="1" xfId="1" applyFont="1" applyFill="1" applyBorder="1" applyAlignment="1">
      <alignment horizontal="center" vertical="center"/>
    </xf>
    <xf numFmtId="0" fontId="60" fillId="2" borderId="37" xfId="4" applyFont="1" applyFill="1" applyBorder="1" applyAlignment="1">
      <alignment horizontal="left" vertical="center"/>
    </xf>
    <xf numFmtId="0" fontId="60" fillId="2" borderId="55" xfId="4" applyFont="1" applyFill="1" applyBorder="1" applyAlignment="1">
      <alignment horizontal="center" vertical="center"/>
    </xf>
    <xf numFmtId="0" fontId="58" fillId="6" borderId="16" xfId="0" applyFont="1" applyFill="1" applyBorder="1" applyAlignment="1">
      <alignment horizontal="center" vertical="center"/>
    </xf>
    <xf numFmtId="0" fontId="66" fillId="3" borderId="0" xfId="0" applyFont="1" applyFill="1" applyAlignment="1">
      <alignment horizontal="center" vertical="center"/>
    </xf>
    <xf numFmtId="0" fontId="66" fillId="0" borderId="22" xfId="0" applyFont="1" applyBorder="1" applyAlignment="1">
      <alignment vertical="center"/>
    </xf>
    <xf numFmtId="9" fontId="58" fillId="17" borderId="1" xfId="4" applyNumberFormat="1" applyFont="1" applyFill="1" applyBorder="1" applyAlignment="1">
      <alignment horizontal="center" vertical="center"/>
    </xf>
    <xf numFmtId="0" fontId="58" fillId="17" borderId="1" xfId="4" applyFont="1" applyFill="1" applyBorder="1" applyAlignment="1">
      <alignment vertical="center"/>
    </xf>
    <xf numFmtId="164" fontId="58" fillId="17" borderId="0" xfId="2" applyNumberFormat="1" applyFont="1" applyFill="1" applyBorder="1" applyAlignment="1">
      <alignment horizontal="center" vertical="center"/>
    </xf>
    <xf numFmtId="164" fontId="58" fillId="17" borderId="3" xfId="2" applyNumberFormat="1" applyFont="1" applyFill="1" applyBorder="1" applyAlignment="1">
      <alignment horizontal="center" vertical="center"/>
    </xf>
    <xf numFmtId="0" fontId="58" fillId="17" borderId="27" xfId="4" applyFont="1" applyFill="1" applyBorder="1" applyAlignment="1">
      <alignment horizontal="left" vertical="center" indent="1"/>
    </xf>
    <xf numFmtId="9" fontId="58" fillId="17" borderId="47" xfId="4" applyNumberFormat="1" applyFont="1" applyFill="1" applyBorder="1" applyAlignment="1">
      <alignment horizontal="center" vertical="center"/>
    </xf>
    <xf numFmtId="0" fontId="58" fillId="17" borderId="47" xfId="4" applyFont="1" applyFill="1" applyBorder="1" applyAlignment="1">
      <alignment vertical="center"/>
    </xf>
    <xf numFmtId="164" fontId="58" fillId="17" borderId="28" xfId="2" applyNumberFormat="1" applyFont="1" applyFill="1" applyBorder="1" applyAlignment="1">
      <alignment horizontal="center" vertical="center"/>
    </xf>
    <xf numFmtId="164" fontId="58" fillId="17" borderId="48" xfId="2" applyNumberFormat="1" applyFont="1" applyFill="1" applyBorder="1" applyAlignment="1">
      <alignment horizontal="center" vertical="center"/>
    </xf>
    <xf numFmtId="164" fontId="58" fillId="17" borderId="49" xfId="2" applyNumberFormat="1" applyFont="1" applyFill="1" applyBorder="1" applyAlignment="1">
      <alignment horizontal="center" vertical="center"/>
    </xf>
    <xf numFmtId="0" fontId="58" fillId="17" borderId="2" xfId="4" applyFont="1" applyFill="1" applyBorder="1" applyAlignment="1">
      <alignment horizontal="left" vertical="center" indent="1"/>
    </xf>
    <xf numFmtId="166" fontId="58" fillId="17" borderId="9" xfId="2" applyNumberFormat="1" applyFont="1" applyFill="1" applyBorder="1" applyAlignment="1">
      <alignment horizontal="center" vertical="center"/>
    </xf>
    <xf numFmtId="166" fontId="58" fillId="17" borderId="12" xfId="2" applyNumberFormat="1" applyFont="1" applyFill="1" applyBorder="1" applyAlignment="1">
      <alignment horizontal="center" vertical="center"/>
    </xf>
    <xf numFmtId="0" fontId="59" fillId="0" borderId="0" xfId="1" applyFont="1" applyAlignment="1">
      <alignment vertical="center"/>
    </xf>
    <xf numFmtId="164" fontId="36" fillId="16" borderId="12" xfId="2" applyNumberFormat="1" applyFont="1" applyFill="1" applyBorder="1" applyAlignment="1">
      <alignment horizontal="center" vertical="center"/>
    </xf>
    <xf numFmtId="164" fontId="36" fillId="16" borderId="5" xfId="2" applyNumberFormat="1" applyFont="1" applyFill="1" applyBorder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23" fillId="13" borderId="27" xfId="4" applyFont="1" applyFill="1" applyBorder="1" applyAlignment="1">
      <alignment horizontal="left" vertical="center" indent="1"/>
    </xf>
    <xf numFmtId="9" fontId="23" fillId="13" borderId="58" xfId="4" applyNumberFormat="1" applyFont="1" applyFill="1" applyBorder="1" applyAlignment="1">
      <alignment horizontal="center" vertical="center"/>
    </xf>
    <xf numFmtId="164" fontId="23" fillId="13" borderId="58" xfId="2" applyNumberFormat="1" applyFont="1" applyFill="1" applyBorder="1" applyAlignment="1">
      <alignment horizontal="center" vertical="center"/>
    </xf>
    <xf numFmtId="0" fontId="50" fillId="2" borderId="57" xfId="1" applyFont="1" applyFill="1" applyBorder="1" applyAlignment="1">
      <alignment vertical="center"/>
    </xf>
    <xf numFmtId="164" fontId="51" fillId="2" borderId="51" xfId="2" applyNumberFormat="1" applyFont="1" applyFill="1" applyBorder="1" applyAlignment="1">
      <alignment horizontal="center" vertical="center"/>
    </xf>
    <xf numFmtId="0" fontId="51" fillId="2" borderId="37" xfId="4" applyFont="1" applyFill="1" applyBorder="1" applyAlignment="1">
      <alignment horizontal="left" vertical="center"/>
    </xf>
    <xf numFmtId="0" fontId="48" fillId="2" borderId="55" xfId="4" applyFont="1" applyFill="1" applyBorder="1" applyAlignment="1">
      <alignment horizontal="center" vertical="center"/>
    </xf>
    <xf numFmtId="0" fontId="51" fillId="2" borderId="53" xfId="1" applyFont="1" applyFill="1" applyBorder="1" applyAlignment="1">
      <alignment vertical="center"/>
    </xf>
    <xf numFmtId="164" fontId="51" fillId="2" borderId="39" xfId="2" applyNumberFormat="1" applyFont="1" applyFill="1" applyBorder="1" applyAlignment="1">
      <alignment horizontal="center" vertical="center"/>
    </xf>
    <xf numFmtId="164" fontId="51" fillId="2" borderId="55" xfId="2" applyNumberFormat="1" applyFont="1" applyFill="1" applyBorder="1" applyAlignment="1">
      <alignment horizontal="center" vertical="center"/>
    </xf>
    <xf numFmtId="164" fontId="51" fillId="2" borderId="42" xfId="2" applyNumberFormat="1" applyFont="1" applyFill="1" applyBorder="1" applyAlignment="1">
      <alignment horizontal="center" vertical="center"/>
    </xf>
    <xf numFmtId="0" fontId="60" fillId="19" borderId="1" xfId="1" applyFont="1" applyFill="1" applyBorder="1" applyAlignment="1">
      <alignment horizontal="center" vertical="center"/>
    </xf>
    <xf numFmtId="0" fontId="60" fillId="19" borderId="1" xfId="1" applyFont="1" applyFill="1" applyBorder="1" applyAlignment="1">
      <alignment vertical="center"/>
    </xf>
    <xf numFmtId="164" fontId="60" fillId="19" borderId="0" xfId="2" applyNumberFormat="1" applyFont="1" applyFill="1" applyBorder="1" applyAlignment="1">
      <alignment horizontal="center" vertical="center"/>
    </xf>
    <xf numFmtId="164" fontId="60" fillId="19" borderId="3" xfId="2" applyNumberFormat="1" applyFont="1" applyFill="1" applyBorder="1" applyAlignment="1">
      <alignment horizontal="center" vertical="center"/>
    </xf>
    <xf numFmtId="0" fontId="60" fillId="19" borderId="1" xfId="0" applyFont="1" applyFill="1" applyBorder="1" applyAlignment="1">
      <alignment vertical="center"/>
    </xf>
    <xf numFmtId="164" fontId="60" fillId="19" borderId="13" xfId="2" applyNumberFormat="1" applyFont="1" applyFill="1" applyBorder="1" applyAlignment="1">
      <alignment horizontal="center" vertical="center"/>
    </xf>
    <xf numFmtId="164" fontId="60" fillId="19" borderId="8" xfId="2" applyNumberFormat="1" applyFont="1" applyFill="1" applyBorder="1" applyAlignment="1">
      <alignment horizontal="center" vertical="center"/>
    </xf>
    <xf numFmtId="164" fontId="34" fillId="2" borderId="0" xfId="2" applyNumberFormat="1" applyFont="1" applyFill="1" applyBorder="1" applyAlignment="1">
      <alignment horizontal="center" vertical="center"/>
    </xf>
    <xf numFmtId="164" fontId="34" fillId="2" borderId="3" xfId="2" applyNumberFormat="1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vertical="center"/>
    </xf>
    <xf numFmtId="164" fontId="34" fillId="2" borderId="13" xfId="2" applyNumberFormat="1" applyFont="1" applyFill="1" applyBorder="1" applyAlignment="1">
      <alignment horizontal="center" vertical="center"/>
    </xf>
    <xf numFmtId="164" fontId="34" fillId="2" borderId="8" xfId="2" applyNumberFormat="1" applyFont="1" applyFill="1" applyBorder="1" applyAlignment="1">
      <alignment horizontal="center" vertical="center"/>
    </xf>
    <xf numFmtId="0" fontId="8" fillId="8" borderId="4" xfId="4" applyFont="1" applyFill="1" applyBorder="1" applyAlignment="1">
      <alignment horizontal="left" vertical="center" indent="1"/>
    </xf>
    <xf numFmtId="9" fontId="8" fillId="8" borderId="9" xfId="4" applyNumberFormat="1" applyFont="1" applyFill="1" applyBorder="1" applyAlignment="1">
      <alignment horizontal="center" vertical="center"/>
    </xf>
    <xf numFmtId="0" fontId="8" fillId="8" borderId="9" xfId="4" applyFont="1" applyFill="1" applyBorder="1" applyAlignment="1">
      <alignment vertical="center"/>
    </xf>
    <xf numFmtId="164" fontId="8" fillId="8" borderId="12" xfId="2" applyNumberFormat="1" applyFont="1" applyFill="1" applyBorder="1" applyAlignment="1">
      <alignment horizontal="center" vertical="center"/>
    </xf>
    <xf numFmtId="0" fontId="39" fillId="2" borderId="11" xfId="4" applyFont="1" applyFill="1" applyBorder="1" applyAlignment="1">
      <alignment horizontal="left" vertical="center"/>
    </xf>
    <xf numFmtId="0" fontId="39" fillId="2" borderId="11" xfId="4" applyFont="1" applyFill="1" applyBorder="1" applyAlignment="1">
      <alignment horizontal="center" vertical="center"/>
    </xf>
    <xf numFmtId="164" fontId="16" fillId="2" borderId="13" xfId="2" applyNumberFormat="1" applyFont="1" applyFill="1" applyBorder="1" applyAlignment="1">
      <alignment horizontal="center" vertical="center"/>
    </xf>
    <xf numFmtId="164" fontId="16" fillId="2" borderId="8" xfId="2" applyNumberFormat="1" applyFont="1" applyFill="1" applyBorder="1" applyAlignment="1">
      <alignment horizontal="center" vertical="center"/>
    </xf>
    <xf numFmtId="164" fontId="16" fillId="2" borderId="0" xfId="2" applyNumberFormat="1" applyFont="1" applyFill="1" applyBorder="1" applyAlignment="1">
      <alignment horizontal="center" vertical="center"/>
    </xf>
    <xf numFmtId="164" fontId="16" fillId="2" borderId="3" xfId="2" applyNumberFormat="1" applyFont="1" applyFill="1" applyBorder="1" applyAlignment="1">
      <alignment horizontal="center" vertical="center"/>
    </xf>
    <xf numFmtId="166" fontId="51" fillId="19" borderId="1" xfId="2" applyNumberFormat="1" applyFont="1" applyFill="1" applyBorder="1" applyAlignment="1">
      <alignment horizontal="center" vertical="center"/>
    </xf>
    <xf numFmtId="166" fontId="51" fillId="19" borderId="10" xfId="2" applyNumberFormat="1" applyFont="1" applyFill="1" applyBorder="1" applyAlignment="1">
      <alignment horizontal="center" vertical="center"/>
    </xf>
    <xf numFmtId="0" fontId="8" fillId="6" borderId="38" xfId="0" applyFont="1" applyFill="1" applyBorder="1" applyAlignment="1">
      <alignment horizontal="center" vertical="center"/>
    </xf>
    <xf numFmtId="0" fontId="23" fillId="13" borderId="1" xfId="1" applyFont="1" applyFill="1" applyBorder="1" applyAlignment="1">
      <alignment vertical="center"/>
    </xf>
    <xf numFmtId="0" fontId="22" fillId="11" borderId="72" xfId="0" applyFont="1" applyFill="1" applyBorder="1" applyAlignment="1">
      <alignment horizontal="center" vertical="center"/>
    </xf>
    <xf numFmtId="0" fontId="36" fillId="14" borderId="72" xfId="0" applyFont="1" applyFill="1" applyBorder="1" applyAlignment="1">
      <alignment horizontal="center" vertical="center"/>
    </xf>
    <xf numFmtId="0" fontId="58" fillId="6" borderId="38" xfId="0" applyFont="1" applyFill="1" applyBorder="1" applyAlignment="1">
      <alignment horizontal="center" vertical="center"/>
    </xf>
    <xf numFmtId="164" fontId="58" fillId="17" borderId="5" xfId="2" applyNumberFormat="1" applyFont="1" applyFill="1" applyBorder="1" applyAlignment="1">
      <alignment horizontal="center" vertical="center"/>
    </xf>
    <xf numFmtId="0" fontId="36" fillId="15" borderId="2" xfId="1" applyFont="1" applyFill="1" applyBorder="1" applyAlignment="1">
      <alignment horizontal="left" vertical="center" indent="1"/>
    </xf>
    <xf numFmtId="9" fontId="36" fillId="15" borderId="1" xfId="1" applyNumberFormat="1" applyFont="1" applyFill="1" applyBorder="1" applyAlignment="1">
      <alignment horizontal="center" vertical="center"/>
    </xf>
    <xf numFmtId="0" fontId="36" fillId="15" borderId="1" xfId="1" applyFont="1" applyFill="1" applyBorder="1" applyAlignment="1">
      <alignment vertical="center"/>
    </xf>
    <xf numFmtId="164" fontId="36" fillId="15" borderId="12" xfId="2" applyNumberFormat="1" applyFont="1" applyFill="1" applyBorder="1" applyAlignment="1">
      <alignment horizontal="center" vertical="center"/>
    </xf>
    <xf numFmtId="164" fontId="36" fillId="15" borderId="5" xfId="2" applyNumberFormat="1" applyFont="1" applyFill="1" applyBorder="1" applyAlignment="1">
      <alignment horizontal="center" vertical="center"/>
    </xf>
    <xf numFmtId="166" fontId="36" fillId="15" borderId="9" xfId="2" applyNumberFormat="1" applyFont="1" applyFill="1" applyBorder="1" applyAlignment="1">
      <alignment horizontal="center" vertical="center"/>
    </xf>
    <xf numFmtId="166" fontId="36" fillId="15" borderId="5" xfId="2" applyNumberFormat="1" applyFont="1" applyFill="1" applyBorder="1" applyAlignment="1">
      <alignment horizontal="center" vertical="center"/>
    </xf>
    <xf numFmtId="0" fontId="36" fillId="15" borderId="9" xfId="1" applyFont="1" applyFill="1" applyBorder="1" applyAlignment="1">
      <alignment vertical="center"/>
    </xf>
    <xf numFmtId="0" fontId="38" fillId="0" borderId="0" xfId="0" applyFont="1" applyAlignment="1">
      <alignment horizontal="center" vertical="center"/>
    </xf>
    <xf numFmtId="0" fontId="37" fillId="0" borderId="2" xfId="0" applyFont="1" applyBorder="1" applyAlignment="1">
      <alignment vertical="center"/>
    </xf>
    <xf numFmtId="0" fontId="38" fillId="0" borderId="2" xfId="0" applyFont="1" applyBorder="1" applyAlignment="1">
      <alignment vertical="center"/>
    </xf>
    <xf numFmtId="0" fontId="37" fillId="0" borderId="0" xfId="0" applyFont="1" applyAlignment="1">
      <alignment vertical="center"/>
    </xf>
    <xf numFmtId="164" fontId="8" fillId="8" borderId="9" xfId="2" applyNumberFormat="1" applyFont="1" applyFill="1" applyBorder="1" applyAlignment="1">
      <alignment horizontal="center" vertical="center"/>
    </xf>
    <xf numFmtId="164" fontId="39" fillId="0" borderId="1" xfId="2" applyNumberFormat="1" applyFont="1" applyFill="1" applyBorder="1" applyAlignment="1">
      <alignment horizontal="center" vertical="center"/>
    </xf>
    <xf numFmtId="164" fontId="39" fillId="0" borderId="10" xfId="2" applyNumberFormat="1" applyFont="1" applyFill="1" applyBorder="1" applyAlignment="1">
      <alignment horizontal="center" vertical="center"/>
    </xf>
    <xf numFmtId="164" fontId="39" fillId="2" borderId="1" xfId="2" applyNumberFormat="1" applyFont="1" applyFill="1" applyBorder="1" applyAlignment="1">
      <alignment horizontal="center" vertical="center"/>
    </xf>
    <xf numFmtId="164" fontId="39" fillId="2" borderId="10" xfId="2" applyNumberFormat="1" applyFont="1" applyFill="1" applyBorder="1" applyAlignment="1">
      <alignment horizontal="center" vertical="center"/>
    </xf>
    <xf numFmtId="164" fontId="39" fillId="2" borderId="53" xfId="2" applyNumberFormat="1" applyFont="1" applyFill="1" applyBorder="1" applyAlignment="1">
      <alignment horizontal="center" vertical="center"/>
    </xf>
    <xf numFmtId="164" fontId="8" fillId="8" borderId="47" xfId="2" applyNumberFormat="1" applyFont="1" applyFill="1" applyBorder="1" applyAlignment="1">
      <alignment horizontal="center" vertical="center"/>
    </xf>
    <xf numFmtId="164" fontId="39" fillId="0" borderId="53" xfId="2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6" fillId="0" borderId="2" xfId="0" applyFont="1" applyBorder="1" applyAlignment="1">
      <alignment vertical="center"/>
    </xf>
    <xf numFmtId="0" fontId="16" fillId="2" borderId="2" xfId="0" applyFont="1" applyFill="1" applyBorder="1" applyAlignment="1">
      <alignment vertical="center"/>
    </xf>
    <xf numFmtId="164" fontId="16" fillId="0" borderId="1" xfId="2" applyNumberFormat="1" applyFont="1" applyFill="1" applyBorder="1" applyAlignment="1">
      <alignment horizontal="center" vertical="center"/>
    </xf>
    <xf numFmtId="164" fontId="16" fillId="0" borderId="10" xfId="2" applyNumberFormat="1" applyFont="1" applyFill="1" applyBorder="1" applyAlignment="1">
      <alignment horizontal="center" vertical="center"/>
    </xf>
    <xf numFmtId="164" fontId="16" fillId="2" borderId="10" xfId="2" applyNumberFormat="1" applyFont="1" applyFill="1" applyBorder="1" applyAlignment="1">
      <alignment horizontal="center" vertical="center"/>
    </xf>
    <xf numFmtId="164" fontId="16" fillId="2" borderId="1" xfId="2" applyNumberFormat="1" applyFont="1" applyFill="1" applyBorder="1" applyAlignment="1">
      <alignment horizontal="center" vertical="center"/>
    </xf>
    <xf numFmtId="10" fontId="49" fillId="0" borderId="2" xfId="0" applyNumberFormat="1" applyFont="1" applyBorder="1" applyAlignment="1">
      <alignment vertical="center"/>
    </xf>
    <xf numFmtId="0" fontId="51" fillId="0" borderId="2" xfId="0" applyFont="1" applyBorder="1" applyAlignment="1">
      <alignment vertical="center"/>
    </xf>
    <xf numFmtId="0" fontId="49" fillId="0" borderId="2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164" fontId="23" fillId="13" borderId="9" xfId="2" applyNumberFormat="1" applyFont="1" applyFill="1" applyBorder="1" applyAlignment="1">
      <alignment horizontal="center" vertical="center"/>
    </xf>
    <xf numFmtId="164" fontId="51" fillId="0" borderId="1" xfId="2" applyNumberFormat="1" applyFont="1" applyFill="1" applyBorder="1" applyAlignment="1">
      <alignment horizontal="center" vertical="center"/>
    </xf>
    <xf numFmtId="164" fontId="51" fillId="0" borderId="10" xfId="2" applyNumberFormat="1" applyFont="1" applyFill="1" applyBorder="1" applyAlignment="1">
      <alignment horizontal="center" vertical="center"/>
    </xf>
    <xf numFmtId="9" fontId="23" fillId="13" borderId="9" xfId="2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164" fontId="51" fillId="2" borderId="1" xfId="2" applyNumberFormat="1" applyFont="1" applyFill="1" applyBorder="1" applyAlignment="1">
      <alignment horizontal="center" vertical="center"/>
    </xf>
    <xf numFmtId="164" fontId="51" fillId="2" borderId="10" xfId="2" applyNumberFormat="1" applyFont="1" applyFill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8" fillId="0" borderId="2" xfId="0" applyFont="1" applyBorder="1" applyAlignment="1">
      <alignment vertical="center"/>
    </xf>
    <xf numFmtId="0" fontId="60" fillId="0" borderId="2" xfId="0" applyFont="1" applyBorder="1" applyAlignment="1">
      <alignment vertical="center"/>
    </xf>
    <xf numFmtId="164" fontId="58" fillId="16" borderId="9" xfId="2" applyNumberFormat="1" applyFont="1" applyFill="1" applyBorder="1" applyAlignment="1">
      <alignment horizontal="center" vertical="center"/>
    </xf>
    <xf numFmtId="164" fontId="60" fillId="0" borderId="1" xfId="2" applyNumberFormat="1" applyFont="1" applyFill="1" applyBorder="1" applyAlignment="1">
      <alignment horizontal="center" vertical="center"/>
    </xf>
    <xf numFmtId="164" fontId="60" fillId="0" borderId="10" xfId="2" applyNumberFormat="1" applyFont="1" applyFill="1" applyBorder="1" applyAlignment="1">
      <alignment horizontal="center" vertical="center"/>
    </xf>
    <xf numFmtId="164" fontId="60" fillId="2" borderId="1" xfId="2" applyNumberFormat="1" applyFont="1" applyFill="1" applyBorder="1" applyAlignment="1">
      <alignment horizontal="center" vertical="center"/>
    </xf>
    <xf numFmtId="164" fontId="60" fillId="2" borderId="53" xfId="2" applyNumberFormat="1" applyFont="1" applyFill="1" applyBorder="1" applyAlignment="1">
      <alignment horizontal="center" vertical="center"/>
    </xf>
    <xf numFmtId="164" fontId="60" fillId="2" borderId="10" xfId="2" applyNumberFormat="1" applyFont="1" applyFill="1" applyBorder="1" applyAlignment="1">
      <alignment horizontal="center" vertical="center"/>
    </xf>
    <xf numFmtId="0" fontId="60" fillId="0" borderId="0" xfId="1" applyFont="1" applyAlignment="1">
      <alignment horizontal="center" vertical="center"/>
    </xf>
    <xf numFmtId="0" fontId="60" fillId="0" borderId="0" xfId="1" applyFont="1" applyAlignment="1">
      <alignment vertical="center"/>
    </xf>
    <xf numFmtId="0" fontId="57" fillId="0" borderId="75" xfId="0" applyFont="1" applyBorder="1" applyAlignment="1">
      <alignment vertical="center"/>
    </xf>
    <xf numFmtId="0" fontId="57" fillId="0" borderId="73" xfId="0" applyFont="1" applyBorder="1" applyAlignment="1">
      <alignment vertical="center"/>
    </xf>
    <xf numFmtId="0" fontId="66" fillId="17" borderId="27" xfId="4" applyFont="1" applyFill="1" applyBorder="1" applyAlignment="1">
      <alignment horizontal="left" vertical="center" indent="1"/>
    </xf>
    <xf numFmtId="0" fontId="60" fillId="19" borderId="32" xfId="1" applyFont="1" applyFill="1" applyBorder="1" applyAlignment="1">
      <alignment horizontal="left" vertical="center"/>
    </xf>
    <xf numFmtId="164" fontId="60" fillId="19" borderId="51" xfId="2" applyNumberFormat="1" applyFont="1" applyFill="1" applyBorder="1" applyAlignment="1">
      <alignment horizontal="center" vertical="center"/>
    </xf>
    <xf numFmtId="0" fontId="62" fillId="19" borderId="71" xfId="1" applyFont="1" applyFill="1" applyBorder="1" applyAlignment="1">
      <alignment vertical="center"/>
    </xf>
    <xf numFmtId="0" fontId="62" fillId="19" borderId="53" xfId="1" applyFont="1" applyFill="1" applyBorder="1" applyAlignment="1">
      <alignment horizontal="center" vertical="center"/>
    </xf>
    <xf numFmtId="0" fontId="60" fillId="19" borderId="53" xfId="1" applyFont="1" applyFill="1" applyBorder="1" applyAlignment="1">
      <alignment vertical="center"/>
    </xf>
    <xf numFmtId="164" fontId="60" fillId="19" borderId="39" xfId="2" applyNumberFormat="1" applyFont="1" applyFill="1" applyBorder="1" applyAlignment="1">
      <alignment horizontal="center" vertical="center"/>
    </xf>
    <xf numFmtId="164" fontId="60" fillId="19" borderId="42" xfId="2" applyNumberFormat="1" applyFont="1" applyFill="1" applyBorder="1" applyAlignment="1">
      <alignment horizontal="center" vertical="center"/>
    </xf>
    <xf numFmtId="0" fontId="57" fillId="0" borderId="74" xfId="0" applyFont="1" applyBorder="1" applyAlignment="1">
      <alignment vertical="center"/>
    </xf>
    <xf numFmtId="0" fontId="57" fillId="0" borderId="75" xfId="0" applyFont="1" applyBorder="1" applyAlignment="1">
      <alignment horizontal="center" vertical="center"/>
    </xf>
    <xf numFmtId="0" fontId="57" fillId="0" borderId="34" xfId="0" applyFont="1" applyBorder="1" applyAlignment="1">
      <alignment vertical="center"/>
    </xf>
    <xf numFmtId="0" fontId="57" fillId="0" borderId="73" xfId="0" applyFont="1" applyBorder="1" applyAlignment="1">
      <alignment horizontal="center" vertical="center"/>
    </xf>
    <xf numFmtId="164" fontId="58" fillId="17" borderId="1" xfId="2" applyNumberFormat="1" applyFont="1" applyFill="1" applyBorder="1" applyAlignment="1">
      <alignment horizontal="center" vertical="center"/>
    </xf>
    <xf numFmtId="164" fontId="60" fillId="19" borderId="1" xfId="2" applyNumberFormat="1" applyFont="1" applyFill="1" applyBorder="1" applyAlignment="1">
      <alignment horizontal="center" vertical="center"/>
    </xf>
    <xf numFmtId="164" fontId="60" fillId="19" borderId="10" xfId="2" applyNumberFormat="1" applyFont="1" applyFill="1" applyBorder="1" applyAlignment="1">
      <alignment horizontal="center" vertical="center"/>
    </xf>
    <xf numFmtId="164" fontId="58" fillId="17" borderId="9" xfId="2" applyNumberFormat="1" applyFont="1" applyFill="1" applyBorder="1" applyAlignment="1">
      <alignment horizontal="center" vertical="center"/>
    </xf>
    <xf numFmtId="164" fontId="58" fillId="17" borderId="47" xfId="2" applyNumberFormat="1" applyFont="1" applyFill="1" applyBorder="1" applyAlignment="1">
      <alignment horizontal="center" vertical="center"/>
    </xf>
    <xf numFmtId="0" fontId="70" fillId="3" borderId="0" xfId="0" applyFont="1" applyFill="1" applyAlignment="1">
      <alignment horizontal="center" vertical="center"/>
    </xf>
    <xf numFmtId="0" fontId="70" fillId="0" borderId="22" xfId="0" applyFont="1" applyBorder="1" applyAlignment="1">
      <alignment vertical="center"/>
    </xf>
    <xf numFmtId="49" fontId="69" fillId="6" borderId="37" xfId="0" applyNumberFormat="1" applyFont="1" applyFill="1" applyBorder="1" applyAlignment="1">
      <alignment horizontal="center" vertical="center"/>
    </xf>
    <xf numFmtId="49" fontId="69" fillId="6" borderId="38" xfId="0" applyNumberFormat="1" applyFont="1" applyFill="1" applyBorder="1" applyAlignment="1">
      <alignment horizontal="center" vertical="center"/>
    </xf>
    <xf numFmtId="0" fontId="69" fillId="6" borderId="77" xfId="0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70" fillId="0" borderId="23" xfId="0" applyFont="1" applyBorder="1" applyAlignment="1">
      <alignment horizontal="center" vertical="center"/>
    </xf>
    <xf numFmtId="0" fontId="70" fillId="3" borderId="0" xfId="0" applyFont="1" applyFill="1" applyAlignment="1">
      <alignment vertical="center"/>
    </xf>
    <xf numFmtId="0" fontId="58" fillId="16" borderId="56" xfId="4" applyFont="1" applyFill="1" applyBorder="1" applyAlignment="1">
      <alignment horizontal="left" vertical="center" indent="1"/>
    </xf>
    <xf numFmtId="164" fontId="58" fillId="16" borderId="51" xfId="2" applyNumberFormat="1" applyFont="1" applyFill="1" applyBorder="1" applyAlignment="1">
      <alignment horizontal="center" vertical="center"/>
    </xf>
    <xf numFmtId="0" fontId="60" fillId="0" borderId="32" xfId="1" applyFont="1" applyBorder="1" applyAlignment="1">
      <alignment horizontal="left" vertical="center"/>
    </xf>
    <xf numFmtId="164" fontId="60" fillId="0" borderId="51" xfId="2" applyNumberFormat="1" applyFont="1" applyFill="1" applyBorder="1" applyAlignment="1">
      <alignment horizontal="center" vertical="center"/>
    </xf>
    <xf numFmtId="0" fontId="62" fillId="0" borderId="71" xfId="1" applyFont="1" applyBorder="1" applyAlignment="1">
      <alignment vertical="center"/>
    </xf>
    <xf numFmtId="0" fontId="62" fillId="0" borderId="53" xfId="1" applyFont="1" applyBorder="1" applyAlignment="1">
      <alignment horizontal="center" vertical="center"/>
    </xf>
    <xf numFmtId="0" fontId="60" fillId="0" borderId="53" xfId="1" applyFont="1" applyBorder="1" applyAlignment="1">
      <alignment vertical="center"/>
    </xf>
    <xf numFmtId="164" fontId="60" fillId="0" borderId="39" xfId="2" applyNumberFormat="1" applyFont="1" applyFill="1" applyBorder="1" applyAlignment="1">
      <alignment horizontal="center" vertical="center"/>
    </xf>
    <xf numFmtId="164" fontId="60" fillId="0" borderId="42" xfId="2" applyNumberFormat="1" applyFont="1" applyFill="1" applyBorder="1" applyAlignment="1">
      <alignment horizontal="center" vertical="center"/>
    </xf>
    <xf numFmtId="0" fontId="60" fillId="0" borderId="50" xfId="1" applyFont="1" applyBorder="1" applyAlignment="1">
      <alignment horizontal="left" vertical="center" indent="1"/>
    </xf>
    <xf numFmtId="0" fontId="73" fillId="3" borderId="0" xfId="0" applyFont="1" applyFill="1" applyAlignment="1">
      <alignment horizontal="center" vertical="center"/>
    </xf>
    <xf numFmtId="0" fontId="73" fillId="0" borderId="19" xfId="0" applyFont="1" applyBorder="1" applyAlignment="1">
      <alignment vertical="center"/>
    </xf>
    <xf numFmtId="0" fontId="74" fillId="0" borderId="20" xfId="0" applyFont="1" applyBorder="1" applyAlignment="1">
      <alignment vertical="center"/>
    </xf>
    <xf numFmtId="0" fontId="74" fillId="0" borderId="20" xfId="0" applyFont="1" applyBorder="1" applyAlignment="1">
      <alignment horizontal="center" vertical="center"/>
    </xf>
    <xf numFmtId="0" fontId="73" fillId="0" borderId="20" xfId="0" applyFont="1" applyBorder="1" applyAlignment="1">
      <alignment vertical="center"/>
    </xf>
    <xf numFmtId="0" fontId="73" fillId="0" borderId="20" xfId="0" applyFont="1" applyBorder="1" applyAlignment="1">
      <alignment horizontal="center" vertical="center"/>
    </xf>
    <xf numFmtId="0" fontId="73" fillId="0" borderId="21" xfId="0" applyFont="1" applyBorder="1" applyAlignment="1">
      <alignment horizontal="center" vertical="center"/>
    </xf>
    <xf numFmtId="0" fontId="73" fillId="3" borderId="0" xfId="0" applyFont="1" applyFill="1" applyAlignment="1">
      <alignment vertical="center"/>
    </xf>
    <xf numFmtId="0" fontId="73" fillId="0" borderId="22" xfId="0" applyFont="1" applyBorder="1" applyAlignment="1">
      <alignment vertical="center"/>
    </xf>
    <xf numFmtId="0" fontId="74" fillId="0" borderId="0" xfId="0" applyFont="1" applyAlignment="1">
      <alignment vertical="center"/>
    </xf>
    <xf numFmtId="0" fontId="74" fillId="0" borderId="0" xfId="0" applyFont="1" applyAlignment="1">
      <alignment horizontal="center" vertical="center"/>
    </xf>
    <xf numFmtId="3" fontId="75" fillId="0" borderId="0" xfId="4" applyNumberFormat="1" applyFont="1" applyAlignment="1">
      <alignment vertical="center"/>
    </xf>
    <xf numFmtId="0" fontId="73" fillId="0" borderId="0" xfId="0" applyFont="1" applyAlignment="1">
      <alignment vertical="center"/>
    </xf>
    <xf numFmtId="0" fontId="73" fillId="0" borderId="0" xfId="0" applyFont="1" applyAlignment="1">
      <alignment horizontal="center" vertical="center"/>
    </xf>
    <xf numFmtId="0" fontId="73" fillId="0" borderId="23" xfId="0" applyFont="1" applyBorder="1" applyAlignment="1">
      <alignment horizontal="center" vertical="center"/>
    </xf>
    <xf numFmtId="0" fontId="76" fillId="2" borderId="6" xfId="0" applyFont="1" applyFill="1" applyBorder="1" applyAlignment="1">
      <alignment horizontal="center" vertical="center"/>
    </xf>
    <xf numFmtId="0" fontId="80" fillId="0" borderId="0" xfId="0" applyFont="1" applyAlignment="1">
      <alignment vertical="center"/>
    </xf>
    <xf numFmtId="0" fontId="80" fillId="0" borderId="0" xfId="0" applyFont="1" applyAlignment="1">
      <alignment horizontal="center" vertical="center"/>
    </xf>
    <xf numFmtId="0" fontId="80" fillId="0" borderId="23" xfId="0" applyFont="1" applyBorder="1" applyAlignment="1">
      <alignment horizontal="center" vertical="center"/>
    </xf>
    <xf numFmtId="0" fontId="80" fillId="3" borderId="0" xfId="0" applyFont="1" applyFill="1" applyAlignment="1">
      <alignment vertical="center"/>
    </xf>
    <xf numFmtId="49" fontId="81" fillId="6" borderId="65" xfId="0" applyNumberFormat="1" applyFont="1" applyFill="1" applyBorder="1" applyAlignment="1">
      <alignment horizontal="center" vertical="center"/>
    </xf>
    <xf numFmtId="49" fontId="81" fillId="6" borderId="13" xfId="0" applyNumberFormat="1" applyFont="1" applyFill="1" applyBorder="1" applyAlignment="1">
      <alignment horizontal="center" vertical="center"/>
    </xf>
    <xf numFmtId="0" fontId="81" fillId="6" borderId="66" xfId="0" applyFont="1" applyFill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73" fillId="0" borderId="2" xfId="0" applyFont="1" applyBorder="1" applyAlignment="1">
      <alignment vertical="center"/>
    </xf>
    <xf numFmtId="9" fontId="73" fillId="0" borderId="23" xfId="0" applyNumberFormat="1" applyFont="1" applyBorder="1" applyAlignment="1">
      <alignment horizontal="center" vertical="center"/>
    </xf>
    <xf numFmtId="0" fontId="73" fillId="0" borderId="1" xfId="1" applyFont="1" applyBorder="1" applyAlignment="1">
      <alignment vertical="center"/>
    </xf>
    <xf numFmtId="164" fontId="82" fillId="0" borderId="0" xfId="2" applyNumberFormat="1" applyFont="1" applyFill="1" applyBorder="1" applyAlignment="1">
      <alignment horizontal="center" vertical="center"/>
    </xf>
    <xf numFmtId="164" fontId="82" fillId="0" borderId="3" xfId="2" applyNumberFormat="1" applyFont="1" applyFill="1" applyBorder="1" applyAlignment="1">
      <alignment horizontal="center" vertical="center"/>
    </xf>
    <xf numFmtId="0" fontId="82" fillId="0" borderId="2" xfId="0" applyFont="1" applyBorder="1" applyAlignment="1">
      <alignment vertical="center"/>
    </xf>
    <xf numFmtId="164" fontId="82" fillId="0" borderId="1" xfId="2" applyNumberFormat="1" applyFont="1" applyFill="1" applyBorder="1" applyAlignment="1">
      <alignment horizontal="center" vertical="center"/>
    </xf>
    <xf numFmtId="166" fontId="82" fillId="2" borderId="1" xfId="2" applyNumberFormat="1" applyFont="1" applyFill="1" applyBorder="1" applyAlignment="1">
      <alignment horizontal="center" vertical="center"/>
    </xf>
    <xf numFmtId="166" fontId="82" fillId="2" borderId="3" xfId="2" applyNumberFormat="1" applyFont="1" applyFill="1" applyBorder="1" applyAlignment="1">
      <alignment horizontal="center" vertical="center"/>
    </xf>
    <xf numFmtId="0" fontId="73" fillId="0" borderId="10" xfId="1" applyFont="1" applyBorder="1" applyAlignment="1">
      <alignment vertical="center"/>
    </xf>
    <xf numFmtId="166" fontId="82" fillId="2" borderId="10" xfId="2" applyNumberFormat="1" applyFont="1" applyFill="1" applyBorder="1" applyAlignment="1">
      <alignment horizontal="center" vertical="center"/>
    </xf>
    <xf numFmtId="166" fontId="82" fillId="2" borderId="8" xfId="2" applyNumberFormat="1" applyFont="1" applyFill="1" applyBorder="1" applyAlignment="1">
      <alignment horizontal="center" vertical="center"/>
    </xf>
    <xf numFmtId="0" fontId="73" fillId="2" borderId="0" xfId="0" applyFont="1" applyFill="1" applyAlignment="1">
      <alignment vertical="center"/>
    </xf>
    <xf numFmtId="0" fontId="73" fillId="2" borderId="0" xfId="0" applyFont="1" applyFill="1" applyAlignment="1">
      <alignment horizontal="center" vertical="center"/>
    </xf>
    <xf numFmtId="3" fontId="73" fillId="0" borderId="23" xfId="0" applyNumberFormat="1" applyFont="1" applyBorder="1" applyAlignment="1">
      <alignment horizontal="center" vertical="center"/>
    </xf>
    <xf numFmtId="0" fontId="73" fillId="0" borderId="2" xfId="1" applyFont="1" applyBorder="1" applyAlignment="1">
      <alignment vertical="center"/>
    </xf>
    <xf numFmtId="0" fontId="73" fillId="0" borderId="2" xfId="1" applyFont="1" applyBorder="1" applyAlignment="1">
      <alignment horizontal="center" vertical="center"/>
    </xf>
    <xf numFmtId="0" fontId="83" fillId="2" borderId="11" xfId="1" applyFont="1" applyFill="1" applyBorder="1" applyAlignment="1">
      <alignment vertical="center"/>
    </xf>
    <xf numFmtId="0" fontId="83" fillId="2" borderId="11" xfId="1" applyFont="1" applyFill="1" applyBorder="1" applyAlignment="1">
      <alignment horizontal="center" vertical="center"/>
    </xf>
    <xf numFmtId="164" fontId="82" fillId="2" borderId="13" xfId="2" applyNumberFormat="1" applyFont="1" applyFill="1" applyBorder="1" applyAlignment="1">
      <alignment horizontal="center" vertical="center"/>
    </xf>
    <xf numFmtId="164" fontId="82" fillId="2" borderId="8" xfId="2" applyNumberFormat="1" applyFont="1" applyFill="1" applyBorder="1" applyAlignment="1">
      <alignment horizontal="center" vertical="center"/>
    </xf>
    <xf numFmtId="0" fontId="82" fillId="2" borderId="2" xfId="0" applyFont="1" applyFill="1" applyBorder="1" applyAlignment="1">
      <alignment vertical="center"/>
    </xf>
    <xf numFmtId="164" fontId="82" fillId="2" borderId="10" xfId="2" applyNumberFormat="1" applyFont="1" applyFill="1" applyBorder="1" applyAlignment="1">
      <alignment horizontal="center" vertical="center"/>
    </xf>
    <xf numFmtId="0" fontId="83" fillId="0" borderId="11" xfId="1" applyFont="1" applyBorder="1" applyAlignment="1">
      <alignment vertical="center"/>
    </xf>
    <xf numFmtId="0" fontId="83" fillId="0" borderId="11" xfId="1" applyFont="1" applyBorder="1" applyAlignment="1">
      <alignment horizontal="center" vertical="center"/>
    </xf>
    <xf numFmtId="0" fontId="73" fillId="0" borderId="24" xfId="0" applyFont="1" applyBorder="1" applyAlignment="1">
      <alignment vertical="center"/>
    </xf>
    <xf numFmtId="0" fontId="74" fillId="0" borderId="25" xfId="0" applyFont="1" applyBorder="1" applyAlignment="1">
      <alignment vertical="center"/>
    </xf>
    <xf numFmtId="0" fontId="74" fillId="0" borderId="25" xfId="0" applyFont="1" applyBorder="1" applyAlignment="1">
      <alignment horizontal="center" vertical="center"/>
    </xf>
    <xf numFmtId="0" fontId="73" fillId="0" borderId="25" xfId="0" applyFont="1" applyBorder="1" applyAlignment="1">
      <alignment vertical="center"/>
    </xf>
    <xf numFmtId="0" fontId="73" fillId="0" borderId="25" xfId="0" applyFont="1" applyBorder="1" applyAlignment="1">
      <alignment horizontal="center" vertical="center"/>
    </xf>
    <xf numFmtId="0" fontId="73" fillId="0" borderId="26" xfId="0" applyFont="1" applyBorder="1" applyAlignment="1">
      <alignment horizontal="center" vertical="center"/>
    </xf>
    <xf numFmtId="0" fontId="74" fillId="3" borderId="0" xfId="0" applyFont="1" applyFill="1" applyAlignment="1">
      <alignment vertical="center"/>
    </xf>
    <xf numFmtId="0" fontId="74" fillId="3" borderId="0" xfId="0" applyFont="1" applyFill="1" applyAlignment="1">
      <alignment horizontal="center" vertical="center"/>
    </xf>
    <xf numFmtId="10" fontId="73" fillId="3" borderId="0" xfId="0" applyNumberFormat="1" applyFont="1" applyFill="1" applyAlignment="1">
      <alignment vertical="center"/>
    </xf>
    <xf numFmtId="9" fontId="73" fillId="3" borderId="0" xfId="2" applyFont="1" applyFill="1" applyAlignment="1">
      <alignment vertical="center"/>
    </xf>
    <xf numFmtId="0" fontId="84" fillId="20" borderId="2" xfId="1" applyFont="1" applyFill="1" applyBorder="1" applyAlignment="1">
      <alignment horizontal="left" vertical="center" indent="1"/>
    </xf>
    <xf numFmtId="9" fontId="84" fillId="20" borderId="1" xfId="1" applyNumberFormat="1" applyFont="1" applyFill="1" applyBorder="1" applyAlignment="1">
      <alignment horizontal="center" vertical="center"/>
    </xf>
    <xf numFmtId="0" fontId="84" fillId="20" borderId="9" xfId="1" applyFont="1" applyFill="1" applyBorder="1" applyAlignment="1">
      <alignment vertical="center"/>
    </xf>
    <xf numFmtId="164" fontId="84" fillId="20" borderId="12" xfId="2" applyNumberFormat="1" applyFont="1" applyFill="1" applyBorder="1" applyAlignment="1">
      <alignment horizontal="center" vertical="center"/>
    </xf>
    <xf numFmtId="164" fontId="84" fillId="20" borderId="5" xfId="2" applyNumberFormat="1" applyFont="1" applyFill="1" applyBorder="1" applyAlignment="1">
      <alignment horizontal="center" vertical="center"/>
    </xf>
    <xf numFmtId="164" fontId="84" fillId="20" borderId="9" xfId="2" applyNumberFormat="1" applyFont="1" applyFill="1" applyBorder="1" applyAlignment="1">
      <alignment horizontal="center" vertical="center"/>
    </xf>
    <xf numFmtId="166" fontId="84" fillId="20" borderId="9" xfId="2" applyNumberFormat="1" applyFont="1" applyFill="1" applyBorder="1" applyAlignment="1">
      <alignment horizontal="center" vertical="center"/>
    </xf>
    <xf numFmtId="166" fontId="84" fillId="20" borderId="5" xfId="2" applyNumberFormat="1" applyFont="1" applyFill="1" applyBorder="1" applyAlignment="1">
      <alignment horizontal="center" vertical="center"/>
    </xf>
    <xf numFmtId="0" fontId="84" fillId="20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8" fillId="6" borderId="5" xfId="4" applyFont="1" applyFill="1" applyBorder="1" applyAlignment="1">
      <alignment horizontal="center" vertical="center" wrapText="1"/>
    </xf>
    <xf numFmtId="0" fontId="8" fillId="6" borderId="3" xfId="4" applyFont="1" applyFill="1" applyBorder="1" applyAlignment="1">
      <alignment horizontal="center" vertical="center" wrapText="1"/>
    </xf>
    <xf numFmtId="0" fontId="8" fillId="6" borderId="43" xfId="4" applyFont="1" applyFill="1" applyBorder="1" applyAlignment="1">
      <alignment horizontal="center" vertical="center" wrapText="1"/>
    </xf>
    <xf numFmtId="0" fontId="8" fillId="6" borderId="45" xfId="4" applyFont="1" applyFill="1" applyBorder="1" applyAlignment="1">
      <alignment horizontal="center" vertical="center" wrapText="1"/>
    </xf>
    <xf numFmtId="0" fontId="8" fillId="6" borderId="44" xfId="4" applyFont="1" applyFill="1" applyBorder="1" applyAlignment="1">
      <alignment horizontal="center" vertical="center" wrapText="1"/>
    </xf>
    <xf numFmtId="0" fontId="8" fillId="6" borderId="46" xfId="4" applyFont="1" applyFill="1" applyBorder="1" applyAlignment="1">
      <alignment horizontal="center" vertical="center" wrapText="1"/>
    </xf>
    <xf numFmtId="3" fontId="10" fillId="0" borderId="0" xfId="4" applyNumberFormat="1" applyFont="1" applyAlignment="1">
      <alignment horizontal="center" vertical="center"/>
    </xf>
    <xf numFmtId="0" fontId="8" fillId="9" borderId="29" xfId="4" applyFont="1" applyFill="1" applyBorder="1" applyAlignment="1">
      <alignment horizontal="center" vertical="center"/>
    </xf>
    <xf numFmtId="0" fontId="8" fillId="9" borderId="31" xfId="4" applyFont="1" applyFill="1" applyBorder="1" applyAlignment="1">
      <alignment horizontal="center" vertical="center"/>
    </xf>
    <xf numFmtId="0" fontId="8" fillId="8" borderId="29" xfId="4" applyFont="1" applyFill="1" applyBorder="1" applyAlignment="1">
      <alignment horizontal="center" vertical="center"/>
    </xf>
    <xf numFmtId="0" fontId="8" fillId="8" borderId="30" xfId="4" applyFont="1" applyFill="1" applyBorder="1" applyAlignment="1">
      <alignment horizontal="center" vertical="center"/>
    </xf>
    <xf numFmtId="0" fontId="8" fillId="6" borderId="34" xfId="4" applyFont="1" applyFill="1" applyBorder="1" applyAlignment="1">
      <alignment horizontal="center" vertical="center" wrapText="1"/>
    </xf>
    <xf numFmtId="0" fontId="8" fillId="6" borderId="40" xfId="4" applyFont="1" applyFill="1" applyBorder="1" applyAlignment="1">
      <alignment horizontal="center" vertical="center" wrapText="1"/>
    </xf>
    <xf numFmtId="0" fontId="8" fillId="6" borderId="35" xfId="4" applyFont="1" applyFill="1" applyBorder="1" applyAlignment="1">
      <alignment horizontal="center" vertical="center" wrapText="1"/>
    </xf>
    <xf numFmtId="0" fontId="8" fillId="6" borderId="41" xfId="4" applyFont="1" applyFill="1" applyBorder="1" applyAlignment="1">
      <alignment horizontal="center" vertical="center" wrapText="1"/>
    </xf>
    <xf numFmtId="0" fontId="8" fillId="6" borderId="36" xfId="4" applyFont="1" applyFill="1" applyBorder="1" applyAlignment="1">
      <alignment horizontal="center" vertical="center" wrapText="1"/>
    </xf>
    <xf numFmtId="0" fontId="8" fillId="6" borderId="42" xfId="4" applyFont="1" applyFill="1" applyBorder="1" applyAlignment="1">
      <alignment horizontal="center" vertical="center" wrapText="1"/>
    </xf>
    <xf numFmtId="0" fontId="21" fillId="6" borderId="27" xfId="0" applyFont="1" applyFill="1" applyBorder="1" applyAlignment="1">
      <alignment horizontal="center" vertical="center"/>
    </xf>
    <xf numFmtId="0" fontId="21" fillId="6" borderId="28" xfId="0" applyFont="1" applyFill="1" applyBorder="1" applyAlignment="1">
      <alignment horizontal="center" vertical="center"/>
    </xf>
    <xf numFmtId="0" fontId="21" fillId="6" borderId="32" xfId="0" applyFont="1" applyFill="1" applyBorder="1" applyAlignment="1">
      <alignment horizontal="center" vertical="center"/>
    </xf>
    <xf numFmtId="0" fontId="21" fillId="6" borderId="33" xfId="0" applyFont="1" applyFill="1" applyBorder="1" applyAlignment="1">
      <alignment horizontal="center" vertical="center"/>
    </xf>
    <xf numFmtId="0" fontId="8" fillId="6" borderId="9" xfId="4" applyFont="1" applyFill="1" applyBorder="1" applyAlignment="1">
      <alignment horizontal="center" vertical="center" wrapText="1"/>
    </xf>
    <xf numFmtId="0" fontId="8" fillId="6" borderId="10" xfId="4" applyFont="1" applyFill="1" applyBorder="1" applyAlignment="1">
      <alignment horizontal="center" vertical="center" wrapText="1"/>
    </xf>
    <xf numFmtId="0" fontId="58" fillId="6" borderId="43" xfId="4" applyFont="1" applyFill="1" applyBorder="1" applyAlignment="1">
      <alignment horizontal="center" vertical="center" wrapText="1"/>
    </xf>
    <xf numFmtId="0" fontId="58" fillId="6" borderId="45" xfId="4" applyFont="1" applyFill="1" applyBorder="1" applyAlignment="1">
      <alignment horizontal="center" vertical="center" wrapText="1"/>
    </xf>
    <xf numFmtId="0" fontId="58" fillId="6" borderId="44" xfId="4" applyFont="1" applyFill="1" applyBorder="1" applyAlignment="1">
      <alignment horizontal="center" vertical="center" wrapText="1"/>
    </xf>
    <xf numFmtId="0" fontId="58" fillId="6" borderId="46" xfId="4" applyFont="1" applyFill="1" applyBorder="1" applyAlignment="1">
      <alignment horizontal="center" vertical="center" wrapText="1"/>
    </xf>
    <xf numFmtId="0" fontId="58" fillId="6" borderId="5" xfId="4" applyFont="1" applyFill="1" applyBorder="1" applyAlignment="1">
      <alignment horizontal="center" vertical="center" wrapText="1"/>
    </xf>
    <xf numFmtId="0" fontId="58" fillId="6" borderId="3" xfId="4" applyFont="1" applyFill="1" applyBorder="1" applyAlignment="1">
      <alignment horizontal="center" vertical="center" wrapText="1"/>
    </xf>
    <xf numFmtId="0" fontId="57" fillId="0" borderId="0" xfId="0" applyFont="1" applyAlignment="1">
      <alignment horizontal="center" vertical="center" wrapText="1"/>
    </xf>
    <xf numFmtId="3" fontId="65" fillId="0" borderId="0" xfId="4" applyNumberFormat="1" applyFont="1" applyAlignment="1">
      <alignment horizontal="center" vertical="center"/>
    </xf>
    <xf numFmtId="0" fontId="58" fillId="6" borderId="27" xfId="0" applyFont="1" applyFill="1" applyBorder="1" applyAlignment="1">
      <alignment horizontal="center" vertical="center"/>
    </xf>
    <xf numFmtId="0" fontId="58" fillId="6" borderId="28" xfId="0" applyFont="1" applyFill="1" applyBorder="1" applyAlignment="1">
      <alignment horizontal="center" vertical="center"/>
    </xf>
    <xf numFmtId="0" fontId="58" fillId="6" borderId="32" xfId="0" applyFont="1" applyFill="1" applyBorder="1" applyAlignment="1">
      <alignment horizontal="center" vertical="center"/>
    </xf>
    <xf numFmtId="0" fontId="58" fillId="6" borderId="33" xfId="0" applyFont="1" applyFill="1" applyBorder="1" applyAlignment="1">
      <alignment horizontal="center" vertical="center"/>
    </xf>
    <xf numFmtId="0" fontId="61" fillId="16" borderId="29" xfId="4" applyFont="1" applyFill="1" applyBorder="1" applyAlignment="1">
      <alignment horizontal="center" vertical="center"/>
    </xf>
    <xf numFmtId="0" fontId="61" fillId="16" borderId="31" xfId="4" applyFont="1" applyFill="1" applyBorder="1" applyAlignment="1">
      <alignment horizontal="center" vertical="center"/>
    </xf>
    <xf numFmtId="0" fontId="61" fillId="9" borderId="30" xfId="4" applyFont="1" applyFill="1" applyBorder="1" applyAlignment="1">
      <alignment horizontal="center" vertical="center"/>
    </xf>
    <xf numFmtId="0" fontId="61" fillId="9" borderId="31" xfId="4" applyFont="1" applyFill="1" applyBorder="1" applyAlignment="1">
      <alignment horizontal="center" vertical="center"/>
    </xf>
    <xf numFmtId="0" fontId="58" fillId="6" borderId="34" xfId="4" applyFont="1" applyFill="1" applyBorder="1" applyAlignment="1">
      <alignment horizontal="center" vertical="center" wrapText="1"/>
    </xf>
    <xf numFmtId="0" fontId="58" fillId="6" borderId="40" xfId="4" applyFont="1" applyFill="1" applyBorder="1" applyAlignment="1">
      <alignment horizontal="center" vertical="center" wrapText="1"/>
    </xf>
    <xf numFmtId="0" fontId="58" fillId="6" borderId="36" xfId="4" applyFont="1" applyFill="1" applyBorder="1" applyAlignment="1">
      <alignment horizontal="center" vertical="center" wrapText="1"/>
    </xf>
    <xf numFmtId="0" fontId="58" fillId="6" borderId="42" xfId="4" applyFont="1" applyFill="1" applyBorder="1" applyAlignment="1">
      <alignment horizontal="center" vertical="center" wrapText="1"/>
    </xf>
    <xf numFmtId="0" fontId="58" fillId="6" borderId="35" xfId="4" applyFont="1" applyFill="1" applyBorder="1" applyAlignment="1">
      <alignment horizontal="center" vertical="center" wrapText="1"/>
    </xf>
    <xf numFmtId="0" fontId="58" fillId="6" borderId="41" xfId="4" applyFont="1" applyFill="1" applyBorder="1" applyAlignment="1">
      <alignment horizontal="center" vertical="center" wrapText="1"/>
    </xf>
    <xf numFmtId="0" fontId="69" fillId="6" borderId="9" xfId="4" applyFont="1" applyFill="1" applyBorder="1" applyAlignment="1">
      <alignment horizontal="center" vertical="center" wrapText="1"/>
    </xf>
    <xf numFmtId="0" fontId="69" fillId="6" borderId="10" xfId="4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23" fillId="11" borderId="9" xfId="4" applyFont="1" applyFill="1" applyBorder="1" applyAlignment="1">
      <alignment horizontal="center" vertical="center" wrapText="1"/>
    </xf>
    <xf numFmtId="0" fontId="23" fillId="11" borderId="10" xfId="4" applyFont="1" applyFill="1" applyBorder="1" applyAlignment="1">
      <alignment horizontal="center" vertical="center" wrapText="1"/>
    </xf>
    <xf numFmtId="0" fontId="23" fillId="11" borderId="4" xfId="4" applyFont="1" applyFill="1" applyBorder="1" applyAlignment="1">
      <alignment horizontal="center" vertical="center" wrapText="1"/>
    </xf>
    <xf numFmtId="0" fontId="23" fillId="11" borderId="11" xfId="4" applyFont="1" applyFill="1" applyBorder="1" applyAlignment="1">
      <alignment horizontal="center" vertical="center" wrapText="1"/>
    </xf>
    <xf numFmtId="0" fontId="22" fillId="11" borderId="9" xfId="4" applyFont="1" applyFill="1" applyBorder="1" applyAlignment="1">
      <alignment horizontal="center" vertical="center" wrapText="1"/>
    </xf>
    <xf numFmtId="0" fontId="22" fillId="11" borderId="10" xfId="4" applyFont="1" applyFill="1" applyBorder="1" applyAlignment="1">
      <alignment horizontal="center" vertical="center" wrapText="1"/>
    </xf>
    <xf numFmtId="3" fontId="54" fillId="0" borderId="0" xfId="4" applyNumberFormat="1" applyFont="1" applyAlignment="1">
      <alignment horizontal="center" vertical="center"/>
    </xf>
    <xf numFmtId="0" fontId="22" fillId="11" borderId="4" xfId="0" applyFont="1" applyFill="1" applyBorder="1" applyAlignment="1">
      <alignment horizontal="center" vertical="center"/>
    </xf>
    <xf numFmtId="0" fontId="22" fillId="11" borderId="12" xfId="0" applyFont="1" applyFill="1" applyBorder="1" applyAlignment="1">
      <alignment horizontal="center" vertical="center"/>
    </xf>
    <xf numFmtId="0" fontId="22" fillId="11" borderId="5" xfId="0" applyFont="1" applyFill="1" applyBorder="1" applyAlignment="1">
      <alignment horizontal="center" vertical="center"/>
    </xf>
    <xf numFmtId="0" fontId="22" fillId="11" borderId="11" xfId="0" applyFont="1" applyFill="1" applyBorder="1" applyAlignment="1">
      <alignment horizontal="center" vertical="center"/>
    </xf>
    <xf numFmtId="0" fontId="22" fillId="11" borderId="13" xfId="0" applyFont="1" applyFill="1" applyBorder="1" applyAlignment="1">
      <alignment horizontal="center" vertical="center"/>
    </xf>
    <xf numFmtId="0" fontId="22" fillId="11" borderId="3" xfId="0" applyFont="1" applyFill="1" applyBorder="1" applyAlignment="1">
      <alignment horizontal="center" vertical="center"/>
    </xf>
    <xf numFmtId="0" fontId="22" fillId="12" borderId="6" xfId="4" applyFont="1" applyFill="1" applyBorder="1" applyAlignment="1">
      <alignment horizontal="center" vertical="center"/>
    </xf>
    <xf numFmtId="0" fontId="22" fillId="12" borderId="15" xfId="4" applyFont="1" applyFill="1" applyBorder="1" applyAlignment="1">
      <alignment horizontal="center" vertical="center"/>
    </xf>
    <xf numFmtId="0" fontId="22" fillId="4" borderId="69" xfId="4" applyFont="1" applyFill="1" applyBorder="1" applyAlignment="1">
      <alignment horizontal="center" vertical="center"/>
    </xf>
    <xf numFmtId="0" fontId="22" fillId="4" borderId="70" xfId="4" applyFont="1" applyFill="1" applyBorder="1" applyAlignment="1">
      <alignment horizontal="center" vertical="center"/>
    </xf>
    <xf numFmtId="0" fontId="22" fillId="11" borderId="12" xfId="4" applyFont="1" applyFill="1" applyBorder="1" applyAlignment="1">
      <alignment horizontal="center" vertical="center" wrapText="1"/>
    </xf>
    <xf numFmtId="0" fontId="22" fillId="11" borderId="0" xfId="4" applyFont="1" applyFill="1" applyAlignment="1">
      <alignment horizontal="center" vertical="center" wrapText="1"/>
    </xf>
    <xf numFmtId="0" fontId="22" fillId="11" borderId="2" xfId="4" applyFont="1" applyFill="1" applyBorder="1" applyAlignment="1">
      <alignment horizontal="center" vertical="center" wrapText="1"/>
    </xf>
    <xf numFmtId="0" fontId="22" fillId="11" borderId="1" xfId="4" applyFont="1" applyFill="1" applyBorder="1" applyAlignment="1">
      <alignment horizontal="center" vertical="center" wrapText="1"/>
    </xf>
    <xf numFmtId="0" fontId="45" fillId="6" borderId="43" xfId="4" applyFont="1" applyFill="1" applyBorder="1" applyAlignment="1">
      <alignment horizontal="center" vertical="center" wrapText="1"/>
    </xf>
    <xf numFmtId="0" fontId="45" fillId="6" borderId="45" xfId="4" applyFont="1" applyFill="1" applyBorder="1" applyAlignment="1">
      <alignment horizontal="center" vertical="center" wrapText="1"/>
    </xf>
    <xf numFmtId="0" fontId="45" fillId="6" borderId="12" xfId="4" applyFont="1" applyFill="1" applyBorder="1" applyAlignment="1">
      <alignment horizontal="center" vertical="center" wrapText="1"/>
    </xf>
    <xf numFmtId="0" fontId="45" fillId="6" borderId="0" xfId="4" applyFont="1" applyFill="1" applyAlignment="1">
      <alignment horizontal="center" vertical="center" wrapText="1"/>
    </xf>
    <xf numFmtId="0" fontId="45" fillId="6" borderId="64" xfId="4" applyFont="1" applyFill="1" applyBorder="1" applyAlignment="1">
      <alignment horizontal="center" vertical="center" wrapText="1"/>
    </xf>
    <xf numFmtId="0" fontId="45" fillId="6" borderId="68" xfId="4" applyFont="1" applyFill="1" applyBorder="1" applyAlignment="1">
      <alignment horizontal="center" vertical="center" wrapText="1"/>
    </xf>
    <xf numFmtId="0" fontId="45" fillId="6" borderId="9" xfId="4" applyFont="1" applyFill="1" applyBorder="1" applyAlignment="1">
      <alignment horizontal="center" vertical="center" wrapText="1"/>
    </xf>
    <xf numFmtId="0" fontId="45" fillId="6" borderId="10" xfId="4" applyFont="1" applyFill="1" applyBorder="1" applyAlignment="1">
      <alignment horizontal="center" vertical="center" wrapText="1"/>
    </xf>
    <xf numFmtId="3" fontId="53" fillId="0" borderId="0" xfId="4" applyNumberFormat="1" applyFont="1" applyAlignment="1">
      <alignment horizontal="center" vertical="center"/>
    </xf>
    <xf numFmtId="0" fontId="68" fillId="6" borderId="4" xfId="0" applyFont="1" applyFill="1" applyBorder="1" applyAlignment="1">
      <alignment horizontal="center" vertical="center"/>
    </xf>
    <xf numFmtId="0" fontId="68" fillId="6" borderId="12" xfId="0" applyFont="1" applyFill="1" applyBorder="1" applyAlignment="1">
      <alignment horizontal="center" vertical="center"/>
    </xf>
    <xf numFmtId="0" fontId="68" fillId="6" borderId="17" xfId="0" applyFont="1" applyFill="1" applyBorder="1" applyAlignment="1">
      <alignment horizontal="center" vertical="center"/>
    </xf>
    <xf numFmtId="0" fontId="68" fillId="6" borderId="33" xfId="0" applyFont="1" applyFill="1" applyBorder="1" applyAlignment="1">
      <alignment horizontal="center" vertical="center"/>
    </xf>
    <xf numFmtId="0" fontId="46" fillId="10" borderId="59" xfId="4" applyFont="1" applyFill="1" applyBorder="1" applyAlignment="1">
      <alignment horizontal="center" vertical="center"/>
    </xf>
    <xf numFmtId="0" fontId="46" fillId="10" borderId="5" xfId="4" applyFont="1" applyFill="1" applyBorder="1" applyAlignment="1">
      <alignment horizontal="center" vertical="center"/>
    </xf>
    <xf numFmtId="0" fontId="46" fillId="18" borderId="60" xfId="4" applyFont="1" applyFill="1" applyBorder="1" applyAlignment="1">
      <alignment horizontal="center" vertical="center"/>
    </xf>
    <xf numFmtId="0" fontId="46" fillId="18" borderId="61" xfId="4" applyFont="1" applyFill="1" applyBorder="1" applyAlignment="1">
      <alignment horizontal="center" vertical="center"/>
    </xf>
    <xf numFmtId="0" fontId="45" fillId="6" borderId="34" xfId="4" applyFont="1" applyFill="1" applyBorder="1" applyAlignment="1">
      <alignment horizontal="center" vertical="center" wrapText="1"/>
    </xf>
    <xf numFmtId="0" fontId="45" fillId="6" borderId="46" xfId="4" applyFont="1" applyFill="1" applyBorder="1" applyAlignment="1">
      <alignment horizontal="center" vertical="center" wrapText="1"/>
    </xf>
    <xf numFmtId="0" fontId="45" fillId="6" borderId="62" xfId="4" applyFont="1" applyFill="1" applyBorder="1" applyAlignment="1">
      <alignment horizontal="center" vertical="center" wrapText="1"/>
    </xf>
    <xf numFmtId="0" fontId="45" fillId="6" borderId="67" xfId="4" applyFont="1" applyFill="1" applyBorder="1" applyAlignment="1">
      <alignment horizontal="center" vertical="center" wrapText="1"/>
    </xf>
    <xf numFmtId="0" fontId="45" fillId="6" borderId="63" xfId="4" applyFont="1" applyFill="1" applyBorder="1" applyAlignment="1">
      <alignment horizontal="center" vertical="center" wrapText="1"/>
    </xf>
    <xf numFmtId="0" fontId="66" fillId="17" borderId="29" xfId="4" applyFont="1" applyFill="1" applyBorder="1" applyAlignment="1">
      <alignment horizontal="center" vertical="center"/>
    </xf>
    <xf numFmtId="0" fontId="66" fillId="17" borderId="31" xfId="4" applyFont="1" applyFill="1" applyBorder="1" applyAlignment="1">
      <alignment horizontal="center" vertical="center"/>
    </xf>
    <xf numFmtId="0" fontId="66" fillId="9" borderId="33" xfId="4" applyFont="1" applyFill="1" applyBorder="1" applyAlignment="1">
      <alignment horizontal="center" vertical="center"/>
    </xf>
    <xf numFmtId="0" fontId="66" fillId="9" borderId="80" xfId="4" applyFont="1" applyFill="1" applyBorder="1" applyAlignment="1">
      <alignment horizontal="center" vertical="center"/>
    </xf>
    <xf numFmtId="0" fontId="72" fillId="6" borderId="62" xfId="4" applyFont="1" applyFill="1" applyBorder="1" applyAlignment="1">
      <alignment horizontal="center" vertical="center" wrapText="1"/>
    </xf>
    <xf numFmtId="0" fontId="72" fillId="6" borderId="76" xfId="4" applyFont="1" applyFill="1" applyBorder="1" applyAlignment="1">
      <alignment horizontal="center" vertical="center" wrapText="1"/>
    </xf>
    <xf numFmtId="0" fontId="72" fillId="6" borderId="79" xfId="4" applyFont="1" applyFill="1" applyBorder="1" applyAlignment="1">
      <alignment horizontal="center" vertical="center" wrapText="1"/>
    </xf>
    <xf numFmtId="0" fontId="72" fillId="6" borderId="78" xfId="4" applyFont="1" applyFill="1" applyBorder="1" applyAlignment="1">
      <alignment horizontal="center" vertical="center" wrapText="1"/>
    </xf>
    <xf numFmtId="0" fontId="66" fillId="6" borderId="35" xfId="4" applyFont="1" applyFill="1" applyBorder="1" applyAlignment="1">
      <alignment horizontal="center" vertical="center" wrapText="1"/>
    </xf>
    <xf numFmtId="0" fontId="66" fillId="6" borderId="41" xfId="4" applyFont="1" applyFill="1" applyBorder="1" applyAlignment="1">
      <alignment horizontal="center" vertical="center" wrapText="1"/>
    </xf>
    <xf numFmtId="0" fontId="66" fillId="6" borderId="36" xfId="4" applyFont="1" applyFill="1" applyBorder="1" applyAlignment="1">
      <alignment horizontal="center" vertical="center" wrapText="1"/>
    </xf>
    <xf numFmtId="0" fontId="66" fillId="6" borderId="42" xfId="4" applyFont="1" applyFill="1" applyBorder="1" applyAlignment="1">
      <alignment horizontal="center" vertical="center" wrapText="1"/>
    </xf>
    <xf numFmtId="0" fontId="36" fillId="14" borderId="4" xfId="1" applyFont="1" applyFill="1" applyBorder="1" applyAlignment="1">
      <alignment horizontal="center" vertical="center" wrapText="1"/>
    </xf>
    <xf numFmtId="0" fontId="36" fillId="14" borderId="2" xfId="1" applyFont="1" applyFill="1" applyBorder="1" applyAlignment="1">
      <alignment horizontal="center" vertical="center" wrapText="1"/>
    </xf>
    <xf numFmtId="0" fontId="36" fillId="14" borderId="9" xfId="1" applyFont="1" applyFill="1" applyBorder="1" applyAlignment="1">
      <alignment horizontal="center" vertical="center" wrapText="1"/>
    </xf>
    <xf numFmtId="0" fontId="36" fillId="14" borderId="10" xfId="1" applyFont="1" applyFill="1" applyBorder="1" applyAlignment="1">
      <alignment horizontal="center" vertical="center" wrapText="1"/>
    </xf>
    <xf numFmtId="164" fontId="34" fillId="2" borderId="11" xfId="2" applyNumberFormat="1" applyFont="1" applyFill="1" applyBorder="1" applyAlignment="1">
      <alignment horizontal="center" vertical="center"/>
    </xf>
    <xf numFmtId="164" fontId="34" fillId="2" borderId="8" xfId="2" applyNumberFormat="1" applyFont="1" applyFill="1" applyBorder="1" applyAlignment="1">
      <alignment horizontal="center" vertical="center"/>
    </xf>
    <xf numFmtId="164" fontId="36" fillId="15" borderId="4" xfId="2" applyNumberFormat="1" applyFont="1" applyFill="1" applyBorder="1" applyAlignment="1">
      <alignment horizontal="center" vertical="center"/>
    </xf>
    <xf numFmtId="164" fontId="36" fillId="15" borderId="5" xfId="2" applyNumberFormat="1" applyFont="1" applyFill="1" applyBorder="1" applyAlignment="1">
      <alignment horizontal="center" vertical="center"/>
    </xf>
    <xf numFmtId="164" fontId="34" fillId="2" borderId="2" xfId="2" applyNumberFormat="1" applyFont="1" applyFill="1" applyBorder="1" applyAlignment="1">
      <alignment horizontal="center" vertical="center"/>
    </xf>
    <xf numFmtId="164" fontId="34" fillId="2" borderId="3" xfId="2" applyNumberFormat="1" applyFont="1" applyFill="1" applyBorder="1" applyAlignment="1">
      <alignment horizontal="center" vertical="center"/>
    </xf>
    <xf numFmtId="3" fontId="67" fillId="0" borderId="0" xfId="4" applyNumberFormat="1" applyFont="1" applyAlignment="1">
      <alignment horizontal="center" vertical="center"/>
    </xf>
    <xf numFmtId="0" fontId="36" fillId="14" borderId="4" xfId="0" applyFont="1" applyFill="1" applyBorder="1" applyAlignment="1">
      <alignment horizontal="center" vertical="center"/>
    </xf>
    <xf numFmtId="0" fontId="36" fillId="14" borderId="12" xfId="0" applyFont="1" applyFill="1" applyBorder="1" applyAlignment="1">
      <alignment horizontal="center" vertical="center"/>
    </xf>
    <xf numFmtId="0" fontId="36" fillId="14" borderId="5" xfId="0" applyFont="1" applyFill="1" applyBorder="1" applyAlignment="1">
      <alignment horizontal="center" vertical="center"/>
    </xf>
    <xf numFmtId="0" fontId="36" fillId="14" borderId="11" xfId="0" applyFont="1" applyFill="1" applyBorder="1" applyAlignment="1">
      <alignment horizontal="center" vertical="center"/>
    </xf>
    <xf numFmtId="0" fontId="36" fillId="14" borderId="13" xfId="0" applyFont="1" applyFill="1" applyBorder="1" applyAlignment="1">
      <alignment horizontal="center" vertical="center"/>
    </xf>
    <xf numFmtId="0" fontId="36" fillId="14" borderId="3" xfId="0" applyFont="1" applyFill="1" applyBorder="1" applyAlignment="1">
      <alignment horizontal="center" vertical="center"/>
    </xf>
    <xf numFmtId="0" fontId="36" fillId="15" borderId="6" xfId="1" applyFont="1" applyFill="1" applyBorder="1" applyAlignment="1">
      <alignment horizontal="center" vertical="center"/>
    </xf>
    <xf numFmtId="0" fontId="36" fillId="15" borderId="7" xfId="1" applyFont="1" applyFill="1" applyBorder="1" applyAlignment="1">
      <alignment horizontal="center" vertical="center"/>
    </xf>
    <xf numFmtId="0" fontId="36" fillId="7" borderId="15" xfId="1" applyFont="1" applyFill="1" applyBorder="1" applyAlignment="1">
      <alignment horizontal="center" vertical="center"/>
    </xf>
    <xf numFmtId="0" fontId="36" fillId="7" borderId="7" xfId="1" applyFont="1" applyFill="1" applyBorder="1" applyAlignment="1">
      <alignment horizontal="center" vertical="center"/>
    </xf>
    <xf numFmtId="0" fontId="36" fillId="14" borderId="12" xfId="1" applyFont="1" applyFill="1" applyBorder="1" applyAlignment="1">
      <alignment horizontal="center" vertical="center" wrapText="1"/>
    </xf>
    <xf numFmtId="0" fontId="36" fillId="14" borderId="0" xfId="1" applyFont="1" applyFill="1" applyAlignment="1">
      <alignment horizontal="center" vertical="center" wrapText="1"/>
    </xf>
    <xf numFmtId="0" fontId="36" fillId="14" borderId="5" xfId="1" applyFont="1" applyFill="1" applyBorder="1" applyAlignment="1">
      <alignment horizontal="center" vertical="center" wrapText="1"/>
    </xf>
    <xf numFmtId="0" fontId="36" fillId="14" borderId="11" xfId="1" applyFont="1" applyFill="1" applyBorder="1" applyAlignment="1">
      <alignment horizontal="center" vertical="center" wrapText="1"/>
    </xf>
    <xf numFmtId="0" fontId="36" fillId="14" borderId="8" xfId="1" applyFont="1" applyFill="1" applyBorder="1" applyAlignment="1">
      <alignment horizontal="center" vertical="center" wrapText="1"/>
    </xf>
    <xf numFmtId="0" fontId="81" fillId="6" borderId="43" xfId="4" applyFont="1" applyFill="1" applyBorder="1" applyAlignment="1">
      <alignment horizontal="center" vertical="center" wrapText="1"/>
    </xf>
    <xf numFmtId="0" fontId="81" fillId="6" borderId="45" xfId="4" applyFont="1" applyFill="1" applyBorder="1" applyAlignment="1">
      <alignment horizontal="center" vertical="center" wrapText="1"/>
    </xf>
    <xf numFmtId="0" fontId="81" fillId="6" borderId="12" xfId="4" applyFont="1" applyFill="1" applyBorder="1" applyAlignment="1">
      <alignment horizontal="center" vertical="center" wrapText="1"/>
    </xf>
    <xf numFmtId="0" fontId="81" fillId="6" borderId="0" xfId="4" applyFont="1" applyFill="1" applyAlignment="1">
      <alignment horizontal="center" vertical="center" wrapText="1"/>
    </xf>
    <xf numFmtId="0" fontId="81" fillId="6" borderId="64" xfId="4" applyFont="1" applyFill="1" applyBorder="1" applyAlignment="1">
      <alignment horizontal="center" vertical="center" wrapText="1"/>
    </xf>
    <xf numFmtId="0" fontId="81" fillId="6" borderId="68" xfId="4" applyFont="1" applyFill="1" applyBorder="1" applyAlignment="1">
      <alignment horizontal="center" vertical="center" wrapText="1"/>
    </xf>
    <xf numFmtId="3" fontId="77" fillId="0" borderId="0" xfId="4" applyNumberFormat="1" applyFont="1" applyAlignment="1">
      <alignment horizontal="center" vertical="center"/>
    </xf>
    <xf numFmtId="0" fontId="78" fillId="6" borderId="4" xfId="0" applyFont="1" applyFill="1" applyBorder="1" applyAlignment="1">
      <alignment horizontal="center" vertical="center"/>
    </xf>
    <xf numFmtId="0" fontId="78" fillId="6" borderId="12" xfId="0" applyFont="1" applyFill="1" applyBorder="1" applyAlignment="1">
      <alignment horizontal="center" vertical="center"/>
    </xf>
    <xf numFmtId="0" fontId="78" fillId="6" borderId="17" xfId="0" applyFont="1" applyFill="1" applyBorder="1" applyAlignment="1">
      <alignment horizontal="center" vertical="center"/>
    </xf>
    <xf numFmtId="0" fontId="78" fillId="6" borderId="33" xfId="0" applyFont="1" applyFill="1" applyBorder="1" applyAlignment="1">
      <alignment horizontal="center" vertical="center"/>
    </xf>
    <xf numFmtId="0" fontId="81" fillId="20" borderId="59" xfId="4" applyFont="1" applyFill="1" applyBorder="1" applyAlignment="1">
      <alignment horizontal="center" vertical="center"/>
    </xf>
    <xf numFmtId="0" fontId="81" fillId="20" borderId="5" xfId="4" applyFont="1" applyFill="1" applyBorder="1" applyAlignment="1">
      <alignment horizontal="center" vertical="center"/>
    </xf>
    <xf numFmtId="0" fontId="79" fillId="18" borderId="60" xfId="4" applyFont="1" applyFill="1" applyBorder="1" applyAlignment="1">
      <alignment horizontal="center" vertical="center"/>
    </xf>
    <xf numFmtId="0" fontId="79" fillId="18" borderId="61" xfId="4" applyFont="1" applyFill="1" applyBorder="1" applyAlignment="1">
      <alignment horizontal="center" vertical="center"/>
    </xf>
    <xf numFmtId="0" fontId="81" fillId="6" borderId="34" xfId="4" applyFont="1" applyFill="1" applyBorder="1" applyAlignment="1">
      <alignment horizontal="center" vertical="center" wrapText="1"/>
    </xf>
    <xf numFmtId="0" fontId="81" fillId="6" borderId="46" xfId="4" applyFont="1" applyFill="1" applyBorder="1" applyAlignment="1">
      <alignment horizontal="center" vertical="center" wrapText="1"/>
    </xf>
    <xf numFmtId="0" fontId="81" fillId="6" borderId="62" xfId="4" applyFont="1" applyFill="1" applyBorder="1" applyAlignment="1">
      <alignment horizontal="center" vertical="center" wrapText="1"/>
    </xf>
    <xf numFmtId="0" fontId="81" fillId="6" borderId="67" xfId="4" applyFont="1" applyFill="1" applyBorder="1" applyAlignment="1">
      <alignment horizontal="center" vertical="center" wrapText="1"/>
    </xf>
    <xf numFmtId="0" fontId="81" fillId="6" borderId="63" xfId="4" applyFont="1" applyFill="1" applyBorder="1" applyAlignment="1">
      <alignment horizontal="center" vertical="center" wrapText="1"/>
    </xf>
    <xf numFmtId="0" fontId="81" fillId="6" borderId="9" xfId="4" applyFont="1" applyFill="1" applyBorder="1" applyAlignment="1">
      <alignment horizontal="center" vertical="center" wrapText="1"/>
    </xf>
    <xf numFmtId="0" fontId="81" fillId="6" borderId="10" xfId="4" applyFont="1" applyFill="1" applyBorder="1" applyAlignment="1">
      <alignment horizontal="center" vertical="center" wrapText="1"/>
    </xf>
  </cellXfs>
  <cellStyles count="6">
    <cellStyle name="AutoFormat-Optionen" xfId="1" xr:uid="{00000000-0005-0000-0000-000000000000}"/>
    <cellStyle name="AutoFormat-Optionen 2 2" xfId="4" xr:uid="{00000000-0005-0000-0000-000001000000}"/>
    <cellStyle name="Normal" xfId="0" builtinId="0"/>
    <cellStyle name="Normal 2" xfId="3" xr:uid="{00000000-0005-0000-0000-000003000000}"/>
    <cellStyle name="Porcentaje" xfId="2" builtinId="5"/>
    <cellStyle name="Porcentual 2" xfId="5" xr:uid="{00000000-0005-0000-0000-000005000000}"/>
  </cellStyles>
  <dxfs count="0"/>
  <tableStyles count="0" defaultTableStyle="TableStyleMedium2" defaultPivotStyle="PivotStyleLight16"/>
  <colors>
    <mruColors>
      <color rgb="FF268F52"/>
      <color rgb="FFB39A64"/>
      <color rgb="FFB1A577"/>
      <color rgb="FFFFFFFF"/>
      <color rgb="FFFFD966"/>
      <color rgb="FFACB9CA"/>
      <color rgb="FF3E3E3E"/>
      <color rgb="FF12472D"/>
      <color rgb="FFE2DFD5"/>
      <color rgb="FF8196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2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microsoft.com/office/2007/relationships/hdphoto" Target="../media/hdphoto2.wdp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38101</xdr:colOff>
      <xdr:row>1</xdr:row>
      <xdr:rowOff>38101</xdr:rowOff>
    </xdr:from>
    <xdr:to>
      <xdr:col>2</xdr:col>
      <xdr:colOff>1200151</xdr:colOff>
      <xdr:row>5</xdr:row>
      <xdr:rowOff>2728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A7A8BF-A573-404A-6519-8A2C50B8C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1" y="104776"/>
          <a:ext cx="1162050" cy="774252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714375</xdr:colOff>
      <xdr:row>4</xdr:row>
      <xdr:rowOff>28575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23B6A9E-EEC0-4D33-B8E6-73B149DD7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2375" y="123825"/>
          <a:ext cx="714375" cy="7143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379339</xdr:colOff>
      <xdr:row>1</xdr:row>
      <xdr:rowOff>118858</xdr:rowOff>
    </xdr:from>
    <xdr:to>
      <xdr:col>2</xdr:col>
      <xdr:colOff>685104</xdr:colOff>
      <xdr:row>4</xdr:row>
      <xdr:rowOff>31891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249466-E824-90A3-9B64-573AB17DF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8643" y="185119"/>
          <a:ext cx="686765" cy="60877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20706</xdr:colOff>
      <xdr:row>1</xdr:row>
      <xdr:rowOff>188243</xdr:rowOff>
    </xdr:from>
    <xdr:to>
      <xdr:col>2</xdr:col>
      <xdr:colOff>582389</xdr:colOff>
      <xdr:row>4</xdr:row>
      <xdr:rowOff>65434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CC9528-E076-7C38-68A1-49A31CA1AD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69" r="2796"/>
        <a:stretch/>
      </xdr:blipFill>
      <xdr:spPr bwMode="auto">
        <a:xfrm>
          <a:off x="3781010" y="254504"/>
          <a:ext cx="561683" cy="56547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161925</xdr:rowOff>
    </xdr:from>
    <xdr:to>
      <xdr:col>2</xdr:col>
      <xdr:colOff>956175</xdr:colOff>
      <xdr:row>3</xdr:row>
      <xdr:rowOff>136725</xdr:rowOff>
    </xdr:to>
    <xdr:pic>
      <xdr:nvPicPr>
        <xdr:cNvPr id="3" name="Imagem 11" descr="Logotipo&#10;&#10;Descrição gerada automaticamente">
          <a:extLst>
            <a:ext uri="{FF2B5EF4-FFF2-40B4-BE49-F238E27FC236}">
              <a16:creationId xmlns:a16="http://schemas.microsoft.com/office/drawing/2014/main" id="{D4B479DB-81BA-46A7-8A76-84237D95E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GlowEdges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285750"/>
          <a:ext cx="1080000" cy="432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167105</xdr:rowOff>
    </xdr:from>
    <xdr:to>
      <xdr:col>2</xdr:col>
      <xdr:colOff>917458</xdr:colOff>
      <xdr:row>4</xdr:row>
      <xdr:rowOff>16079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46E581-7004-42DC-8B5A-5F7B61E9B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8224" y="292434"/>
          <a:ext cx="917458" cy="5257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85726</xdr:colOff>
      <xdr:row>1</xdr:row>
      <xdr:rowOff>180975</xdr:rowOff>
    </xdr:from>
    <xdr:to>
      <xdr:col>2</xdr:col>
      <xdr:colOff>828676</xdr:colOff>
      <xdr:row>3</xdr:row>
      <xdr:rowOff>133350</xdr:rowOff>
    </xdr:to>
    <xdr:grpSp>
      <xdr:nvGrpSpPr>
        <xdr:cNvPr id="3" name="Grupo 7">
          <a:extLst>
            <a:ext uri="{FF2B5EF4-FFF2-40B4-BE49-F238E27FC236}">
              <a16:creationId xmlns:a16="http://schemas.microsoft.com/office/drawing/2014/main" id="{1D3A8123-B188-4E6B-976C-7C0FC5581ACA}"/>
            </a:ext>
          </a:extLst>
        </xdr:cNvPr>
        <xdr:cNvGrpSpPr/>
      </xdr:nvGrpSpPr>
      <xdr:grpSpPr>
        <a:xfrm>
          <a:off x="466726" y="304800"/>
          <a:ext cx="742950" cy="409575"/>
          <a:chOff x="285751" y="285751"/>
          <a:chExt cx="3925283" cy="1333499"/>
        </a:xfrm>
      </xdr:grpSpPr>
      <xdr:pic>
        <xdr:nvPicPr>
          <xdr:cNvPr id="4" name="Imagen 8">
            <a:extLst>
              <a:ext uri="{FF2B5EF4-FFF2-40B4-BE49-F238E27FC236}">
                <a16:creationId xmlns:a16="http://schemas.microsoft.com/office/drawing/2014/main" id="{9DAD2157-5250-29BA-66DF-B85BB9F89FD1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9601" t="23968" r="19792" b="24504"/>
          <a:stretch/>
        </xdr:blipFill>
        <xdr:spPr bwMode="auto">
          <a:xfrm>
            <a:off x="2340428" y="285751"/>
            <a:ext cx="1870606" cy="131989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5" name="Imagen 9">
            <a:extLst>
              <a:ext uri="{FF2B5EF4-FFF2-40B4-BE49-F238E27FC236}">
                <a16:creationId xmlns:a16="http://schemas.microsoft.com/office/drawing/2014/main" id="{D5C07D66-A7D9-D5BD-A3DD-7492614B6C19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ackgroundRemoval t="10000" b="90000" l="10000" r="90000">
                        <a14:foregroundMark x1="37702" y1="34414" x2="36643" y2="47387"/>
                        <a14:foregroundMark x1="36643" y1="47387" x2="36290" y2="48468"/>
                        <a14:foregroundMark x1="58165" y1="34414" x2="55494" y2="51802"/>
                        <a14:foregroundMark x1="69506" y1="34144" x2="65978" y2="50811"/>
                        <a14:foregroundMark x1="35184" y1="53425" x2="31783" y2="67746"/>
                        <a14:foregroundMark x1="45385" y1="50560" x2="43581" y2="67746"/>
                      </a14:backgroundRemoval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26547" t="19990" r="25351" b="18407"/>
          <a:stretch/>
        </xdr:blipFill>
        <xdr:spPr bwMode="auto">
          <a:xfrm>
            <a:off x="285751" y="312964"/>
            <a:ext cx="1833990" cy="130628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MCV/MCV%202026/MCV%20Mensual/5.%20Mayo/MCV%20SM%20Mayo/MCV%202026_AP-OV_5+7.xlsx" TargetMode="External"/><Relationship Id="rId2" Type="http://schemas.openxmlformats.org/officeDocument/2006/relationships/externalLinkPath" Target="https://shiftup.sharepoint.com/sites/SALESMANAGEMENT/Shared%20Documents/General/MCV/MCV%202026/MCV%20Mensual/5.%20Mayo/MCV%20SM%20Mayo/MCV%202026_AP-OV_5+7.xlsx" TargetMode="External"/><Relationship Id="rId1" Type="http://schemas.openxmlformats.org/officeDocument/2006/relationships/externalLinkPath" Target="/sites/SALESMANAGEMENT/Shared%20Documents/General/MCV/MCV%202026/MCV%20Mensual/5.%20Mayo/MCV%20SM%20Mayo/MCV%202026_AP-OV_5+7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5.%20Mayo/Lista%20de%20Descuentos%20B2B%20Mayo%202026.xlsx" TargetMode="External"/><Relationship Id="rId1" Type="http://schemas.openxmlformats.org/officeDocument/2006/relationships/externalLinkPath" Target="/sites/SALESMANAGEMENT/Shared%20Documents/General/ACCIONES%20COMERCIALES/LISTAS%20DE%20PRECIO/2026/5.%20Mayo/Lista%20de%20Descuentos%20B2B%20Mayo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MCV/MCV%202026/MCV%20Mensual/5.%20Mayo/MCV%20SM%20Mayo/MCV%202026_JEEP%20-%20RAM_5+7.xlsx" TargetMode="External"/><Relationship Id="rId2" Type="http://schemas.openxmlformats.org/officeDocument/2006/relationships/externalLinkPath" Target="https://shiftup.sharepoint.com/sites/SALESMANAGEMENT/Shared%20Documents/General/MCV/MCV%202026/MCV%20Mensual/5.%20Mayo/MCV%20SM%20Mayo/MCV%202026_JEEP%20-%20RAM_5+7.xlsx" TargetMode="External"/><Relationship Id="rId1" Type="http://schemas.openxmlformats.org/officeDocument/2006/relationships/externalLinkPath" Target="/sites/SALESMANAGEMENT/Shared%20Documents/General/MCV/MCV%202026/MCV%20Mensual/5.%20Mayo/MCV%20SM%20Mayo/MCV%202026_JEEP%20-%20RAM_5+7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MCV/MCV%202026/MCV%20Mensual/5.%20Mayo/MCV%20SM%20Mayo/MCV%202026_AC-FIAT_5+7.xlsx" TargetMode="External"/><Relationship Id="rId2" Type="http://schemas.openxmlformats.org/officeDocument/2006/relationships/externalLinkPath" Target="https://shiftup.sharepoint.com/sites/SALESMANAGEMENT/Shared%20Documents/General/MCV/MCV%202026/MCV%20Mensual/5.%20Mayo/MCV%20SM%20Mayo/MCV%202026_AC-FIAT_5+7.xlsx" TargetMode="External"/><Relationship Id="rId1" Type="http://schemas.openxmlformats.org/officeDocument/2006/relationships/externalLinkPath" Target="/sites/SALESMANAGEMENT/Shared%20Documents/General/MCV/MCV%202026/MCV%20Mensual/5.%20Mayo/MCV%20SM%20Mayo/MCV%202026_AC-FIAT_5+7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MCV/MCV%202026/MCV%20Mensual/5.%20Mayo/MCV%20SM%20Mayo/MCV%202026_LPM_5+7.xlsx" TargetMode="External"/><Relationship Id="rId2" Type="http://schemas.openxmlformats.org/officeDocument/2006/relationships/externalLinkPath" Target="https://shiftup.sharepoint.com/sites/SALESMANAGEMENT/Shared%20Documents/General/MCV/MCV%202026/MCV%20Mensual/5.%20Mayo/MCV%20SM%20Mayo/MCV%202026_LPM_5+7.xlsx" TargetMode="External"/><Relationship Id="rId1" Type="http://schemas.openxmlformats.org/officeDocument/2006/relationships/externalLinkPath" Target="/sites/SALESMANAGEMENT/Shared%20Documents/General/MCV/MCV%202026/MCV%20Mensual/5.%20Mayo/MCV%20SM%20Mayo/MCV%202026_LPM_5+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inculos"/>
      <sheetName val="Resumen"/>
      <sheetName val="Gestión (2)"/>
      <sheetName val="Gestión"/>
      <sheetName val="GCR Canal"/>
      <sheetName val="Verif. negativos"/>
      <sheetName val="GCR"/>
      <sheetName val="Vol. Facturas"/>
      <sheetName val="Vol. Inmat"/>
      <sheetName val="Color Especial"/>
      <sheetName val="Precios"/>
      <sheetName val="Efecto Price"/>
      <sheetName val="Bonos"/>
      <sheetName val="Precio Promo"/>
      <sheetName val="B2B Directo"/>
      <sheetName val="Internos"/>
      <sheetName val="B2B Red"/>
      <sheetName val="Test Car"/>
      <sheetName val="Ayuda Zonales"/>
      <sheetName val="Relación Cliente"/>
      <sheetName val="Acciones Tácticas B2C"/>
      <sheetName val="Acciones Tácticas B2B"/>
      <sheetName val="Prima Perfo"/>
      <sheetName val="Floor Plan"/>
      <sheetName val="Professional"/>
      <sheetName val="Quality"/>
      <sheetName val="Provisión Financiera"/>
      <sheetName val="Fondo Coparticipado"/>
      <sheetName val="Otras Provisiones"/>
      <sheetName val="Ajustes"/>
      <sheetName val="AP Bonif"/>
      <sheetName val="AP NPS"/>
      <sheetName val="OV Bonif"/>
      <sheetName val="OV NPS"/>
    </sheetNames>
    <sheetDataSet>
      <sheetData sheetId="0"/>
      <sheetData sheetId="1"/>
      <sheetData sheetId="2"/>
      <sheetData sheetId="3">
        <row r="7">
          <cell r="D7" t="str">
            <v>EDS</v>
          </cell>
          <cell r="E7" t="str">
            <v>CD</v>
          </cell>
          <cell r="F7" t="str">
            <v>CÓDIGO GESTIÓN</v>
          </cell>
          <cell r="G7" t="str">
            <v>SOURCING</v>
          </cell>
          <cell r="H7" t="str">
            <v>MG FIJO</v>
          </cell>
        </row>
        <row r="8">
          <cell r="D8" t="str">
            <v>208 MCA Style Puretech 100</v>
          </cell>
          <cell r="E8" t="str">
            <v>208 MCA Style Gasolina 100hp MT</v>
          </cell>
          <cell r="F8" t="str">
            <v>1PP2A5HL6KJR2P</v>
          </cell>
          <cell r="G8" t="str">
            <v>Zeebrugge</v>
          </cell>
          <cell r="H8">
            <v>0.09</v>
          </cell>
        </row>
        <row r="9">
          <cell r="D9" t="str">
            <v>208 MCA Style Puretech 75</v>
          </cell>
          <cell r="E9" t="str">
            <v>208 MCA Style Puretech 75 MT5</v>
          </cell>
          <cell r="F9" t="str">
            <v>1PP2A5HJUJJR2P</v>
          </cell>
          <cell r="G9" t="str">
            <v>Zeebrugge</v>
          </cell>
          <cell r="H9">
            <v>0.09</v>
          </cell>
        </row>
        <row r="10">
          <cell r="D10" t="str">
            <v>208 MCA Style Diesel</v>
          </cell>
          <cell r="E10" t="str">
            <v>208 MCA Style Diesel</v>
          </cell>
          <cell r="F10" t="str">
            <v>208 MCA Style Diesel</v>
          </cell>
          <cell r="G10" t="str">
            <v>Zeebrugge</v>
          </cell>
          <cell r="H10">
            <v>0.09</v>
          </cell>
        </row>
        <row r="11">
          <cell r="D11" t="str">
            <v>208 MCA ALLURE MHEV 136 EDCT6</v>
          </cell>
          <cell r="E11" t="str">
            <v>208 MCA Allure Hybrid 136hp AT</v>
          </cell>
          <cell r="F11" t="str">
            <v>1PP2A5PJHWJRA0</v>
          </cell>
          <cell r="G11" t="str">
            <v>Zeebrugge</v>
          </cell>
          <cell r="H11">
            <v>0.09</v>
          </cell>
        </row>
        <row r="12">
          <cell r="D12" t="str">
            <v>208 MCA STYLE MHEV 100 eDCT6</v>
          </cell>
          <cell r="E12" t="str">
            <v>208 MCA Style Hybrid 100hp AT</v>
          </cell>
          <cell r="F12" t="str">
            <v>1PP2A5HJGWJR2P</v>
          </cell>
          <cell r="G12" t="str">
            <v>Zeebrugge</v>
          </cell>
          <cell r="H12">
            <v>0.09</v>
          </cell>
        </row>
        <row r="13">
          <cell r="E13" t="str">
            <v/>
          </cell>
          <cell r="G13" t="str">
            <v>Zeebrugge</v>
          </cell>
          <cell r="H13">
            <v>0.09</v>
          </cell>
        </row>
        <row r="14">
          <cell r="E14" t="str">
            <v/>
          </cell>
          <cell r="G14" t="str">
            <v>Zeebrugge</v>
          </cell>
          <cell r="H14">
            <v>0.09</v>
          </cell>
        </row>
        <row r="15">
          <cell r="D15" t="str">
            <v>208 MCA GT EV</v>
          </cell>
          <cell r="E15" t="str">
            <v>208 MCA GT Electric</v>
          </cell>
          <cell r="F15" t="str">
            <v>1PP2A5UZIFEEA0</v>
          </cell>
          <cell r="G15" t="str">
            <v>Zeebrugge</v>
          </cell>
          <cell r="H15">
            <v>0.09</v>
          </cell>
        </row>
        <row r="16">
          <cell r="D16" t="str">
            <v>208 MCA GTI</v>
          </cell>
          <cell r="E16" t="str">
            <v>208 MCA GTI</v>
          </cell>
          <cell r="G16" t="str">
            <v>Zeebrugge</v>
          </cell>
          <cell r="H16">
            <v>0.09</v>
          </cell>
        </row>
        <row r="17">
          <cell r="D17" t="str">
            <v>2008 MCA Style MHEV 136 eDCT6</v>
          </cell>
          <cell r="E17" t="str">
            <v>2008 MCA Style Hybrid 136hp AT</v>
          </cell>
          <cell r="F17" t="str">
            <v>1PP1SYHJHWJR2P</v>
          </cell>
          <cell r="G17" t="str">
            <v>Vigo</v>
          </cell>
          <cell r="H17">
            <v>0.09</v>
          </cell>
        </row>
        <row r="18">
          <cell r="D18" t="str">
            <v>2008 MCA Allure MHEV 136 eDCT6</v>
          </cell>
          <cell r="E18" t="str">
            <v>2008 MCA Allure Hybrid 136hp AT</v>
          </cell>
          <cell r="F18" t="str">
            <v>1PP1SYPJHWJRA0</v>
          </cell>
          <cell r="G18" t="str">
            <v>Vigo</v>
          </cell>
          <cell r="H18">
            <v>0.09</v>
          </cell>
        </row>
        <row r="19">
          <cell r="D19" t="str">
            <v>2008 MCA GT MHEV 136 EDCT6</v>
          </cell>
          <cell r="E19" t="str">
            <v>2008 MCA GT Hybrid 136hp AT</v>
          </cell>
          <cell r="F19" t="str">
            <v>1PP1SYTJHWJRA0</v>
          </cell>
          <cell r="G19" t="str">
            <v>Vigo</v>
          </cell>
          <cell r="H19">
            <v>0.09</v>
          </cell>
        </row>
        <row r="20">
          <cell r="E20" t="str">
            <v/>
          </cell>
          <cell r="G20" t="str">
            <v>Vigo</v>
          </cell>
          <cell r="H20">
            <v>0.09</v>
          </cell>
        </row>
        <row r="21">
          <cell r="E21" t="str">
            <v/>
          </cell>
          <cell r="G21" t="str">
            <v>Vigo</v>
          </cell>
          <cell r="H21">
            <v>0.09</v>
          </cell>
        </row>
        <row r="22">
          <cell r="D22" t="str">
            <v>2008 MCA GT EV</v>
          </cell>
          <cell r="E22" t="str">
            <v>2008 MCA GT Electric</v>
          </cell>
          <cell r="F22" t="str">
            <v>1PP1SYUZIFJRA0</v>
          </cell>
          <cell r="G22" t="str">
            <v>Vigo</v>
          </cell>
          <cell r="H22">
            <v>0.09</v>
          </cell>
        </row>
        <row r="23">
          <cell r="E23" t="str">
            <v/>
          </cell>
          <cell r="G23" t="str">
            <v>Vigo</v>
          </cell>
          <cell r="H23">
            <v>0.09</v>
          </cell>
        </row>
        <row r="24">
          <cell r="D24" t="str">
            <v>308 Allure Puretech EAT8</v>
          </cell>
          <cell r="E24" t="str">
            <v>308 Allure Gasolina 130hp AT</v>
          </cell>
          <cell r="F24" t="str">
            <v>1PP5A5PNP1J0A0D2</v>
          </cell>
          <cell r="G24" t="str">
            <v>Zeebrugge</v>
          </cell>
          <cell r="H24">
            <v>0.09</v>
          </cell>
        </row>
        <row r="25">
          <cell r="D25" t="str">
            <v>308 GT PURETECH 130 EAT8</v>
          </cell>
          <cell r="E25" t="str">
            <v>308 GT Gasolina 130hp AT</v>
          </cell>
          <cell r="F25" t="str">
            <v>1PP5A5TNP1J09Q</v>
          </cell>
          <cell r="G25" t="str">
            <v>Zeebrugge</v>
          </cell>
          <cell r="H25">
            <v>0.09</v>
          </cell>
        </row>
        <row r="26">
          <cell r="D26" t="str">
            <v>308 ALLURE MHEV 136 eDCT6</v>
          </cell>
          <cell r="E26" t="str">
            <v>308 Allure Hybrid 136hp AT</v>
          </cell>
          <cell r="F26" t="str">
            <v>1PP5A5PJHWJ0A0</v>
          </cell>
          <cell r="G26" t="str">
            <v>Zeebrugge</v>
          </cell>
          <cell r="H26">
            <v>0.09</v>
          </cell>
        </row>
        <row r="27">
          <cell r="D27" t="str">
            <v>308 GT MHEV 136 EDCT6</v>
          </cell>
          <cell r="E27" t="str">
            <v>308 GT Hybrid 136hp AT</v>
          </cell>
          <cell r="F27" t="str">
            <v>1PP5A5TJHWJ0A0</v>
          </cell>
          <cell r="G27" t="str">
            <v>Zeebrugge</v>
          </cell>
          <cell r="H27">
            <v>0.09</v>
          </cell>
        </row>
        <row r="28">
          <cell r="E28" t="str">
            <v/>
          </cell>
          <cell r="G28" t="str">
            <v>Zeebrugge</v>
          </cell>
          <cell r="H28">
            <v>0.09</v>
          </cell>
        </row>
        <row r="29">
          <cell r="D29" t="str">
            <v>308 MCA Allure MHEV</v>
          </cell>
          <cell r="E29" t="str">
            <v>308 MCA Allure Hybrid 136hp AT</v>
          </cell>
          <cell r="F29" t="str">
            <v>1PP5A5PJHWJ0A0F2</v>
          </cell>
          <cell r="G29" t="str">
            <v>Zeebrugge</v>
          </cell>
          <cell r="H29">
            <v>0.09</v>
          </cell>
        </row>
        <row r="30">
          <cell r="D30" t="str">
            <v>308 MCA GT Diesel AT</v>
          </cell>
          <cell r="E30" t="str">
            <v>308 MCA GT Diesel AT</v>
          </cell>
          <cell r="F30" t="str">
            <v>308 MCA GT Diesel AT</v>
          </cell>
          <cell r="G30" t="str">
            <v>Zeebrugge</v>
          </cell>
          <cell r="H30">
            <v>0.09</v>
          </cell>
        </row>
        <row r="31">
          <cell r="D31" t="str">
            <v>308 MCA GT MHEV</v>
          </cell>
          <cell r="E31" t="str">
            <v>308 MCA GT Hybrid 136hp AT</v>
          </cell>
          <cell r="F31" t="str">
            <v>1PP5A5TJHWJ0A0F2</v>
          </cell>
          <cell r="G31" t="str">
            <v>Zeebrugge</v>
          </cell>
          <cell r="H31">
            <v>0.09</v>
          </cell>
        </row>
        <row r="32">
          <cell r="D32" t="str">
            <v>3008 ACTIVE PACK PURETECH 130</v>
          </cell>
          <cell r="E32" t="str">
            <v>3008 Active Pack Gasolina 130hp MT</v>
          </cell>
          <cell r="F32" t="str">
            <v>1PP8SYLNPKJM9S</v>
          </cell>
          <cell r="G32" t="str">
            <v>Zeebrugge</v>
          </cell>
          <cell r="H32">
            <v>0.09</v>
          </cell>
        </row>
        <row r="33">
          <cell r="D33" t="str">
            <v>New 3008 Allure MHEV 136 eDCT6</v>
          </cell>
          <cell r="E33" t="str">
            <v>3008 Allure Hybrid 136hp AT</v>
          </cell>
          <cell r="F33" t="str">
            <v>1PPDSYRJH7NXA0</v>
          </cell>
          <cell r="G33" t="str">
            <v>Zeebrugge</v>
          </cell>
          <cell r="H33">
            <v>0.09</v>
          </cell>
        </row>
        <row r="34">
          <cell r="D34" t="str">
            <v>New 3008 GT MHEV 136 EDCT6</v>
          </cell>
          <cell r="E34" t="str">
            <v>3008 GT Hybrid 136hp AT</v>
          </cell>
          <cell r="F34" t="str">
            <v>1PPDSYTQF7NXA0</v>
          </cell>
          <cell r="G34" t="str">
            <v>Zeebrugge</v>
          </cell>
          <cell r="H34">
            <v>0.09</v>
          </cell>
        </row>
        <row r="35">
          <cell r="D35" t="str">
            <v>New 3008 GT Gasolina 180hp</v>
          </cell>
          <cell r="E35" t="str">
            <v>New 3008 GT Gasolina 180hp</v>
          </cell>
          <cell r="F35" t="str">
            <v>New 3008 GT Gasolina 180hp</v>
          </cell>
          <cell r="G35" t="str">
            <v>Zeebrugge</v>
          </cell>
          <cell r="H35">
            <v>0.09</v>
          </cell>
        </row>
        <row r="36">
          <cell r="E36" t="str">
            <v/>
          </cell>
          <cell r="G36" t="str">
            <v>Zeebrugge</v>
          </cell>
          <cell r="H36">
            <v>0.09</v>
          </cell>
        </row>
        <row r="37">
          <cell r="D37" t="str">
            <v>New 3008 GT BEV</v>
          </cell>
          <cell r="E37" t="str">
            <v>3008 GT Electric</v>
          </cell>
          <cell r="F37" t="str">
            <v>1PPDSYTXLINXA0</v>
          </cell>
          <cell r="G37" t="str">
            <v>Zeebrugge</v>
          </cell>
          <cell r="H37">
            <v>0.09</v>
          </cell>
        </row>
        <row r="38">
          <cell r="E38" t="str">
            <v/>
          </cell>
          <cell r="G38" t="str">
            <v>Zeebrugge</v>
          </cell>
          <cell r="H38">
            <v>0.09</v>
          </cell>
        </row>
        <row r="39">
          <cell r="D39" t="str">
            <v>New 5008 Allure MHEV 136 EDCT6</v>
          </cell>
          <cell r="E39" t="str">
            <v>5008 Allure Hybrid 136hp AT</v>
          </cell>
          <cell r="F39" t="str">
            <v>1PPFSZRJH7NXA0</v>
          </cell>
          <cell r="G39" t="str">
            <v>Zeebrugge</v>
          </cell>
          <cell r="H39">
            <v>0.09</v>
          </cell>
        </row>
        <row r="40">
          <cell r="D40" t="str">
            <v>New 5008 GT MHEV 136 EDCT6</v>
          </cell>
          <cell r="E40" t="str">
            <v>5008 GT Hybrid 136hp AT</v>
          </cell>
          <cell r="F40" t="str">
            <v>1PPFSZTJH7NXA0</v>
          </cell>
          <cell r="G40" t="str">
            <v>Zeebrugge</v>
          </cell>
          <cell r="H40">
            <v>0.09</v>
          </cell>
        </row>
        <row r="41">
          <cell r="E41" t="str">
            <v/>
          </cell>
          <cell r="G41" t="str">
            <v>Zeebrugge</v>
          </cell>
          <cell r="H41">
            <v>0.09</v>
          </cell>
        </row>
        <row r="42">
          <cell r="D42" t="str">
            <v>Rifter MCA Allure BlueHDi 100 5P</v>
          </cell>
          <cell r="E42" t="str">
            <v>Rifter MCA Allure Diesel 100hp MT 5P</v>
          </cell>
          <cell r="F42" t="str">
            <v>Rifter MCA Allure Diesel 100hp MT 5P</v>
          </cell>
          <cell r="G42" t="str">
            <v>Vigo</v>
          </cell>
          <cell r="H42">
            <v>0.09</v>
          </cell>
        </row>
        <row r="43">
          <cell r="D43" t="str">
            <v>RIFTER MCA ALLURE BLUEHDI 100</v>
          </cell>
          <cell r="E43" t="str">
            <v>Rifter MCA Allure Diesel 100hp MT</v>
          </cell>
          <cell r="F43" t="str">
            <v>1PK9CLTMNKJRA070</v>
          </cell>
          <cell r="G43" t="str">
            <v>Vigo</v>
          </cell>
          <cell r="H43">
            <v>0.09</v>
          </cell>
        </row>
        <row r="44">
          <cell r="D44" t="str">
            <v>Rifter MCA Allure Puretech 130 EAT8</v>
          </cell>
          <cell r="E44" t="str">
            <v>Rifter MCA Allure Gasolina 130hp AT</v>
          </cell>
          <cell r="F44" t="str">
            <v>1PK9CLTNP1JRA070</v>
          </cell>
          <cell r="G44" t="str">
            <v>Vigo</v>
          </cell>
          <cell r="H44">
            <v>0.09</v>
          </cell>
        </row>
        <row r="45">
          <cell r="D45" t="str">
            <v>Rifter MCA Allure BlueHDi 130 EAT8 5P</v>
          </cell>
          <cell r="E45" t="str">
            <v>Rifter MCA Allure Diesel 130hp AT 5P</v>
          </cell>
          <cell r="F45" t="str">
            <v>Rifter MCA Allure Diesel 130hp AT 5P</v>
          </cell>
          <cell r="G45" t="str">
            <v>Vigo</v>
          </cell>
          <cell r="H45">
            <v>0.09</v>
          </cell>
        </row>
        <row r="46">
          <cell r="D46" t="str">
            <v>Rifter MCA Allure BlueHDi 130 EAT8</v>
          </cell>
          <cell r="E46" t="str">
            <v>Rifter MCA Allure Diesel 130hp AT</v>
          </cell>
          <cell r="F46" t="str">
            <v>1PK9CLTMK1JRA070</v>
          </cell>
          <cell r="G46" t="str">
            <v>Vigo</v>
          </cell>
          <cell r="H46">
            <v>0.09</v>
          </cell>
        </row>
        <row r="47">
          <cell r="D47" t="str">
            <v>Rifter MCA GT Diesel 130hp AT</v>
          </cell>
          <cell r="E47" t="str">
            <v>Rifter MCA GT Diésel 130 EAT8 </v>
          </cell>
          <cell r="F47" t="str">
            <v>1PK9CLWMK1JRA0</v>
          </cell>
          <cell r="G47" t="str">
            <v>Vigo</v>
          </cell>
          <cell r="H47">
            <v>0.09</v>
          </cell>
        </row>
        <row r="48">
          <cell r="D48" t="str">
            <v>Partner MCA L1 BlueHDi 100</v>
          </cell>
          <cell r="E48" t="str">
            <v>Partner MCA L1 Diesel 100hp MT</v>
          </cell>
          <cell r="F48" t="str">
            <v>2PK91CNMNKJRA070</v>
          </cell>
          <cell r="G48" t="str">
            <v>Vigo</v>
          </cell>
          <cell r="H48">
            <v>0.1</v>
          </cell>
        </row>
        <row r="49">
          <cell r="D49" t="str">
            <v>PARTNER MCA L2 BLUEHDI 100</v>
          </cell>
          <cell r="E49" t="str">
            <v>Partner MCA L2 Diesel 100hp MT</v>
          </cell>
          <cell r="F49" t="str">
            <v>2PK95CNMNKJRA070</v>
          </cell>
          <cell r="G49" t="str">
            <v>Vigo</v>
          </cell>
          <cell r="H49">
            <v>0.1</v>
          </cell>
        </row>
        <row r="50">
          <cell r="D50" t="str">
            <v>PARTNER MCA L2 EV</v>
          </cell>
          <cell r="E50" t="str">
            <v>Partner MCA L2 Electric</v>
          </cell>
          <cell r="F50" t="str">
            <v>2PK95CNZIFGDA0</v>
          </cell>
          <cell r="G50" t="str">
            <v>Vigo</v>
          </cell>
          <cell r="H50">
            <v>0.1</v>
          </cell>
        </row>
        <row r="51">
          <cell r="E51" t="str">
            <v/>
          </cell>
          <cell r="G51" t="str">
            <v>Vigo</v>
          </cell>
          <cell r="H51">
            <v>0.1</v>
          </cell>
        </row>
        <row r="52">
          <cell r="D52" t="str">
            <v>Traveller MCA Business L3 8P BlueHDi 180 EAT8</v>
          </cell>
          <cell r="E52" t="str">
            <v>Traveller MCA L3 8P Diesel 180hp AT</v>
          </cell>
          <cell r="F52" t="str">
            <v>1PK0NPQWQ1JRA0_8P</v>
          </cell>
          <cell r="G52" t="str">
            <v>Zeebrugge</v>
          </cell>
          <cell r="H52">
            <v>0.1</v>
          </cell>
        </row>
        <row r="53">
          <cell r="D53" t="str">
            <v>Traveller MCA Business L3 9P BlueHDi 180 EAT8</v>
          </cell>
          <cell r="E53" t="str">
            <v>Traveller MCA L3 9P Diesel 180hp AT</v>
          </cell>
          <cell r="F53" t="str">
            <v>1PK0NPQWQ1JRA0_9P</v>
          </cell>
          <cell r="G53" t="str">
            <v>Zeebrugge</v>
          </cell>
          <cell r="H53">
            <v>0.1</v>
          </cell>
        </row>
        <row r="54">
          <cell r="D54" t="str">
            <v>Traveller MCA L3 B22 8P Diesel 180hp AT</v>
          </cell>
          <cell r="E54" t="str">
            <v>Traveller MCA L3 B22 8P Diesel 180hp AT</v>
          </cell>
          <cell r="G54" t="str">
            <v>Zeebrugge</v>
          </cell>
          <cell r="H54">
            <v>0.1</v>
          </cell>
        </row>
        <row r="55">
          <cell r="D55" t="str">
            <v>Traveller MCA L3 B22 9P Diesel 180hp AT</v>
          </cell>
          <cell r="E55" t="str">
            <v>Traveller MCA L3 B22 9P Diesel 180hp AT</v>
          </cell>
          <cell r="G55" t="str">
            <v>Zeebrugge</v>
          </cell>
          <cell r="H55">
            <v>0.1</v>
          </cell>
        </row>
        <row r="56">
          <cell r="D56" t="str">
            <v>Expert MCA L3 BlueHdi 145</v>
          </cell>
          <cell r="E56" t="str">
            <v>Expert MCA L3 Diesel 145hp MT</v>
          </cell>
          <cell r="F56" t="str">
            <v>2PK0F3NWRKJRA0</v>
          </cell>
          <cell r="G56" t="str">
            <v>Zeebrugge</v>
          </cell>
          <cell r="H56">
            <v>0.1</v>
          </cell>
        </row>
        <row r="57">
          <cell r="E57" t="str">
            <v/>
          </cell>
          <cell r="G57" t="str">
            <v>Zeebrugge</v>
          </cell>
          <cell r="H57">
            <v>0.1</v>
          </cell>
        </row>
        <row r="58">
          <cell r="D58" t="str">
            <v>Expert MCA L3 EV</v>
          </cell>
          <cell r="E58" t="str">
            <v>Expert Eléctric</v>
          </cell>
          <cell r="F58" t="str">
            <v>2PK0F3NETFJRA0K0</v>
          </cell>
          <cell r="G58" t="str">
            <v>Zeebrugge</v>
          </cell>
          <cell r="H58">
            <v>0.1</v>
          </cell>
        </row>
        <row r="59">
          <cell r="E59" t="str">
            <v/>
          </cell>
          <cell r="G59" t="str">
            <v>Zeebrugge</v>
          </cell>
          <cell r="H59">
            <v>0.1</v>
          </cell>
        </row>
        <row r="60">
          <cell r="D60" t="str">
            <v>Boxer MCA Furgón  L2H2 BlueHDi</v>
          </cell>
          <cell r="E60" t="str">
            <v>Boxer MCA Furgón L2H2 Diesel 140hp MT</v>
          </cell>
          <cell r="F60" t="str">
            <v>2PXE3LHOK6NXA0</v>
          </cell>
          <cell r="G60" t="str">
            <v>Sevel Sud</v>
          </cell>
          <cell r="H60">
            <v>0.1</v>
          </cell>
        </row>
        <row r="61">
          <cell r="D61" t="str">
            <v>Boxer MCA Furgón  L3H2 BlueHDi</v>
          </cell>
          <cell r="E61" t="str">
            <v>Boxer MCA Furgón L3H2 Diesel 140hp MT</v>
          </cell>
          <cell r="F61" t="str">
            <v>2PXE5LHOK6NXA0</v>
          </cell>
          <cell r="G61" t="str">
            <v>Sevel Sud</v>
          </cell>
          <cell r="H61">
            <v>0.1</v>
          </cell>
        </row>
        <row r="62">
          <cell r="D62" t="str">
            <v>Boxer MCA Furgón  L4H2 BlueHDi</v>
          </cell>
          <cell r="E62" t="str">
            <v>Boxer MCA Furgón L4H2 Diesel 140hp MT</v>
          </cell>
          <cell r="F62" t="str">
            <v>2PXE7LHOK6NXA0</v>
          </cell>
          <cell r="G62" t="str">
            <v>Sevel Sud</v>
          </cell>
          <cell r="H62">
            <v>0.1</v>
          </cell>
        </row>
        <row r="63">
          <cell r="D63" t="str">
            <v>Boxer MCA Cabina L3 BlueHDi</v>
          </cell>
          <cell r="E63" t="str">
            <v>Boxer MCA Cabina L3 Diesel 140hp MT</v>
          </cell>
          <cell r="F63" t="str">
            <v>2PXE6GHOK6NXA0</v>
          </cell>
          <cell r="G63" t="str">
            <v>Sevel Sud</v>
          </cell>
          <cell r="H63">
            <v>0.1</v>
          </cell>
        </row>
        <row r="64">
          <cell r="D64" t="str">
            <v>Boxer MCA Doble Cabina L4 BlueHDi</v>
          </cell>
          <cell r="E64" t="str">
            <v>Boxer MCA Doble Cabina L4 Diesel 140hp MT</v>
          </cell>
          <cell r="F64" t="str">
            <v>2PXE8YHOK6NXA0</v>
          </cell>
          <cell r="G64" t="str">
            <v>Sevel Sud</v>
          </cell>
          <cell r="H64">
            <v>0.1</v>
          </cell>
        </row>
        <row r="65">
          <cell r="D65" t="str">
            <v>Landtrek Action4 BlueHDi 4x4 AT 6.3</v>
          </cell>
          <cell r="E65" t="str">
            <v>Landtrek MCA Action4 Diesel 180hp 4x4 AT</v>
          </cell>
          <cell r="F65" t="str">
            <v>2PKPEKQO0DNXA030</v>
          </cell>
          <cell r="G65" t="str">
            <v>China</v>
          </cell>
          <cell r="H65">
            <v>0.1</v>
          </cell>
        </row>
        <row r="66">
          <cell r="D66" t="str">
            <v>Landtrek Action4 BlueHDi 4x4 MT 6.3</v>
          </cell>
          <cell r="E66" t="str">
            <v>Landtrek MCA Action4 Diesel 180hp 4x4 MT</v>
          </cell>
          <cell r="F66" t="str">
            <v>Landtrek MCA Action4 Diesel 180hp 4x4 MT</v>
          </cell>
          <cell r="G66" t="str">
            <v>China</v>
          </cell>
          <cell r="H66">
            <v>0.1</v>
          </cell>
        </row>
        <row r="67">
          <cell r="D67" t="str">
            <v>NEW CORSA MCA EDITION 1.2 MT6</v>
          </cell>
          <cell r="E67" t="str">
            <v>Corsa Edition Gasolina 100HP MT</v>
          </cell>
          <cell r="F67" t="str">
            <v>1GJOA5HL6KJRA0</v>
          </cell>
          <cell r="G67" t="str">
            <v>Vigo</v>
          </cell>
          <cell r="H67">
            <v>0.09</v>
          </cell>
        </row>
        <row r="68">
          <cell r="D68" t="str">
            <v>NEW CORSA MCA EDITION 1.2T AT8</v>
          </cell>
          <cell r="E68" t="str">
            <v>Corsa Edition Gasolina 100HP AT</v>
          </cell>
          <cell r="F68" t="str">
            <v>1GJOA5HL81JRA0</v>
          </cell>
          <cell r="G68" t="str">
            <v>Vigo</v>
          </cell>
          <cell r="H68">
            <v>0.09</v>
          </cell>
        </row>
        <row r="69">
          <cell r="D69" t="str">
            <v>NEW CORSA MCA GS 1.2T AT8</v>
          </cell>
          <cell r="E69" t="str">
            <v>Corsa GS Gasolina 100HP AT</v>
          </cell>
          <cell r="F69" t="str">
            <v>1GJOA5TL81JRA0</v>
          </cell>
          <cell r="G69" t="str">
            <v>Vigo</v>
          </cell>
          <cell r="H69">
            <v>0.09</v>
          </cell>
        </row>
        <row r="70">
          <cell r="D70" t="str">
            <v>NEW CORSA MCA EDITION DIESEL MT</v>
          </cell>
          <cell r="E70" t="str">
            <v>NEW CORSA MCA EDITION DIESEL MT</v>
          </cell>
          <cell r="F70" t="str">
            <v>Corsa GS Gasolina 100HP MT</v>
          </cell>
          <cell r="G70" t="str">
            <v>Vigo</v>
          </cell>
          <cell r="H70">
            <v>0.09</v>
          </cell>
        </row>
        <row r="71">
          <cell r="D71" t="str">
            <v>CORSA MCA EDITION HYBRID</v>
          </cell>
          <cell r="E71" t="str">
            <v>Corsa MCA Edition Hybrid 136hp AT</v>
          </cell>
          <cell r="F71" t="str">
            <v>1GJOA5HJGWJRA0</v>
          </cell>
          <cell r="G71" t="str">
            <v>Vigo</v>
          </cell>
          <cell r="H71">
            <v>0.09</v>
          </cell>
        </row>
        <row r="72">
          <cell r="D72" t="str">
            <v>CORSA MCA GS HYBRID</v>
          </cell>
          <cell r="E72" t="str">
            <v>Corsa MCA GS Hybrid 136hp AT</v>
          </cell>
          <cell r="F72" t="str">
            <v>1GJOA5TJGWJRA0</v>
          </cell>
          <cell r="G72" t="str">
            <v>Vigo</v>
          </cell>
          <cell r="H72">
            <v>0.09</v>
          </cell>
        </row>
        <row r="73">
          <cell r="E73" t="str">
            <v/>
          </cell>
          <cell r="G73" t="str">
            <v>Vigo</v>
          </cell>
          <cell r="H73">
            <v>0.09</v>
          </cell>
        </row>
        <row r="74">
          <cell r="D74" t="str">
            <v>New Crossland GS 130Hp MT</v>
          </cell>
          <cell r="E74" t="str">
            <v>New Crossland GS 130Hp MT</v>
          </cell>
          <cell r="F74" t="str">
            <v>New Crossland GS 130Hp MT</v>
          </cell>
          <cell r="G74" t="str">
            <v>Zeebrugge</v>
          </cell>
          <cell r="H74">
            <v>0.09</v>
          </cell>
        </row>
        <row r="75">
          <cell r="D75" t="str">
            <v>New Crossland GS Hybrid</v>
          </cell>
          <cell r="E75" t="str">
            <v>New Crossland GS 5P Hybrid 136 HP</v>
          </cell>
          <cell r="F75" t="str">
            <v>1GO3SUPJHWGLA0</v>
          </cell>
          <cell r="G75" t="str">
            <v>Zeebrugge</v>
          </cell>
          <cell r="H75">
            <v>0.09</v>
          </cell>
        </row>
        <row r="76">
          <cell r="D76" t="str">
            <v>New Crossland GS Hybrid 7P</v>
          </cell>
          <cell r="E76" t="str">
            <v>New Crossland GS 7P Hybrid 136 HP</v>
          </cell>
          <cell r="F76" t="str">
            <v>1GO3SUPJHWGLA0B0</v>
          </cell>
          <cell r="G76" t="str">
            <v>Zeebrugge</v>
          </cell>
          <cell r="H76">
            <v>0.09</v>
          </cell>
        </row>
        <row r="77">
          <cell r="D77" t="str">
            <v>New Crossland GS Eletric</v>
          </cell>
          <cell r="E77" t="str">
            <v>New Crossland GS Electric 113 AT (300 kms.)</v>
          </cell>
          <cell r="F77" t="str">
            <v>1GO3SUPZFFGLA0</v>
          </cell>
          <cell r="G77" t="str">
            <v>Zeebrugge</v>
          </cell>
          <cell r="H77">
            <v>0.09</v>
          </cell>
        </row>
        <row r="78">
          <cell r="E78" t="str">
            <v/>
          </cell>
          <cell r="G78" t="str">
            <v>Zeebrugge</v>
          </cell>
          <cell r="H78">
            <v>0.09</v>
          </cell>
        </row>
        <row r="79">
          <cell r="D79" t="str">
            <v>MOKKA MCA EDITION 1.2T MT6</v>
          </cell>
          <cell r="E79" t="str">
            <v>Mokka MCA Edition Plus Gasolina 130HP MT</v>
          </cell>
          <cell r="F79" t="str">
            <v>1GQOSYKP9KJRA0</v>
          </cell>
          <cell r="G79" t="str">
            <v>Zeebrugge</v>
          </cell>
          <cell r="H79">
            <v>0.09</v>
          </cell>
        </row>
        <row r="80">
          <cell r="D80" t="str">
            <v>MOKKA MCA EDITION 1.2T AT8</v>
          </cell>
          <cell r="E80" t="str">
            <v>Mokka MCA Edition Gasolina 130HP AT</v>
          </cell>
          <cell r="F80" t="str">
            <v>1GQOSYKM61JRA0</v>
          </cell>
          <cell r="G80" t="str">
            <v>Zeebrugge</v>
          </cell>
          <cell r="H80">
            <v>0.09</v>
          </cell>
        </row>
        <row r="81">
          <cell r="D81" t="str">
            <v>MOKKA MCA EDITION PLUS 1.2T AT8</v>
          </cell>
          <cell r="E81" t="str">
            <v>Mokka MCA Edition Plus Gasolina 130HP AT</v>
          </cell>
          <cell r="F81" t="str">
            <v>1GQOSYKM61JRA052</v>
          </cell>
          <cell r="G81" t="str">
            <v>Zeebrugge</v>
          </cell>
          <cell r="H81">
            <v>0.09</v>
          </cell>
        </row>
        <row r="82">
          <cell r="D82" t="str">
            <v>MOKKA MCA GS 1.2T AT8</v>
          </cell>
          <cell r="E82" t="str">
            <v>Mokka MCA GS Plus Gasolina 130HP AT</v>
          </cell>
          <cell r="F82" t="str">
            <v>1GQOSYHM61JRA0</v>
          </cell>
          <cell r="G82" t="str">
            <v>Zeebrugge</v>
          </cell>
          <cell r="H82">
            <v>0.09</v>
          </cell>
        </row>
        <row r="83">
          <cell r="E83" t="str">
            <v/>
          </cell>
          <cell r="G83" t="str">
            <v>Zeebrugge</v>
          </cell>
          <cell r="H83">
            <v>0.09</v>
          </cell>
        </row>
        <row r="84">
          <cell r="E84" t="str">
            <v/>
          </cell>
          <cell r="G84" t="str">
            <v>Zeebrugge</v>
          </cell>
          <cell r="H84">
            <v>0.09</v>
          </cell>
        </row>
        <row r="85">
          <cell r="D85" t="str">
            <v>MOKKA MCA EDITION HYBRID</v>
          </cell>
          <cell r="E85" t="str">
            <v>Mokka MCA Edition Hybrid 136hp AT</v>
          </cell>
          <cell r="F85" t="str">
            <v>1GQOSYKJHWJRA0</v>
          </cell>
          <cell r="G85" t="str">
            <v>Zeebrugge</v>
          </cell>
          <cell r="H85">
            <v>0.09</v>
          </cell>
        </row>
        <row r="86">
          <cell r="D86" t="str">
            <v>MOKKA MCA GS HYBRID</v>
          </cell>
          <cell r="E86" t="str">
            <v>Mokka MCA GS Hybrid 136hp AT</v>
          </cell>
          <cell r="F86" t="str">
            <v>1GQOSYHJHWJRA0</v>
          </cell>
          <cell r="G86" t="str">
            <v>Zeebrugge</v>
          </cell>
          <cell r="H86">
            <v>0.09</v>
          </cell>
        </row>
        <row r="87">
          <cell r="D87" t="str">
            <v>MOKKA MCA GS ELECTRIC</v>
          </cell>
          <cell r="E87" t="str">
            <v>MOKKA MCA GS ELECTRIC</v>
          </cell>
          <cell r="F87" t="str">
            <v>1CQO-EV</v>
          </cell>
          <cell r="G87" t="str">
            <v>Zeebrugge</v>
          </cell>
          <cell r="H87">
            <v>0.09</v>
          </cell>
        </row>
        <row r="88">
          <cell r="E88" t="str">
            <v/>
          </cell>
          <cell r="G88" t="str">
            <v>Zeebrugge</v>
          </cell>
          <cell r="H88">
            <v>0.09</v>
          </cell>
        </row>
        <row r="89">
          <cell r="D89" t="str">
            <v>New Grandland GS Hybrid</v>
          </cell>
          <cell r="E89" t="str">
            <v>New Grandland GS Hybrid 136HP AT</v>
          </cell>
          <cell r="F89" t="str">
            <v>1GO6SYUJH7NXA0</v>
          </cell>
          <cell r="G89" t="str">
            <v>Zeebrugge</v>
          </cell>
          <cell r="H89">
            <v>0.09</v>
          </cell>
        </row>
        <row r="90">
          <cell r="D90" t="str">
            <v>New Grandland GS Plus Hybrid</v>
          </cell>
          <cell r="E90" t="str">
            <v>New Grandland GS Plus Hybrid 136HP AT</v>
          </cell>
          <cell r="F90" t="str">
            <v>1GO6SYUJH7NXA0C0</v>
          </cell>
          <cell r="G90" t="str">
            <v>Zeebrugge</v>
          </cell>
          <cell r="H90">
            <v>0.09</v>
          </cell>
        </row>
        <row r="91">
          <cell r="D91" t="str">
            <v>New Grandland GS Plus 180Hp</v>
          </cell>
          <cell r="E91" t="str">
            <v>New Grandland GS Plus 180Hp</v>
          </cell>
          <cell r="F91" t="str">
            <v>New Grandland GS Plus 180Hp</v>
          </cell>
          <cell r="G91" t="str">
            <v>Zeebrugge</v>
          </cell>
          <cell r="H91">
            <v>0.09</v>
          </cell>
        </row>
        <row r="92">
          <cell r="D92" t="str">
            <v>Grandland GS Gasolina 130HP MT</v>
          </cell>
          <cell r="E92" t="str">
            <v>Grandland GS Gasolina 130HP MT</v>
          </cell>
          <cell r="F92" t="str">
            <v>OV64_BEV</v>
          </cell>
          <cell r="G92" t="str">
            <v>Zeebrugge</v>
          </cell>
          <cell r="H92">
            <v>0.09</v>
          </cell>
        </row>
        <row r="93">
          <cell r="E93" t="str">
            <v/>
          </cell>
          <cell r="G93" t="str">
            <v>Zeebrugge</v>
          </cell>
          <cell r="H93">
            <v>0.09</v>
          </cell>
        </row>
        <row r="94">
          <cell r="D94" t="str">
            <v>COMBO MCA LITE 1.5 TD</v>
          </cell>
          <cell r="E94" t="str">
            <v>Combo Lite Diesel 100HP MT</v>
          </cell>
          <cell r="F94" t="str">
            <v>2GK91C4MNKJRA080</v>
          </cell>
          <cell r="G94" t="str">
            <v>Vigo</v>
          </cell>
          <cell r="H94">
            <v>0.1</v>
          </cell>
        </row>
        <row r="95">
          <cell r="E95" t="str">
            <v/>
          </cell>
          <cell r="G95" t="str">
            <v>Vigo</v>
          </cell>
          <cell r="H95">
            <v>0.1</v>
          </cell>
        </row>
        <row r="98">
          <cell r="H98">
            <v>8.9999999999999969E-2</v>
          </cell>
        </row>
        <row r="99">
          <cell r="H99">
            <v>0.10000000000000002</v>
          </cell>
        </row>
        <row r="100">
          <cell r="D100" t="str">
            <v>PEUGEOT</v>
          </cell>
          <cell r="H100">
            <v>9.5508879129272486E-2</v>
          </cell>
        </row>
        <row r="102">
          <cell r="H102">
            <v>8.9999999999999983E-2</v>
          </cell>
        </row>
        <row r="103">
          <cell r="H103">
            <v>0.1</v>
          </cell>
        </row>
        <row r="104">
          <cell r="D104" t="str">
            <v>OPEL</v>
          </cell>
          <cell r="H104">
            <v>9.1815642458100533E-2</v>
          </cell>
        </row>
        <row r="106">
          <cell r="H106">
            <v>8.9999999999999969E-2</v>
          </cell>
        </row>
        <row r="107">
          <cell r="H107">
            <v>0.10000000000000002</v>
          </cell>
        </row>
        <row r="108">
          <cell r="D108" t="str">
            <v>NSC</v>
          </cell>
          <cell r="H108">
            <v>9.5200373330222243E-2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4">
          <cell r="F4" t="str">
            <v>MIX VOL B2B RED</v>
          </cell>
          <cell r="T4" t="str">
            <v>MIX TRAMOS</v>
          </cell>
          <cell r="BF4" t="str">
            <v>DESCUENTOS</v>
          </cell>
          <cell r="CU4" t="str">
            <v>MG RED</v>
          </cell>
          <cell r="EG4" t="str">
            <v>APORTE PONDERADO</v>
          </cell>
          <cell r="EU4" t="str">
            <v>DESCUENTO PONDERADO</v>
          </cell>
        </row>
        <row r="6">
          <cell r="G6" t="str">
            <v>ENERO</v>
          </cell>
          <cell r="H6" t="str">
            <v>FEBRERO</v>
          </cell>
          <cell r="I6" t="str">
            <v>MARZO</v>
          </cell>
          <cell r="J6" t="str">
            <v>ABRIL</v>
          </cell>
          <cell r="K6" t="str">
            <v>MAYO</v>
          </cell>
          <cell r="L6" t="str">
            <v>JUNIO</v>
          </cell>
          <cell r="M6" t="str">
            <v>JULIO</v>
          </cell>
          <cell r="N6" t="str">
            <v>AGOSTO</v>
          </cell>
          <cell r="O6" t="str">
            <v>SEPTIEMBRE</v>
          </cell>
          <cell r="P6" t="str">
            <v>OCTUBRE</v>
          </cell>
          <cell r="Q6" t="str">
            <v>NOVIEMBRE</v>
          </cell>
          <cell r="R6" t="str">
            <v>DICIEMBRE</v>
          </cell>
          <cell r="U6" t="str">
            <v>ENERO</v>
          </cell>
          <cell r="X6" t="str">
            <v>FEBRERO</v>
          </cell>
          <cell r="AA6" t="str">
            <v>MARZO</v>
          </cell>
          <cell r="AD6" t="str">
            <v>ABRIL</v>
          </cell>
          <cell r="AG6" t="str">
            <v>MAYO</v>
          </cell>
          <cell r="AJ6" t="str">
            <v>JUNIO</v>
          </cell>
          <cell r="AM6" t="str">
            <v>JULIO</v>
          </cell>
          <cell r="AP6" t="str">
            <v>AGOSTO</v>
          </cell>
          <cell r="AS6" t="str">
            <v>SEPTIEMBRE</v>
          </cell>
          <cell r="AV6" t="str">
            <v>OCTUBRE</v>
          </cell>
          <cell r="AY6" t="str">
            <v>NOVIEMBRE</v>
          </cell>
          <cell r="BB6" t="str">
            <v>DICIEMBRE</v>
          </cell>
          <cell r="BG6">
            <v>45992</v>
          </cell>
          <cell r="BJ6" t="str">
            <v>ENERO</v>
          </cell>
          <cell r="BM6" t="str">
            <v>FEBRERO</v>
          </cell>
          <cell r="BP6" t="str">
            <v>MARZO</v>
          </cell>
          <cell r="BS6" t="str">
            <v>ABRIL</v>
          </cell>
          <cell r="BV6" t="str">
            <v>MAYO</v>
          </cell>
          <cell r="BY6" t="str">
            <v>JUNIO</v>
          </cell>
          <cell r="CB6" t="str">
            <v>JULIO</v>
          </cell>
          <cell r="CE6" t="str">
            <v>AGOSTO</v>
          </cell>
          <cell r="CH6" t="str">
            <v>SEPTIEMBRE</v>
          </cell>
          <cell r="CK6" t="str">
            <v>OCTUBRE</v>
          </cell>
          <cell r="CN6" t="str">
            <v>NOVIEMBRE</v>
          </cell>
          <cell r="CQ6" t="str">
            <v>DICIEMBRE</v>
          </cell>
          <cell r="CV6" t="str">
            <v>ENERO</v>
          </cell>
          <cell r="CY6" t="str">
            <v>FEBRERO</v>
          </cell>
          <cell r="DB6" t="str">
            <v>MARZO</v>
          </cell>
          <cell r="DE6" t="str">
            <v>ABRIL</v>
          </cell>
          <cell r="DH6" t="str">
            <v>MAYO</v>
          </cell>
          <cell r="DK6" t="str">
            <v>JUNIO</v>
          </cell>
          <cell r="DN6" t="str">
            <v>JULIO</v>
          </cell>
          <cell r="DQ6" t="str">
            <v>AGOSTO</v>
          </cell>
          <cell r="DT6" t="str">
            <v>SEPTIEMBRE</v>
          </cell>
          <cell r="DW6" t="str">
            <v>OCTUBRE</v>
          </cell>
          <cell r="DZ6" t="str">
            <v>NOVIEMBRE</v>
          </cell>
          <cell r="EC6" t="str">
            <v>DICIEMBRE</v>
          </cell>
          <cell r="EG6">
            <v>45627</v>
          </cell>
          <cell r="EH6" t="str">
            <v>ENERO</v>
          </cell>
          <cell r="EI6" t="str">
            <v>FEBRERO</v>
          </cell>
          <cell r="EJ6" t="str">
            <v>MARZO</v>
          </cell>
          <cell r="EK6" t="str">
            <v>ABRIL</v>
          </cell>
          <cell r="EL6" t="str">
            <v>MAYO</v>
          </cell>
          <cell r="EM6" t="str">
            <v>JUNIO</v>
          </cell>
          <cell r="EN6" t="str">
            <v>JULIO</v>
          </cell>
          <cell r="EO6" t="str">
            <v>AGOSTO</v>
          </cell>
          <cell r="EP6" t="str">
            <v>SEPTIEMBRE</v>
          </cell>
          <cell r="EQ6" t="str">
            <v>OCTUBRE</v>
          </cell>
          <cell r="ER6" t="str">
            <v>NOVIEMBRE</v>
          </cell>
          <cell r="ES6" t="str">
            <v>DICIEMBRE</v>
          </cell>
          <cell r="EU6">
            <v>45627</v>
          </cell>
          <cell r="EV6" t="str">
            <v>ENERO</v>
          </cell>
          <cell r="EW6" t="str">
            <v>FEBRERO</v>
          </cell>
          <cell r="EX6" t="str">
            <v>MARZO</v>
          </cell>
          <cell r="EY6" t="str">
            <v>ABRIL</v>
          </cell>
          <cell r="EZ6" t="str">
            <v>MAYO</v>
          </cell>
          <cell r="FA6" t="str">
            <v>JUNIO</v>
          </cell>
          <cell r="FB6" t="str">
            <v>JULIO</v>
          </cell>
          <cell r="FC6" t="str">
            <v>AGOSTO</v>
          </cell>
          <cell r="FD6" t="str">
            <v>SEPTIEMBRE</v>
          </cell>
          <cell r="FE6" t="str">
            <v>OCTUBRE</v>
          </cell>
          <cell r="FF6" t="str">
            <v>NOVIEMBRE</v>
          </cell>
          <cell r="FG6" t="str">
            <v>DICIEMBRE</v>
          </cell>
        </row>
        <row r="7">
          <cell r="C7" t="str">
            <v>EDS</v>
          </cell>
          <cell r="D7" t="str">
            <v>CD</v>
          </cell>
          <cell r="U7" t="str">
            <v>T1</v>
          </cell>
          <cell r="V7" t="str">
            <v>T2</v>
          </cell>
          <cell r="W7" t="str">
            <v>GC</v>
          </cell>
          <cell r="X7" t="str">
            <v>T1</v>
          </cell>
          <cell r="Y7" t="str">
            <v>T2</v>
          </cell>
          <cell r="Z7" t="str">
            <v>GC</v>
          </cell>
          <cell r="AA7" t="str">
            <v>T1</v>
          </cell>
          <cell r="AB7" t="str">
            <v>T2</v>
          </cell>
          <cell r="AC7" t="str">
            <v>GC</v>
          </cell>
          <cell r="AD7" t="str">
            <v>T1</v>
          </cell>
          <cell r="AE7" t="str">
            <v>T2</v>
          </cell>
          <cell r="AF7" t="str">
            <v>GC</v>
          </cell>
          <cell r="AG7" t="str">
            <v>T1</v>
          </cell>
          <cell r="AH7" t="str">
            <v>T2</v>
          </cell>
          <cell r="AI7" t="str">
            <v>GC</v>
          </cell>
          <cell r="AJ7" t="str">
            <v>T1</v>
          </cell>
          <cell r="AK7" t="str">
            <v>T2</v>
          </cell>
          <cell r="AL7" t="str">
            <v>GC</v>
          </cell>
          <cell r="AM7" t="str">
            <v>T1</v>
          </cell>
          <cell r="AN7" t="str">
            <v>T2</v>
          </cell>
          <cell r="AO7" t="str">
            <v>GC</v>
          </cell>
          <cell r="AP7" t="str">
            <v>T1</v>
          </cell>
          <cell r="AQ7" t="str">
            <v>T2</v>
          </cell>
          <cell r="AR7" t="str">
            <v>GC</v>
          </cell>
          <cell r="AS7" t="str">
            <v>T1</v>
          </cell>
          <cell r="AT7" t="str">
            <v>T2</v>
          </cell>
          <cell r="AU7" t="str">
            <v>GC</v>
          </cell>
          <cell r="AV7" t="str">
            <v>T1</v>
          </cell>
          <cell r="AW7" t="str">
            <v>T2</v>
          </cell>
          <cell r="AX7" t="str">
            <v>GC</v>
          </cell>
          <cell r="AY7" t="str">
            <v>T1</v>
          </cell>
          <cell r="AZ7" t="str">
            <v>T2</v>
          </cell>
          <cell r="BA7" t="str">
            <v>GC</v>
          </cell>
          <cell r="BB7" t="str">
            <v>T1</v>
          </cell>
          <cell r="BC7" t="str">
            <v>T2</v>
          </cell>
          <cell r="BD7" t="str">
            <v>GC</v>
          </cell>
          <cell r="BG7" t="str">
            <v>T1</v>
          </cell>
          <cell r="BH7" t="str">
            <v>T2</v>
          </cell>
          <cell r="BI7" t="str">
            <v>GC</v>
          </cell>
          <cell r="BJ7" t="str">
            <v>T1</v>
          </cell>
          <cell r="BK7" t="str">
            <v>T2</v>
          </cell>
          <cell r="BL7" t="str">
            <v>GC</v>
          </cell>
          <cell r="BM7" t="str">
            <v>T1</v>
          </cell>
          <cell r="BN7" t="str">
            <v>T2</v>
          </cell>
          <cell r="BO7" t="str">
            <v>GC</v>
          </cell>
          <cell r="BP7" t="str">
            <v>T1</v>
          </cell>
          <cell r="BQ7" t="str">
            <v>T2</v>
          </cell>
          <cell r="BR7" t="str">
            <v>GC</v>
          </cell>
          <cell r="BS7" t="str">
            <v>T1</v>
          </cell>
          <cell r="BT7" t="str">
            <v>T2</v>
          </cell>
          <cell r="BU7" t="str">
            <v>GC</v>
          </cell>
          <cell r="BV7" t="str">
            <v>T1</v>
          </cell>
          <cell r="BW7" t="str">
            <v>T2</v>
          </cell>
          <cell r="BX7" t="str">
            <v>GC</v>
          </cell>
          <cell r="BY7" t="str">
            <v>T1</v>
          </cell>
          <cell r="BZ7" t="str">
            <v>T2</v>
          </cell>
          <cell r="CA7" t="str">
            <v>GC</v>
          </cell>
          <cell r="CB7" t="str">
            <v>T1</v>
          </cell>
          <cell r="CC7" t="str">
            <v>T2</v>
          </cell>
          <cell r="CD7" t="str">
            <v>GC</v>
          </cell>
          <cell r="CE7" t="str">
            <v>T1</v>
          </cell>
          <cell r="CF7" t="str">
            <v>T2</v>
          </cell>
          <cell r="CG7" t="str">
            <v>GC</v>
          </cell>
          <cell r="CH7" t="str">
            <v>T1</v>
          </cell>
          <cell r="CI7" t="str">
            <v>T2</v>
          </cell>
          <cell r="CJ7" t="str">
            <v>GC</v>
          </cell>
          <cell r="CK7" t="str">
            <v>T1</v>
          </cell>
          <cell r="CL7" t="str">
            <v>T2</v>
          </cell>
          <cell r="CM7" t="str">
            <v>GC</v>
          </cell>
          <cell r="CN7" t="str">
            <v>T1</v>
          </cell>
          <cell r="CO7" t="str">
            <v>T2</v>
          </cell>
          <cell r="CP7" t="str">
            <v>GC</v>
          </cell>
          <cell r="CQ7" t="str">
            <v>T1</v>
          </cell>
          <cell r="CR7" t="str">
            <v>T2</v>
          </cell>
          <cell r="CS7" t="str">
            <v>GC</v>
          </cell>
          <cell r="CV7" t="str">
            <v>T1</v>
          </cell>
          <cell r="CW7" t="str">
            <v>T2</v>
          </cell>
          <cell r="CX7" t="str">
            <v>GC</v>
          </cell>
          <cell r="CY7" t="str">
            <v>T1</v>
          </cell>
          <cell r="CZ7" t="str">
            <v>T2</v>
          </cell>
          <cell r="DA7" t="str">
            <v>GC</v>
          </cell>
          <cell r="DB7" t="str">
            <v>T1</v>
          </cell>
          <cell r="DC7" t="str">
            <v>T2</v>
          </cell>
          <cell r="DD7" t="str">
            <v>GC</v>
          </cell>
          <cell r="DE7" t="str">
            <v>T1</v>
          </cell>
          <cell r="DF7" t="str">
            <v>T2</v>
          </cell>
          <cell r="DG7" t="str">
            <v>GC</v>
          </cell>
          <cell r="DH7" t="str">
            <v>T1</v>
          </cell>
          <cell r="DI7" t="str">
            <v>T2</v>
          </cell>
          <cell r="DJ7" t="str">
            <v>GC</v>
          </cell>
          <cell r="DK7" t="str">
            <v>T1</v>
          </cell>
          <cell r="DL7" t="str">
            <v>T2</v>
          </cell>
          <cell r="DM7" t="str">
            <v>GC</v>
          </cell>
          <cell r="DN7" t="str">
            <v>T1</v>
          </cell>
          <cell r="DO7" t="str">
            <v>T2</v>
          </cell>
          <cell r="DP7" t="str">
            <v>GC</v>
          </cell>
          <cell r="DQ7" t="str">
            <v>T1</v>
          </cell>
          <cell r="DR7" t="str">
            <v>T2</v>
          </cell>
          <cell r="DS7" t="str">
            <v>GC</v>
          </cell>
          <cell r="DT7" t="str">
            <v>T1</v>
          </cell>
          <cell r="DU7" t="str">
            <v>T2</v>
          </cell>
          <cell r="DV7" t="str">
            <v>GC</v>
          </cell>
          <cell r="DW7" t="str">
            <v>T1</v>
          </cell>
          <cell r="DX7" t="str">
            <v>T2</v>
          </cell>
          <cell r="DY7" t="str">
            <v>GC</v>
          </cell>
          <cell r="DZ7" t="str">
            <v>T1</v>
          </cell>
          <cell r="EA7" t="str">
            <v>T2</v>
          </cell>
          <cell r="EB7" t="str">
            <v>GC</v>
          </cell>
          <cell r="EC7" t="str">
            <v>T1</v>
          </cell>
          <cell r="ED7" t="str">
            <v>T2</v>
          </cell>
          <cell r="EE7" t="str">
            <v>GC</v>
          </cell>
        </row>
        <row r="8">
          <cell r="C8" t="str">
            <v>208 MCA Style Puretech 100</v>
          </cell>
          <cell r="D8" t="str">
            <v>208 MCA Style Gasolina 100hp MT</v>
          </cell>
          <cell r="G8">
            <v>0.05</v>
          </cell>
          <cell r="H8">
            <v>0.05</v>
          </cell>
          <cell r="I8">
            <v>0.05</v>
          </cell>
          <cell r="J8">
            <v>0.05</v>
          </cell>
          <cell r="K8">
            <v>0.05</v>
          </cell>
          <cell r="L8">
            <v>0.05</v>
          </cell>
          <cell r="M8">
            <v>0.05</v>
          </cell>
          <cell r="N8">
            <v>0.05</v>
          </cell>
          <cell r="O8">
            <v>0.05</v>
          </cell>
          <cell r="P8">
            <v>0.05</v>
          </cell>
          <cell r="Q8">
            <v>0.05</v>
          </cell>
          <cell r="R8">
            <v>0.05</v>
          </cell>
          <cell r="U8">
            <v>0.5</v>
          </cell>
          <cell r="V8">
            <v>0</v>
          </cell>
          <cell r="W8">
            <v>0.5</v>
          </cell>
          <cell r="X8">
            <v>0.5</v>
          </cell>
          <cell r="Y8">
            <v>0</v>
          </cell>
          <cell r="Z8">
            <v>0.5</v>
          </cell>
          <cell r="AA8">
            <v>0.5</v>
          </cell>
          <cell r="AB8">
            <v>0</v>
          </cell>
          <cell r="AC8">
            <v>0.5</v>
          </cell>
          <cell r="AD8">
            <v>0.5</v>
          </cell>
          <cell r="AE8">
            <v>0</v>
          </cell>
          <cell r="AF8">
            <v>0.5</v>
          </cell>
          <cell r="AG8">
            <v>0.5</v>
          </cell>
          <cell r="AH8">
            <v>0</v>
          </cell>
          <cell r="AI8">
            <v>0.5</v>
          </cell>
          <cell r="AJ8">
            <v>0.5</v>
          </cell>
          <cell r="AK8">
            <v>0</v>
          </cell>
          <cell r="AL8">
            <v>0.5</v>
          </cell>
          <cell r="AM8">
            <v>0.5</v>
          </cell>
          <cell r="AN8">
            <v>0</v>
          </cell>
          <cell r="AO8">
            <v>0.5</v>
          </cell>
          <cell r="AP8">
            <v>0.5</v>
          </cell>
          <cell r="AQ8">
            <v>0</v>
          </cell>
          <cell r="AR8">
            <v>0.5</v>
          </cell>
          <cell r="AS8">
            <v>0.5</v>
          </cell>
          <cell r="AT8">
            <v>0</v>
          </cell>
          <cell r="AU8">
            <v>0.5</v>
          </cell>
          <cell r="AV8">
            <v>0.5</v>
          </cell>
          <cell r="AW8">
            <v>0</v>
          </cell>
          <cell r="AX8">
            <v>0.5</v>
          </cell>
          <cell r="AY8">
            <v>0.5</v>
          </cell>
          <cell r="AZ8">
            <v>0</v>
          </cell>
          <cell r="BA8">
            <v>0.5</v>
          </cell>
          <cell r="BB8">
            <v>0.5</v>
          </cell>
          <cell r="BC8">
            <v>0</v>
          </cell>
          <cell r="BD8">
            <v>0.5</v>
          </cell>
          <cell r="BG8">
            <v>7.9999999999999988E-2</v>
          </cell>
          <cell r="BH8">
            <v>9.9999999999999992E-2</v>
          </cell>
          <cell r="BI8">
            <v>0.12000000000000001</v>
          </cell>
          <cell r="BJ8">
            <v>7.9999999999999988E-2</v>
          </cell>
          <cell r="BK8">
            <v>9.9999999999999992E-2</v>
          </cell>
          <cell r="BL8">
            <v>0.14000000000000001</v>
          </cell>
          <cell r="BM8">
            <v>7.9999999999999988E-2</v>
          </cell>
          <cell r="BN8">
            <v>9.9999999999999992E-2</v>
          </cell>
          <cell r="BO8">
            <v>0.14000000000000001</v>
          </cell>
          <cell r="BP8">
            <v>7.9999999999999988E-2</v>
          </cell>
          <cell r="BQ8">
            <v>9.9999999999999992E-2</v>
          </cell>
          <cell r="BR8">
            <v>0.14000000000000001</v>
          </cell>
          <cell r="BS8">
            <v>7.9999999999999988E-2</v>
          </cell>
          <cell r="BT8">
            <v>9.9999999999999992E-2</v>
          </cell>
          <cell r="BU8">
            <v>0.14000000000000001</v>
          </cell>
          <cell r="BV8">
            <v>7.9999999999999988E-2</v>
          </cell>
          <cell r="BW8">
            <v>9.9999999999999992E-2</v>
          </cell>
          <cell r="BX8">
            <v>0.14000000000000001</v>
          </cell>
          <cell r="BY8">
            <v>7.9999999999999988E-2</v>
          </cell>
          <cell r="BZ8">
            <v>9.9999999999999992E-2</v>
          </cell>
          <cell r="CA8">
            <v>0.14000000000000001</v>
          </cell>
          <cell r="CB8">
            <v>7.9999999999999988E-2</v>
          </cell>
          <cell r="CC8">
            <v>9.9999999999999992E-2</v>
          </cell>
          <cell r="CD8">
            <v>0.14000000000000001</v>
          </cell>
          <cell r="CE8">
            <v>7.9999999999999988E-2</v>
          </cell>
          <cell r="CF8">
            <v>9.9999999999999992E-2</v>
          </cell>
          <cell r="CG8">
            <v>0.14000000000000001</v>
          </cell>
          <cell r="CH8">
            <v>7.9999999999999988E-2</v>
          </cell>
          <cell r="CI8">
            <v>9.9999999999999992E-2</v>
          </cell>
          <cell r="CJ8">
            <v>0.14000000000000001</v>
          </cell>
          <cell r="CK8">
            <v>7.9999999999999988E-2</v>
          </cell>
          <cell r="CL8">
            <v>9.9999999999999992E-2</v>
          </cell>
          <cell r="CM8">
            <v>0.14000000000000001</v>
          </cell>
          <cell r="CN8">
            <v>7.9999999999999988E-2</v>
          </cell>
          <cell r="CO8">
            <v>9.9999999999999992E-2</v>
          </cell>
          <cell r="CP8">
            <v>0.14000000000000001</v>
          </cell>
          <cell r="CQ8">
            <v>7.9999999999999988E-2</v>
          </cell>
          <cell r="CR8">
            <v>9.9999999999999992E-2</v>
          </cell>
          <cell r="CS8">
            <v>0.14000000000000001</v>
          </cell>
          <cell r="CV8">
            <v>5.5E-2</v>
          </cell>
          <cell r="CW8">
            <v>4.4999999999999998E-2</v>
          </cell>
          <cell r="CX8">
            <v>0.03</v>
          </cell>
          <cell r="CY8">
            <v>5.5E-2</v>
          </cell>
          <cell r="CZ8">
            <v>4.4999999999999998E-2</v>
          </cell>
          <cell r="DA8">
            <v>0.03</v>
          </cell>
          <cell r="DB8">
            <v>5.5E-2</v>
          </cell>
          <cell r="DC8">
            <v>4.4999999999999998E-2</v>
          </cell>
          <cell r="DD8">
            <v>0.03</v>
          </cell>
          <cell r="DE8">
            <v>5.5E-2</v>
          </cell>
          <cell r="DF8">
            <v>4.4999999999999998E-2</v>
          </cell>
          <cell r="DG8">
            <v>0.03</v>
          </cell>
          <cell r="DH8">
            <v>5.5E-2</v>
          </cell>
          <cell r="DI8">
            <v>4.4999999999999998E-2</v>
          </cell>
          <cell r="DJ8">
            <v>0.03</v>
          </cell>
          <cell r="DK8">
            <v>5.5E-2</v>
          </cell>
          <cell r="DL8">
            <v>4.4999999999999998E-2</v>
          </cell>
          <cell r="DM8">
            <v>0.03</v>
          </cell>
          <cell r="DN8">
            <v>5.5E-2</v>
          </cell>
          <cell r="DO8">
            <v>4.4999999999999998E-2</v>
          </cell>
          <cell r="DP8">
            <v>0.03</v>
          </cell>
          <cell r="DQ8">
            <v>5.5E-2</v>
          </cell>
          <cell r="DR8">
            <v>4.4999999999999998E-2</v>
          </cell>
          <cell r="DS8">
            <v>0.03</v>
          </cell>
          <cell r="DT8">
            <v>5.5E-2</v>
          </cell>
          <cell r="DU8">
            <v>4.4999999999999998E-2</v>
          </cell>
          <cell r="DV8">
            <v>0.03</v>
          </cell>
          <cell r="DW8">
            <v>5.5E-2</v>
          </cell>
          <cell r="DX8">
            <v>4.4999999999999998E-2</v>
          </cell>
          <cell r="DY8">
            <v>0.03</v>
          </cell>
          <cell r="DZ8">
            <v>5.5E-2</v>
          </cell>
          <cell r="EA8">
            <v>4.4999999999999998E-2</v>
          </cell>
          <cell r="EB8">
            <v>0.03</v>
          </cell>
          <cell r="EC8">
            <v>5.5E-2</v>
          </cell>
          <cell r="ED8">
            <v>4.4999999999999998E-2</v>
          </cell>
          <cell r="EE8">
            <v>0.03</v>
          </cell>
          <cell r="EG8">
            <v>5.2500000000000005E-2</v>
          </cell>
          <cell r="EH8">
            <v>6.25E-2</v>
          </cell>
          <cell r="EI8">
            <v>6.25E-2</v>
          </cell>
          <cell r="EJ8">
            <v>6.25E-2</v>
          </cell>
          <cell r="EK8">
            <v>6.25E-2</v>
          </cell>
          <cell r="EL8">
            <v>6.25E-2</v>
          </cell>
          <cell r="EM8">
            <v>6.25E-2</v>
          </cell>
          <cell r="EN8">
            <v>6.25E-2</v>
          </cell>
          <cell r="EO8">
            <v>6.25E-2</v>
          </cell>
          <cell r="EP8">
            <v>6.25E-2</v>
          </cell>
          <cell r="EQ8">
            <v>6.25E-2</v>
          </cell>
          <cell r="ER8">
            <v>6.25E-2</v>
          </cell>
          <cell r="ES8">
            <v>6.25E-2</v>
          </cell>
          <cell r="EU8">
            <v>0.1</v>
          </cell>
          <cell r="EV8">
            <v>0.11</v>
          </cell>
          <cell r="EW8">
            <v>0.11</v>
          </cell>
          <cell r="EX8">
            <v>0.11</v>
          </cell>
          <cell r="EY8">
            <v>0.11</v>
          </cell>
          <cell r="EZ8">
            <v>0.11</v>
          </cell>
          <cell r="FA8">
            <v>0.11</v>
          </cell>
          <cell r="FB8">
            <v>0.11</v>
          </cell>
          <cell r="FC8">
            <v>0.11</v>
          </cell>
          <cell r="FD8">
            <v>0.11</v>
          </cell>
          <cell r="FE8">
            <v>0.11</v>
          </cell>
          <cell r="FF8">
            <v>0.11</v>
          </cell>
          <cell r="FG8">
            <v>0.11</v>
          </cell>
        </row>
        <row r="9">
          <cell r="C9" t="str">
            <v>208 MCA Style Puretech 75</v>
          </cell>
          <cell r="D9" t="str">
            <v>208 MCA Style Puretech 75 MT5</v>
          </cell>
          <cell r="G9">
            <v>0.05</v>
          </cell>
          <cell r="H9">
            <v>0.05</v>
          </cell>
          <cell r="I9">
            <v>0.05</v>
          </cell>
          <cell r="J9">
            <v>0.05</v>
          </cell>
          <cell r="K9">
            <v>0.05</v>
          </cell>
          <cell r="L9">
            <v>0.05</v>
          </cell>
          <cell r="M9">
            <v>0.05</v>
          </cell>
          <cell r="N9">
            <v>0.05</v>
          </cell>
          <cell r="O9">
            <v>0.05</v>
          </cell>
          <cell r="P9">
            <v>0.05</v>
          </cell>
          <cell r="Q9">
            <v>0.05</v>
          </cell>
          <cell r="R9">
            <v>0.05</v>
          </cell>
          <cell r="U9">
            <v>0.5</v>
          </cell>
          <cell r="V9">
            <v>0</v>
          </cell>
          <cell r="W9">
            <v>0.5</v>
          </cell>
          <cell r="X9">
            <v>0.5</v>
          </cell>
          <cell r="Y9">
            <v>0</v>
          </cell>
          <cell r="Z9">
            <v>0.5</v>
          </cell>
          <cell r="AA9">
            <v>0.5</v>
          </cell>
          <cell r="AB9">
            <v>0</v>
          </cell>
          <cell r="AC9">
            <v>0.5</v>
          </cell>
          <cell r="AD9">
            <v>0.5</v>
          </cell>
          <cell r="AE9">
            <v>0</v>
          </cell>
          <cell r="AF9">
            <v>0.5</v>
          </cell>
          <cell r="AG9">
            <v>0.5</v>
          </cell>
          <cell r="AH9">
            <v>0</v>
          </cell>
          <cell r="AI9">
            <v>0.5</v>
          </cell>
          <cell r="AJ9">
            <v>0.5</v>
          </cell>
          <cell r="AK9">
            <v>0</v>
          </cell>
          <cell r="AL9">
            <v>0.5</v>
          </cell>
          <cell r="AM9">
            <v>0.5</v>
          </cell>
          <cell r="AN9">
            <v>0</v>
          </cell>
          <cell r="AO9">
            <v>0.5</v>
          </cell>
          <cell r="AP9">
            <v>0.5</v>
          </cell>
          <cell r="AQ9">
            <v>0</v>
          </cell>
          <cell r="AR9">
            <v>0.5</v>
          </cell>
          <cell r="AS9">
            <v>0.5</v>
          </cell>
          <cell r="AT9">
            <v>0</v>
          </cell>
          <cell r="AU9">
            <v>0.5</v>
          </cell>
          <cell r="AV9">
            <v>0.5</v>
          </cell>
          <cell r="AW9">
            <v>0</v>
          </cell>
          <cell r="AX9">
            <v>0.5</v>
          </cell>
          <cell r="AY9">
            <v>0.5</v>
          </cell>
          <cell r="AZ9">
            <v>0</v>
          </cell>
          <cell r="BA9">
            <v>0.5</v>
          </cell>
          <cell r="BB9">
            <v>0.5</v>
          </cell>
          <cell r="BC9">
            <v>0</v>
          </cell>
          <cell r="BD9">
            <v>0.5</v>
          </cell>
          <cell r="BG9">
            <v>7.9999999999999988E-2</v>
          </cell>
          <cell r="BH9">
            <v>9.9999999999999992E-2</v>
          </cell>
          <cell r="BI9" t="str">
            <v>GC</v>
          </cell>
          <cell r="BJ9">
            <v>7.9999999999999988E-2</v>
          </cell>
          <cell r="BK9">
            <v>9.9999999999999992E-2</v>
          </cell>
          <cell r="BL9">
            <v>0.14000000000000001</v>
          </cell>
          <cell r="BM9">
            <v>7.9999999999999988E-2</v>
          </cell>
          <cell r="BN9">
            <v>9.9999999999999992E-2</v>
          </cell>
          <cell r="BO9">
            <v>0.14000000000000001</v>
          </cell>
          <cell r="BP9">
            <v>7.9999999999999988E-2</v>
          </cell>
          <cell r="BQ9">
            <v>9.9999999999999992E-2</v>
          </cell>
          <cell r="BR9">
            <v>0.14000000000000001</v>
          </cell>
          <cell r="BS9">
            <v>7.9999999999999988E-2</v>
          </cell>
          <cell r="BT9">
            <v>9.9999999999999992E-2</v>
          </cell>
          <cell r="BU9">
            <v>0.14000000000000001</v>
          </cell>
          <cell r="BV9">
            <v>7.9999999999999988E-2</v>
          </cell>
          <cell r="BW9">
            <v>9.9999999999999992E-2</v>
          </cell>
          <cell r="BX9">
            <v>0.14000000000000001</v>
          </cell>
          <cell r="BY9">
            <v>7.9999999999999988E-2</v>
          </cell>
          <cell r="BZ9">
            <v>9.9999999999999992E-2</v>
          </cell>
          <cell r="CA9">
            <v>0.14000000000000001</v>
          </cell>
          <cell r="CB9">
            <v>7.9999999999999988E-2</v>
          </cell>
          <cell r="CC9">
            <v>9.9999999999999992E-2</v>
          </cell>
          <cell r="CD9">
            <v>0.14000000000000001</v>
          </cell>
          <cell r="CE9">
            <v>7.9999999999999988E-2</v>
          </cell>
          <cell r="CF9">
            <v>9.9999999999999992E-2</v>
          </cell>
          <cell r="CG9">
            <v>0.14000000000000001</v>
          </cell>
          <cell r="CH9">
            <v>7.9999999999999988E-2</v>
          </cell>
          <cell r="CI9">
            <v>9.9999999999999992E-2</v>
          </cell>
          <cell r="CJ9">
            <v>0.14000000000000001</v>
          </cell>
          <cell r="CK9">
            <v>7.9999999999999988E-2</v>
          </cell>
          <cell r="CL9">
            <v>9.9999999999999992E-2</v>
          </cell>
          <cell r="CM9">
            <v>0.14000000000000001</v>
          </cell>
          <cell r="CN9">
            <v>7.9999999999999988E-2</v>
          </cell>
          <cell r="CO9">
            <v>9.9999999999999992E-2</v>
          </cell>
          <cell r="CP9">
            <v>0.14000000000000001</v>
          </cell>
          <cell r="CQ9">
            <v>7.9999999999999988E-2</v>
          </cell>
          <cell r="CR9">
            <v>9.9999999999999992E-2</v>
          </cell>
          <cell r="CS9">
            <v>0.14000000000000001</v>
          </cell>
          <cell r="CV9">
            <v>5.5E-2</v>
          </cell>
          <cell r="CW9">
            <v>4.4999999999999998E-2</v>
          </cell>
          <cell r="CX9">
            <v>0.03</v>
          </cell>
          <cell r="CY9">
            <v>5.5E-2</v>
          </cell>
          <cell r="CZ9">
            <v>4.4999999999999998E-2</v>
          </cell>
          <cell r="DA9">
            <v>0.03</v>
          </cell>
          <cell r="DB9">
            <v>5.5E-2</v>
          </cell>
          <cell r="DC9">
            <v>4.4999999999999998E-2</v>
          </cell>
          <cell r="DD9">
            <v>0.03</v>
          </cell>
          <cell r="DE9">
            <v>5.5E-2</v>
          </cell>
          <cell r="DF9">
            <v>4.4999999999999998E-2</v>
          </cell>
          <cell r="DG9">
            <v>0.03</v>
          </cell>
          <cell r="DH9">
            <v>5.5E-2</v>
          </cell>
          <cell r="DI9">
            <v>4.4999999999999998E-2</v>
          </cell>
          <cell r="DJ9">
            <v>0.03</v>
          </cell>
          <cell r="DK9">
            <v>5.5E-2</v>
          </cell>
          <cell r="DL9">
            <v>4.4999999999999998E-2</v>
          </cell>
          <cell r="DM9">
            <v>0.03</v>
          </cell>
          <cell r="DN9">
            <v>5.5E-2</v>
          </cell>
          <cell r="DO9">
            <v>4.4999999999999998E-2</v>
          </cell>
          <cell r="DP9">
            <v>0.03</v>
          </cell>
          <cell r="DQ9">
            <v>5.5E-2</v>
          </cell>
          <cell r="DR9">
            <v>4.4999999999999998E-2</v>
          </cell>
          <cell r="DS9">
            <v>0.03</v>
          </cell>
          <cell r="DT9">
            <v>5.5E-2</v>
          </cell>
          <cell r="DU9">
            <v>4.4999999999999998E-2</v>
          </cell>
          <cell r="DV9">
            <v>0.03</v>
          </cell>
          <cell r="DW9">
            <v>5.5E-2</v>
          </cell>
          <cell r="DX9">
            <v>4.4999999999999998E-2</v>
          </cell>
          <cell r="DY9">
            <v>0.03</v>
          </cell>
          <cell r="DZ9">
            <v>5.5E-2</v>
          </cell>
          <cell r="EA9">
            <v>4.4999999999999998E-2</v>
          </cell>
          <cell r="EB9">
            <v>0.03</v>
          </cell>
          <cell r="EC9">
            <v>5.5E-2</v>
          </cell>
          <cell r="ED9">
            <v>4.4999999999999998E-2</v>
          </cell>
          <cell r="EE9">
            <v>0.03</v>
          </cell>
          <cell r="EG9">
            <v>-7.5000000000000067E-3</v>
          </cell>
          <cell r="EH9">
            <v>6.25E-2</v>
          </cell>
          <cell r="EI9">
            <v>6.25E-2</v>
          </cell>
          <cell r="EJ9">
            <v>6.25E-2</v>
          </cell>
          <cell r="EK9">
            <v>6.25E-2</v>
          </cell>
          <cell r="EL9">
            <v>6.25E-2</v>
          </cell>
          <cell r="EM9">
            <v>6.25E-2</v>
          </cell>
          <cell r="EN9">
            <v>6.25E-2</v>
          </cell>
          <cell r="EO9">
            <v>6.25E-2</v>
          </cell>
          <cell r="EP9">
            <v>6.25E-2</v>
          </cell>
          <cell r="EQ9">
            <v>6.25E-2</v>
          </cell>
          <cell r="ER9">
            <v>6.25E-2</v>
          </cell>
          <cell r="ES9">
            <v>6.25E-2</v>
          </cell>
          <cell r="EU9">
            <v>3.9999999999999994E-2</v>
          </cell>
          <cell r="EV9">
            <v>0.11</v>
          </cell>
          <cell r="EW9">
            <v>0.11</v>
          </cell>
          <cell r="EX9">
            <v>0.11</v>
          </cell>
          <cell r="EY9">
            <v>0.11</v>
          </cell>
          <cell r="EZ9">
            <v>0.11</v>
          </cell>
          <cell r="FA9">
            <v>0.11</v>
          </cell>
          <cell r="FB9">
            <v>0.11</v>
          </cell>
          <cell r="FC9">
            <v>0.11</v>
          </cell>
          <cell r="FD9">
            <v>0.11</v>
          </cell>
          <cell r="FE9">
            <v>0.11</v>
          </cell>
          <cell r="FF9">
            <v>0.11</v>
          </cell>
          <cell r="FG9">
            <v>0.11</v>
          </cell>
        </row>
        <row r="10">
          <cell r="C10" t="str">
            <v>208 MCA Style Diesel</v>
          </cell>
          <cell r="D10" t="str">
            <v>208 MCA Style Diesel</v>
          </cell>
          <cell r="G10">
            <v>0.05</v>
          </cell>
          <cell r="H10">
            <v>0.05</v>
          </cell>
          <cell r="I10">
            <v>0.05</v>
          </cell>
          <cell r="J10">
            <v>0.05</v>
          </cell>
          <cell r="K10">
            <v>0.05</v>
          </cell>
          <cell r="L10">
            <v>0.05</v>
          </cell>
          <cell r="M10">
            <v>0.05</v>
          </cell>
          <cell r="N10">
            <v>0.05</v>
          </cell>
          <cell r="O10">
            <v>0.05</v>
          </cell>
          <cell r="P10">
            <v>0.05</v>
          </cell>
          <cell r="Q10">
            <v>0.05</v>
          </cell>
          <cell r="R10">
            <v>0.05</v>
          </cell>
          <cell r="U10">
            <v>0.5</v>
          </cell>
          <cell r="V10">
            <v>0</v>
          </cell>
          <cell r="W10">
            <v>0.5</v>
          </cell>
          <cell r="X10">
            <v>0.5</v>
          </cell>
          <cell r="Y10">
            <v>0</v>
          </cell>
          <cell r="Z10">
            <v>0.5</v>
          </cell>
          <cell r="AA10">
            <v>0.5</v>
          </cell>
          <cell r="AB10">
            <v>0</v>
          </cell>
          <cell r="AC10">
            <v>0.5</v>
          </cell>
          <cell r="AD10">
            <v>0.5</v>
          </cell>
          <cell r="AE10">
            <v>0</v>
          </cell>
          <cell r="AF10">
            <v>0.5</v>
          </cell>
          <cell r="AG10">
            <v>0.5</v>
          </cell>
          <cell r="AH10">
            <v>0</v>
          </cell>
          <cell r="AI10">
            <v>0.5</v>
          </cell>
          <cell r="AJ10">
            <v>0.5</v>
          </cell>
          <cell r="AK10">
            <v>0</v>
          </cell>
          <cell r="AL10">
            <v>0.5</v>
          </cell>
          <cell r="AM10">
            <v>0.5</v>
          </cell>
          <cell r="AN10">
            <v>0</v>
          </cell>
          <cell r="AO10">
            <v>0.5</v>
          </cell>
          <cell r="AP10">
            <v>0.5</v>
          </cell>
          <cell r="AQ10">
            <v>0</v>
          </cell>
          <cell r="AR10">
            <v>0.5</v>
          </cell>
          <cell r="AS10">
            <v>0.5</v>
          </cell>
          <cell r="AT10">
            <v>0</v>
          </cell>
          <cell r="AU10">
            <v>0.5</v>
          </cell>
          <cell r="AV10">
            <v>0.5</v>
          </cell>
          <cell r="AW10">
            <v>0</v>
          </cell>
          <cell r="AX10">
            <v>0.5</v>
          </cell>
          <cell r="AY10">
            <v>0.5</v>
          </cell>
          <cell r="AZ10">
            <v>0</v>
          </cell>
          <cell r="BA10">
            <v>0.5</v>
          </cell>
          <cell r="BB10">
            <v>0.5</v>
          </cell>
          <cell r="BC10">
            <v>0</v>
          </cell>
          <cell r="BD10">
            <v>0.5</v>
          </cell>
          <cell r="BG10">
            <v>7.9999999999999988E-2</v>
          </cell>
          <cell r="BH10">
            <v>9.9999999999999992E-2</v>
          </cell>
          <cell r="BI10">
            <v>0.12000000000000001</v>
          </cell>
          <cell r="BJ10">
            <v>7.9999999999999988E-2</v>
          </cell>
          <cell r="BK10">
            <v>9.9999999999999992E-2</v>
          </cell>
          <cell r="BL10">
            <v>0.14000000000000001</v>
          </cell>
          <cell r="BM10">
            <v>7.9999999999999988E-2</v>
          </cell>
          <cell r="BN10">
            <v>9.9999999999999992E-2</v>
          </cell>
          <cell r="BO10">
            <v>0.14000000000000001</v>
          </cell>
          <cell r="BP10">
            <v>7.9999999999999988E-2</v>
          </cell>
          <cell r="BQ10">
            <v>9.9999999999999992E-2</v>
          </cell>
          <cell r="BR10">
            <v>0.14000000000000001</v>
          </cell>
          <cell r="BS10">
            <v>7.9999999999999988E-2</v>
          </cell>
          <cell r="BT10">
            <v>9.9999999999999992E-2</v>
          </cell>
          <cell r="BU10">
            <v>0.14000000000000001</v>
          </cell>
          <cell r="BV10">
            <v>7.9999999999999988E-2</v>
          </cell>
          <cell r="BW10">
            <v>9.9999999999999992E-2</v>
          </cell>
          <cell r="BX10">
            <v>0.14000000000000001</v>
          </cell>
          <cell r="BY10">
            <v>7.9999999999999988E-2</v>
          </cell>
          <cell r="BZ10">
            <v>9.9999999999999992E-2</v>
          </cell>
          <cell r="CA10">
            <v>0.14000000000000001</v>
          </cell>
          <cell r="CB10">
            <v>7.9999999999999988E-2</v>
          </cell>
          <cell r="CC10">
            <v>9.9999999999999992E-2</v>
          </cell>
          <cell r="CD10">
            <v>0.14000000000000001</v>
          </cell>
          <cell r="CE10">
            <v>7.9999999999999988E-2</v>
          </cell>
          <cell r="CF10">
            <v>9.9999999999999992E-2</v>
          </cell>
          <cell r="CG10">
            <v>0.14000000000000001</v>
          </cell>
          <cell r="CH10">
            <v>7.9999999999999988E-2</v>
          </cell>
          <cell r="CI10">
            <v>9.9999999999999992E-2</v>
          </cell>
          <cell r="CJ10">
            <v>0.14000000000000001</v>
          </cell>
          <cell r="CK10">
            <v>7.9999999999999988E-2</v>
          </cell>
          <cell r="CL10">
            <v>9.9999999999999992E-2</v>
          </cell>
          <cell r="CM10">
            <v>0.14000000000000001</v>
          </cell>
          <cell r="CN10">
            <v>7.9999999999999988E-2</v>
          </cell>
          <cell r="CO10">
            <v>9.9999999999999992E-2</v>
          </cell>
          <cell r="CP10">
            <v>0.14000000000000001</v>
          </cell>
          <cell r="CQ10">
            <v>7.9999999999999988E-2</v>
          </cell>
          <cell r="CR10">
            <v>9.9999999999999992E-2</v>
          </cell>
          <cell r="CS10">
            <v>0.14000000000000001</v>
          </cell>
          <cell r="CV10">
            <v>5.5E-2</v>
          </cell>
          <cell r="CW10">
            <v>4.4999999999999998E-2</v>
          </cell>
          <cell r="CX10">
            <v>0.03</v>
          </cell>
          <cell r="CY10">
            <v>5.5E-2</v>
          </cell>
          <cell r="CZ10">
            <v>4.4999999999999998E-2</v>
          </cell>
          <cell r="DA10">
            <v>0.03</v>
          </cell>
          <cell r="DB10">
            <v>5.5E-2</v>
          </cell>
          <cell r="DC10">
            <v>4.4999999999999998E-2</v>
          </cell>
          <cell r="DD10">
            <v>0.03</v>
          </cell>
          <cell r="DE10">
            <v>5.5E-2</v>
          </cell>
          <cell r="DF10">
            <v>4.4999999999999998E-2</v>
          </cell>
          <cell r="DG10">
            <v>0.03</v>
          </cell>
          <cell r="DH10">
            <v>5.5E-2</v>
          </cell>
          <cell r="DI10">
            <v>4.4999999999999998E-2</v>
          </cell>
          <cell r="DJ10">
            <v>0.03</v>
          </cell>
          <cell r="DK10">
            <v>5.5E-2</v>
          </cell>
          <cell r="DL10">
            <v>4.4999999999999998E-2</v>
          </cell>
          <cell r="DM10">
            <v>0.03</v>
          </cell>
          <cell r="DN10">
            <v>5.5E-2</v>
          </cell>
          <cell r="DO10">
            <v>4.4999999999999998E-2</v>
          </cell>
          <cell r="DP10">
            <v>0.03</v>
          </cell>
          <cell r="DQ10">
            <v>5.5E-2</v>
          </cell>
          <cell r="DR10">
            <v>4.4999999999999998E-2</v>
          </cell>
          <cell r="DS10">
            <v>0.03</v>
          </cell>
          <cell r="DT10">
            <v>5.5E-2</v>
          </cell>
          <cell r="DU10">
            <v>4.4999999999999998E-2</v>
          </cell>
          <cell r="DV10">
            <v>0.03</v>
          </cell>
          <cell r="DW10">
            <v>5.5E-2</v>
          </cell>
          <cell r="DX10">
            <v>4.4999999999999998E-2</v>
          </cell>
          <cell r="DY10">
            <v>0.03</v>
          </cell>
          <cell r="DZ10">
            <v>5.5E-2</v>
          </cell>
          <cell r="EA10">
            <v>4.4999999999999998E-2</v>
          </cell>
          <cell r="EB10">
            <v>0.03</v>
          </cell>
          <cell r="EC10">
            <v>5.5E-2</v>
          </cell>
          <cell r="ED10">
            <v>4.4999999999999998E-2</v>
          </cell>
          <cell r="EE10">
            <v>0.03</v>
          </cell>
          <cell r="EG10">
            <v>5.2500000000000005E-2</v>
          </cell>
          <cell r="EH10">
            <v>6.25E-2</v>
          </cell>
          <cell r="EI10">
            <v>6.25E-2</v>
          </cell>
          <cell r="EJ10">
            <v>6.25E-2</v>
          </cell>
          <cell r="EK10">
            <v>6.25E-2</v>
          </cell>
          <cell r="EL10">
            <v>6.25E-2</v>
          </cell>
          <cell r="EM10">
            <v>6.25E-2</v>
          </cell>
          <cell r="EN10">
            <v>6.25E-2</v>
          </cell>
          <cell r="EO10">
            <v>6.25E-2</v>
          </cell>
          <cell r="EP10">
            <v>6.25E-2</v>
          </cell>
          <cell r="EQ10">
            <v>6.25E-2</v>
          </cell>
          <cell r="ER10">
            <v>6.25E-2</v>
          </cell>
          <cell r="ES10">
            <v>6.25E-2</v>
          </cell>
          <cell r="EU10">
            <v>0.1</v>
          </cell>
          <cell r="EV10">
            <v>0.11</v>
          </cell>
          <cell r="EW10">
            <v>0.11</v>
          </cell>
          <cell r="EX10">
            <v>0.11</v>
          </cell>
          <cell r="EY10">
            <v>0.11</v>
          </cell>
          <cell r="EZ10">
            <v>0.11</v>
          </cell>
          <cell r="FA10">
            <v>0.11</v>
          </cell>
          <cell r="FB10">
            <v>0.11</v>
          </cell>
          <cell r="FC10">
            <v>0.11</v>
          </cell>
          <cell r="FD10">
            <v>0.11</v>
          </cell>
          <cell r="FE10">
            <v>0.11</v>
          </cell>
          <cell r="FF10">
            <v>0.11</v>
          </cell>
          <cell r="FG10">
            <v>0.11</v>
          </cell>
        </row>
        <row r="11">
          <cell r="C11" t="str">
            <v>208 MCA ALLURE MHEV 136 EDCT6</v>
          </cell>
          <cell r="D11" t="str">
            <v>208 MCA Allure Hybrid 136hp AT</v>
          </cell>
          <cell r="G11">
            <v>0.05</v>
          </cell>
          <cell r="H11">
            <v>0.05</v>
          </cell>
          <cell r="I11">
            <v>0.05</v>
          </cell>
          <cell r="J11">
            <v>0.05</v>
          </cell>
          <cell r="K11">
            <v>0.05</v>
          </cell>
          <cell r="L11">
            <v>0.05</v>
          </cell>
          <cell r="M11">
            <v>0.05</v>
          </cell>
          <cell r="N11">
            <v>0.05</v>
          </cell>
          <cell r="O11">
            <v>0.05</v>
          </cell>
          <cell r="P11">
            <v>0.05</v>
          </cell>
          <cell r="Q11">
            <v>0.05</v>
          </cell>
          <cell r="R11">
            <v>0.05</v>
          </cell>
          <cell r="U11">
            <v>1</v>
          </cell>
          <cell r="V11">
            <v>0</v>
          </cell>
          <cell r="W11">
            <v>0</v>
          </cell>
          <cell r="X11">
            <v>1</v>
          </cell>
          <cell r="Y11">
            <v>0</v>
          </cell>
          <cell r="Z11">
            <v>0</v>
          </cell>
          <cell r="AA11">
            <v>1</v>
          </cell>
          <cell r="AB11">
            <v>0</v>
          </cell>
          <cell r="AC11">
            <v>0</v>
          </cell>
          <cell r="AD11">
            <v>1</v>
          </cell>
          <cell r="AE11">
            <v>0</v>
          </cell>
          <cell r="AF11">
            <v>0</v>
          </cell>
          <cell r="AG11">
            <v>1</v>
          </cell>
          <cell r="AH11">
            <v>0</v>
          </cell>
          <cell r="AI11">
            <v>0</v>
          </cell>
          <cell r="AJ11">
            <v>1</v>
          </cell>
          <cell r="AK11">
            <v>0</v>
          </cell>
          <cell r="AL11">
            <v>0</v>
          </cell>
          <cell r="AM11">
            <v>1</v>
          </cell>
          <cell r="AN11">
            <v>0</v>
          </cell>
          <cell r="AO11">
            <v>0</v>
          </cell>
          <cell r="AP11">
            <v>1</v>
          </cell>
          <cell r="AQ11">
            <v>0</v>
          </cell>
          <cell r="AR11">
            <v>0</v>
          </cell>
          <cell r="AS11">
            <v>1</v>
          </cell>
          <cell r="AT11">
            <v>0</v>
          </cell>
          <cell r="AU11">
            <v>0</v>
          </cell>
          <cell r="AV11">
            <v>1</v>
          </cell>
          <cell r="AW11">
            <v>0</v>
          </cell>
          <cell r="AX11">
            <v>0</v>
          </cell>
          <cell r="AY11">
            <v>1</v>
          </cell>
          <cell r="AZ11">
            <v>0</v>
          </cell>
          <cell r="BA11">
            <v>0</v>
          </cell>
          <cell r="BB11">
            <v>1</v>
          </cell>
          <cell r="BC11">
            <v>0</v>
          </cell>
          <cell r="BD11">
            <v>0</v>
          </cell>
          <cell r="BG11">
            <v>7.9999999999999988E-2</v>
          </cell>
          <cell r="BH11">
            <v>9.9999999999999992E-2</v>
          </cell>
          <cell r="BI11">
            <v>0.12000000000000001</v>
          </cell>
          <cell r="BJ11">
            <v>7.9999999999999988E-2</v>
          </cell>
          <cell r="BK11">
            <v>9.9999999999999992E-2</v>
          </cell>
          <cell r="BL11">
            <v>0.14000000000000001</v>
          </cell>
          <cell r="BM11">
            <v>7.9999999999999988E-2</v>
          </cell>
          <cell r="BN11">
            <v>9.9999999999999992E-2</v>
          </cell>
          <cell r="BO11">
            <v>0.14000000000000001</v>
          </cell>
          <cell r="BP11">
            <v>7.9999999999999988E-2</v>
          </cell>
          <cell r="BQ11">
            <v>9.9999999999999992E-2</v>
          </cell>
          <cell r="BR11">
            <v>0.14000000000000001</v>
          </cell>
          <cell r="BS11">
            <v>7.9999999999999988E-2</v>
          </cell>
          <cell r="BT11">
            <v>9.9999999999999992E-2</v>
          </cell>
          <cell r="BU11">
            <v>0.14000000000000001</v>
          </cell>
          <cell r="BV11">
            <v>7.9999999999999988E-2</v>
          </cell>
          <cell r="BW11">
            <v>9.9999999999999992E-2</v>
          </cell>
          <cell r="BX11">
            <v>0.14000000000000001</v>
          </cell>
          <cell r="BY11">
            <v>7.9999999999999988E-2</v>
          </cell>
          <cell r="BZ11">
            <v>9.9999999999999992E-2</v>
          </cell>
          <cell r="CA11">
            <v>0.14000000000000001</v>
          </cell>
          <cell r="CB11">
            <v>7.9999999999999988E-2</v>
          </cell>
          <cell r="CC11">
            <v>9.9999999999999992E-2</v>
          </cell>
          <cell r="CD11">
            <v>0.14000000000000001</v>
          </cell>
          <cell r="CE11">
            <v>7.9999999999999988E-2</v>
          </cell>
          <cell r="CF11">
            <v>9.9999999999999992E-2</v>
          </cell>
          <cell r="CG11">
            <v>0.14000000000000001</v>
          </cell>
          <cell r="CH11">
            <v>7.9999999999999988E-2</v>
          </cell>
          <cell r="CI11">
            <v>9.9999999999999992E-2</v>
          </cell>
          <cell r="CJ11">
            <v>0.14000000000000001</v>
          </cell>
          <cell r="CK11">
            <v>7.9999999999999988E-2</v>
          </cell>
          <cell r="CL11">
            <v>9.9999999999999992E-2</v>
          </cell>
          <cell r="CM11">
            <v>0.14000000000000001</v>
          </cell>
          <cell r="CN11">
            <v>7.9999999999999988E-2</v>
          </cell>
          <cell r="CO11">
            <v>9.9999999999999992E-2</v>
          </cell>
          <cell r="CP11">
            <v>0.14000000000000001</v>
          </cell>
          <cell r="CQ11">
            <v>7.9999999999999988E-2</v>
          </cell>
          <cell r="CR11">
            <v>9.9999999999999992E-2</v>
          </cell>
          <cell r="CS11">
            <v>0.14000000000000001</v>
          </cell>
          <cell r="CV11">
            <v>5.5E-2</v>
          </cell>
          <cell r="CW11">
            <v>4.4999999999999998E-2</v>
          </cell>
          <cell r="CX11">
            <v>0.03</v>
          </cell>
          <cell r="CY11">
            <v>5.5E-2</v>
          </cell>
          <cell r="CZ11">
            <v>4.4999999999999998E-2</v>
          </cell>
          <cell r="DA11">
            <v>0.03</v>
          </cell>
          <cell r="DB11">
            <v>5.5E-2</v>
          </cell>
          <cell r="DC11">
            <v>4.4999999999999998E-2</v>
          </cell>
          <cell r="DD11">
            <v>0.03</v>
          </cell>
          <cell r="DE11">
            <v>5.5E-2</v>
          </cell>
          <cell r="DF11">
            <v>4.4999999999999998E-2</v>
          </cell>
          <cell r="DG11">
            <v>0.03</v>
          </cell>
          <cell r="DH11">
            <v>5.5E-2</v>
          </cell>
          <cell r="DI11">
            <v>4.4999999999999998E-2</v>
          </cell>
          <cell r="DJ11">
            <v>0.03</v>
          </cell>
          <cell r="DK11">
            <v>5.5E-2</v>
          </cell>
          <cell r="DL11">
            <v>4.4999999999999998E-2</v>
          </cell>
          <cell r="DM11">
            <v>0.03</v>
          </cell>
          <cell r="DN11">
            <v>5.5E-2</v>
          </cell>
          <cell r="DO11">
            <v>4.4999999999999998E-2</v>
          </cell>
          <cell r="DP11">
            <v>0.03</v>
          </cell>
          <cell r="DQ11">
            <v>5.5E-2</v>
          </cell>
          <cell r="DR11">
            <v>4.4999999999999998E-2</v>
          </cell>
          <cell r="DS11">
            <v>0.03</v>
          </cell>
          <cell r="DT11">
            <v>5.5E-2</v>
          </cell>
          <cell r="DU11">
            <v>4.4999999999999998E-2</v>
          </cell>
          <cell r="DV11">
            <v>0.03</v>
          </cell>
          <cell r="DW11">
            <v>5.5E-2</v>
          </cell>
          <cell r="DX11">
            <v>4.4999999999999998E-2</v>
          </cell>
          <cell r="DY11">
            <v>0.03</v>
          </cell>
          <cell r="DZ11">
            <v>5.5E-2</v>
          </cell>
          <cell r="EA11">
            <v>4.4999999999999998E-2</v>
          </cell>
          <cell r="EB11">
            <v>0.03</v>
          </cell>
          <cell r="EC11">
            <v>5.5E-2</v>
          </cell>
          <cell r="ED11">
            <v>4.4999999999999998E-2</v>
          </cell>
          <cell r="EE11">
            <v>0.03</v>
          </cell>
          <cell r="EG11">
            <v>4.4999999999999991E-2</v>
          </cell>
          <cell r="EH11">
            <v>4.4999999999999991E-2</v>
          </cell>
          <cell r="EI11">
            <v>4.4999999999999991E-2</v>
          </cell>
          <cell r="EJ11">
            <v>4.4999999999999991E-2</v>
          </cell>
          <cell r="EK11">
            <v>4.4999999999999991E-2</v>
          </cell>
          <cell r="EL11">
            <v>4.4999999999999991E-2</v>
          </cell>
          <cell r="EM11">
            <v>4.4999999999999991E-2</v>
          </cell>
          <cell r="EN11">
            <v>4.4999999999999991E-2</v>
          </cell>
          <cell r="EO11">
            <v>4.4999999999999991E-2</v>
          </cell>
          <cell r="EP11">
            <v>4.4999999999999991E-2</v>
          </cell>
          <cell r="EQ11">
            <v>4.4999999999999991E-2</v>
          </cell>
          <cell r="ER11">
            <v>4.4999999999999991E-2</v>
          </cell>
          <cell r="ES11">
            <v>4.4999999999999991E-2</v>
          </cell>
          <cell r="EU11">
            <v>7.9999999999999988E-2</v>
          </cell>
          <cell r="EV11">
            <v>7.9999999999999988E-2</v>
          </cell>
          <cell r="EW11">
            <v>7.9999999999999988E-2</v>
          </cell>
          <cell r="EX11">
            <v>7.9999999999999988E-2</v>
          </cell>
          <cell r="EY11">
            <v>7.9999999999999988E-2</v>
          </cell>
          <cell r="EZ11">
            <v>7.9999999999999988E-2</v>
          </cell>
          <cell r="FA11">
            <v>7.9999999999999988E-2</v>
          </cell>
          <cell r="FB11">
            <v>7.9999999999999988E-2</v>
          </cell>
          <cell r="FC11">
            <v>7.9999999999999988E-2</v>
          </cell>
          <cell r="FD11">
            <v>7.9999999999999988E-2</v>
          </cell>
          <cell r="FE11">
            <v>7.9999999999999988E-2</v>
          </cell>
          <cell r="FF11">
            <v>7.9999999999999988E-2</v>
          </cell>
          <cell r="FG11">
            <v>7.9999999999999988E-2</v>
          </cell>
        </row>
        <row r="12">
          <cell r="C12" t="str">
            <v>208 MCA STYLE MHEV 100 eDCT6</v>
          </cell>
          <cell r="D12" t="str">
            <v>208 MCA Style Hybrid 100hp AT</v>
          </cell>
          <cell r="G12">
            <v>0.05</v>
          </cell>
          <cell r="H12">
            <v>0.05</v>
          </cell>
          <cell r="I12">
            <v>0.05</v>
          </cell>
          <cell r="J12">
            <v>0.05</v>
          </cell>
          <cell r="K12">
            <v>0.05</v>
          </cell>
          <cell r="L12">
            <v>0.05</v>
          </cell>
          <cell r="M12">
            <v>0.05</v>
          </cell>
          <cell r="N12">
            <v>0.05</v>
          </cell>
          <cell r="O12">
            <v>0.05</v>
          </cell>
          <cell r="P12">
            <v>0.05</v>
          </cell>
          <cell r="Q12">
            <v>0.05</v>
          </cell>
          <cell r="R12">
            <v>0.05</v>
          </cell>
          <cell r="U12">
            <v>0.5</v>
          </cell>
          <cell r="V12">
            <v>0</v>
          </cell>
          <cell r="W12">
            <v>0.5</v>
          </cell>
          <cell r="X12">
            <v>0.5</v>
          </cell>
          <cell r="Y12">
            <v>0</v>
          </cell>
          <cell r="Z12">
            <v>0.5</v>
          </cell>
          <cell r="AA12">
            <v>0.5</v>
          </cell>
          <cell r="AB12">
            <v>0</v>
          </cell>
          <cell r="AC12">
            <v>0.5</v>
          </cell>
          <cell r="AD12">
            <v>0.5</v>
          </cell>
          <cell r="AE12">
            <v>0</v>
          </cell>
          <cell r="AF12">
            <v>0.5</v>
          </cell>
          <cell r="AG12">
            <v>0.5</v>
          </cell>
          <cell r="AH12">
            <v>0</v>
          </cell>
          <cell r="AI12">
            <v>0.5</v>
          </cell>
          <cell r="AJ12">
            <v>0.5</v>
          </cell>
          <cell r="AK12">
            <v>0</v>
          </cell>
          <cell r="AL12">
            <v>0.5</v>
          </cell>
          <cell r="AM12">
            <v>0.5</v>
          </cell>
          <cell r="AN12">
            <v>0</v>
          </cell>
          <cell r="AO12">
            <v>0.5</v>
          </cell>
          <cell r="AP12">
            <v>0.5</v>
          </cell>
          <cell r="AQ12">
            <v>0</v>
          </cell>
          <cell r="AR12">
            <v>0.5</v>
          </cell>
          <cell r="AS12">
            <v>0.5</v>
          </cell>
          <cell r="AT12">
            <v>0</v>
          </cell>
          <cell r="AU12">
            <v>0.5</v>
          </cell>
          <cell r="AV12">
            <v>0.5</v>
          </cell>
          <cell r="AW12">
            <v>0</v>
          </cell>
          <cell r="AX12">
            <v>0.5</v>
          </cell>
          <cell r="AY12">
            <v>0.5</v>
          </cell>
          <cell r="AZ12">
            <v>0</v>
          </cell>
          <cell r="BA12">
            <v>0.5</v>
          </cell>
          <cell r="BB12">
            <v>0.5</v>
          </cell>
          <cell r="BC12">
            <v>0</v>
          </cell>
          <cell r="BD12">
            <v>0.5</v>
          </cell>
          <cell r="BG12">
            <v>7.9999999999999988E-2</v>
          </cell>
          <cell r="BH12">
            <v>9.9999999999999992E-2</v>
          </cell>
          <cell r="BI12">
            <v>0.12000000000000001</v>
          </cell>
          <cell r="BJ12">
            <v>7.9999999999999988E-2</v>
          </cell>
          <cell r="BK12">
            <v>9.9999999999999992E-2</v>
          </cell>
          <cell r="BL12">
            <v>0.14000000000000001</v>
          </cell>
          <cell r="BM12">
            <v>7.9999999999999988E-2</v>
          </cell>
          <cell r="BN12">
            <v>9.9999999999999992E-2</v>
          </cell>
          <cell r="BO12">
            <v>0.14000000000000001</v>
          </cell>
          <cell r="BP12">
            <v>7.9999999999999988E-2</v>
          </cell>
          <cell r="BQ12">
            <v>9.9999999999999992E-2</v>
          </cell>
          <cell r="BR12">
            <v>0.14000000000000001</v>
          </cell>
          <cell r="BS12">
            <v>7.9999999999999988E-2</v>
          </cell>
          <cell r="BT12">
            <v>9.9999999999999992E-2</v>
          </cell>
          <cell r="BU12">
            <v>0.14000000000000001</v>
          </cell>
          <cell r="BV12">
            <v>7.9999999999999988E-2</v>
          </cell>
          <cell r="BW12">
            <v>9.9999999999999992E-2</v>
          </cell>
          <cell r="BX12">
            <v>0.14000000000000001</v>
          </cell>
          <cell r="BY12">
            <v>7.9999999999999988E-2</v>
          </cell>
          <cell r="BZ12">
            <v>9.9999999999999992E-2</v>
          </cell>
          <cell r="CA12">
            <v>0.14000000000000001</v>
          </cell>
          <cell r="CB12">
            <v>7.9999999999999988E-2</v>
          </cell>
          <cell r="CC12">
            <v>9.9999999999999992E-2</v>
          </cell>
          <cell r="CD12">
            <v>0.14000000000000001</v>
          </cell>
          <cell r="CE12">
            <v>7.9999999999999988E-2</v>
          </cell>
          <cell r="CF12">
            <v>9.9999999999999992E-2</v>
          </cell>
          <cell r="CG12">
            <v>0.14000000000000001</v>
          </cell>
          <cell r="CH12">
            <v>7.9999999999999988E-2</v>
          </cell>
          <cell r="CI12">
            <v>9.9999999999999992E-2</v>
          </cell>
          <cell r="CJ12">
            <v>0.14000000000000001</v>
          </cell>
          <cell r="CK12">
            <v>7.9999999999999988E-2</v>
          </cell>
          <cell r="CL12">
            <v>9.9999999999999992E-2</v>
          </cell>
          <cell r="CM12">
            <v>0.14000000000000001</v>
          </cell>
          <cell r="CN12">
            <v>7.9999999999999988E-2</v>
          </cell>
          <cell r="CO12">
            <v>9.9999999999999992E-2</v>
          </cell>
          <cell r="CP12">
            <v>0.14000000000000001</v>
          </cell>
          <cell r="CQ12">
            <v>7.9999999999999988E-2</v>
          </cell>
          <cell r="CR12">
            <v>9.9999999999999992E-2</v>
          </cell>
          <cell r="CS12">
            <v>0.14000000000000001</v>
          </cell>
          <cell r="CV12">
            <v>5.5E-2</v>
          </cell>
          <cell r="CW12">
            <v>4.4999999999999998E-2</v>
          </cell>
          <cell r="CX12">
            <v>0.03</v>
          </cell>
          <cell r="CY12">
            <v>5.5E-2</v>
          </cell>
          <cell r="CZ12">
            <v>4.4999999999999998E-2</v>
          </cell>
          <cell r="DA12">
            <v>0.03</v>
          </cell>
          <cell r="DB12">
            <v>5.5E-2</v>
          </cell>
          <cell r="DC12">
            <v>4.4999999999999998E-2</v>
          </cell>
          <cell r="DD12">
            <v>0.03</v>
          </cell>
          <cell r="DE12">
            <v>5.5E-2</v>
          </cell>
          <cell r="DF12">
            <v>4.4999999999999998E-2</v>
          </cell>
          <cell r="DG12">
            <v>0.03</v>
          </cell>
          <cell r="DH12">
            <v>5.5E-2</v>
          </cell>
          <cell r="DI12">
            <v>4.4999999999999998E-2</v>
          </cell>
          <cell r="DJ12">
            <v>0.03</v>
          </cell>
          <cell r="DK12">
            <v>5.5E-2</v>
          </cell>
          <cell r="DL12">
            <v>4.4999999999999998E-2</v>
          </cell>
          <cell r="DM12">
            <v>0.03</v>
          </cell>
          <cell r="DN12">
            <v>5.5E-2</v>
          </cell>
          <cell r="DO12">
            <v>4.4999999999999998E-2</v>
          </cell>
          <cell r="DP12">
            <v>0.03</v>
          </cell>
          <cell r="DQ12">
            <v>5.5E-2</v>
          </cell>
          <cell r="DR12">
            <v>4.4999999999999998E-2</v>
          </cell>
          <cell r="DS12">
            <v>0.03</v>
          </cell>
          <cell r="DT12">
            <v>5.5E-2</v>
          </cell>
          <cell r="DU12">
            <v>4.4999999999999998E-2</v>
          </cell>
          <cell r="DV12">
            <v>0.03</v>
          </cell>
          <cell r="DW12">
            <v>5.5E-2</v>
          </cell>
          <cell r="DX12">
            <v>4.4999999999999998E-2</v>
          </cell>
          <cell r="DY12">
            <v>0.03</v>
          </cell>
          <cell r="DZ12">
            <v>5.5E-2</v>
          </cell>
          <cell r="EA12">
            <v>4.4999999999999998E-2</v>
          </cell>
          <cell r="EB12">
            <v>0.03</v>
          </cell>
          <cell r="EC12">
            <v>5.5E-2</v>
          </cell>
          <cell r="ED12">
            <v>4.4999999999999998E-2</v>
          </cell>
          <cell r="EE12">
            <v>0.03</v>
          </cell>
          <cell r="EG12">
            <v>5.2500000000000005E-2</v>
          </cell>
          <cell r="EH12">
            <v>6.25E-2</v>
          </cell>
          <cell r="EI12">
            <v>6.25E-2</v>
          </cell>
          <cell r="EJ12">
            <v>6.25E-2</v>
          </cell>
          <cell r="EK12">
            <v>6.25E-2</v>
          </cell>
          <cell r="EL12">
            <v>6.25E-2</v>
          </cell>
          <cell r="EM12">
            <v>6.25E-2</v>
          </cell>
          <cell r="EN12">
            <v>6.25E-2</v>
          </cell>
          <cell r="EO12">
            <v>6.25E-2</v>
          </cell>
          <cell r="EP12">
            <v>6.25E-2</v>
          </cell>
          <cell r="EQ12">
            <v>6.25E-2</v>
          </cell>
          <cell r="ER12">
            <v>6.25E-2</v>
          </cell>
          <cell r="ES12">
            <v>6.25E-2</v>
          </cell>
          <cell r="EU12">
            <v>0.1</v>
          </cell>
          <cell r="EV12">
            <v>0.11</v>
          </cell>
          <cell r="EW12">
            <v>0.11</v>
          </cell>
          <cell r="EX12">
            <v>0.11</v>
          </cell>
          <cell r="EY12">
            <v>0.11</v>
          </cell>
          <cell r="EZ12">
            <v>0.11</v>
          </cell>
          <cell r="FA12">
            <v>0.11</v>
          </cell>
          <cell r="FB12">
            <v>0.11</v>
          </cell>
          <cell r="FC12">
            <v>0.11</v>
          </cell>
          <cell r="FD12">
            <v>0.11</v>
          </cell>
          <cell r="FE12">
            <v>0.11</v>
          </cell>
          <cell r="FF12">
            <v>0.11</v>
          </cell>
          <cell r="FG12">
            <v>0.11</v>
          </cell>
        </row>
        <row r="13">
          <cell r="D13"/>
          <cell r="G13">
            <v>0.05</v>
          </cell>
          <cell r="H13">
            <v>0.05</v>
          </cell>
          <cell r="I13">
            <v>0.05</v>
          </cell>
          <cell r="J13">
            <v>0.05</v>
          </cell>
          <cell r="K13">
            <v>0.05</v>
          </cell>
          <cell r="L13">
            <v>0.05</v>
          </cell>
          <cell r="M13">
            <v>0.05</v>
          </cell>
          <cell r="N13">
            <v>0.05</v>
          </cell>
          <cell r="O13">
            <v>0.05</v>
          </cell>
          <cell r="P13">
            <v>0.05</v>
          </cell>
          <cell r="Q13">
            <v>0.05</v>
          </cell>
          <cell r="R13">
            <v>0.05</v>
          </cell>
          <cell r="U13">
            <v>0.5</v>
          </cell>
          <cell r="V13">
            <v>0</v>
          </cell>
          <cell r="W13">
            <v>0.5</v>
          </cell>
          <cell r="X13">
            <v>0.5</v>
          </cell>
          <cell r="Y13">
            <v>0</v>
          </cell>
          <cell r="Z13">
            <v>0.5</v>
          </cell>
          <cell r="AA13">
            <v>0.5</v>
          </cell>
          <cell r="AB13">
            <v>0</v>
          </cell>
          <cell r="AC13">
            <v>0.5</v>
          </cell>
          <cell r="AD13">
            <v>0.5</v>
          </cell>
          <cell r="AE13">
            <v>0</v>
          </cell>
          <cell r="AF13">
            <v>0.5</v>
          </cell>
          <cell r="AG13">
            <v>0.5</v>
          </cell>
          <cell r="AH13">
            <v>0</v>
          </cell>
          <cell r="AI13">
            <v>0.5</v>
          </cell>
          <cell r="AJ13">
            <v>0.5</v>
          </cell>
          <cell r="AK13">
            <v>0</v>
          </cell>
          <cell r="AL13">
            <v>0.5</v>
          </cell>
          <cell r="AM13">
            <v>0.5</v>
          </cell>
          <cell r="AN13">
            <v>0</v>
          </cell>
          <cell r="AO13">
            <v>0.5</v>
          </cell>
          <cell r="AP13">
            <v>0.5</v>
          </cell>
          <cell r="AQ13">
            <v>0</v>
          </cell>
          <cell r="AR13">
            <v>0.5</v>
          </cell>
          <cell r="AS13">
            <v>0.5</v>
          </cell>
          <cell r="AT13">
            <v>0</v>
          </cell>
          <cell r="AU13">
            <v>0.5</v>
          </cell>
          <cell r="AV13">
            <v>0.5</v>
          </cell>
          <cell r="AW13">
            <v>0</v>
          </cell>
          <cell r="AX13">
            <v>0.5</v>
          </cell>
          <cell r="AY13">
            <v>0.5</v>
          </cell>
          <cell r="AZ13">
            <v>0</v>
          </cell>
          <cell r="BA13">
            <v>0.5</v>
          </cell>
          <cell r="BB13">
            <v>0.5</v>
          </cell>
          <cell r="BC13">
            <v>0</v>
          </cell>
          <cell r="BD13">
            <v>0.5</v>
          </cell>
          <cell r="BG13">
            <v>7.9999999999999988E-2</v>
          </cell>
          <cell r="BH13">
            <v>9.9999999999999992E-2</v>
          </cell>
          <cell r="BI13">
            <v>0.12000000000000001</v>
          </cell>
          <cell r="BJ13">
            <v>7.9999999999999988E-2</v>
          </cell>
          <cell r="BK13">
            <v>9.9999999999999992E-2</v>
          </cell>
          <cell r="BL13">
            <v>0.14000000000000001</v>
          </cell>
          <cell r="BM13">
            <v>7.9999999999999988E-2</v>
          </cell>
          <cell r="BN13">
            <v>9.9999999999999992E-2</v>
          </cell>
          <cell r="BO13">
            <v>0.14000000000000001</v>
          </cell>
          <cell r="BP13">
            <v>7.9999999999999988E-2</v>
          </cell>
          <cell r="BQ13">
            <v>9.9999999999999992E-2</v>
          </cell>
          <cell r="BR13">
            <v>0.14000000000000001</v>
          </cell>
          <cell r="BS13">
            <v>7.9999999999999988E-2</v>
          </cell>
          <cell r="BT13">
            <v>9.9999999999999992E-2</v>
          </cell>
          <cell r="BU13">
            <v>0.14000000000000001</v>
          </cell>
          <cell r="BV13">
            <v>7.9999999999999988E-2</v>
          </cell>
          <cell r="BW13">
            <v>9.9999999999999992E-2</v>
          </cell>
          <cell r="BX13">
            <v>0.14000000000000001</v>
          </cell>
          <cell r="BY13">
            <v>7.9999999999999988E-2</v>
          </cell>
          <cell r="BZ13">
            <v>9.9999999999999992E-2</v>
          </cell>
          <cell r="CA13">
            <v>0.14000000000000001</v>
          </cell>
          <cell r="CB13">
            <v>7.9999999999999988E-2</v>
          </cell>
          <cell r="CC13">
            <v>9.9999999999999992E-2</v>
          </cell>
          <cell r="CD13">
            <v>0.14000000000000001</v>
          </cell>
          <cell r="CE13">
            <v>7.9999999999999988E-2</v>
          </cell>
          <cell r="CF13">
            <v>9.9999999999999992E-2</v>
          </cell>
          <cell r="CG13">
            <v>0.14000000000000001</v>
          </cell>
          <cell r="CH13">
            <v>7.9999999999999988E-2</v>
          </cell>
          <cell r="CI13">
            <v>9.9999999999999992E-2</v>
          </cell>
          <cell r="CJ13">
            <v>0.14000000000000001</v>
          </cell>
          <cell r="CK13">
            <v>7.9999999999999988E-2</v>
          </cell>
          <cell r="CL13">
            <v>9.9999999999999992E-2</v>
          </cell>
          <cell r="CM13">
            <v>0.14000000000000001</v>
          </cell>
          <cell r="CN13">
            <v>7.9999999999999988E-2</v>
          </cell>
          <cell r="CO13">
            <v>9.9999999999999992E-2</v>
          </cell>
          <cell r="CP13">
            <v>0.14000000000000001</v>
          </cell>
          <cell r="CQ13">
            <v>7.9999999999999988E-2</v>
          </cell>
          <cell r="CR13">
            <v>9.9999999999999992E-2</v>
          </cell>
          <cell r="CS13">
            <v>0.14000000000000001</v>
          </cell>
          <cell r="CV13">
            <v>5.5E-2</v>
          </cell>
          <cell r="CW13">
            <v>4.4999999999999998E-2</v>
          </cell>
          <cell r="CX13">
            <v>0.03</v>
          </cell>
          <cell r="CY13">
            <v>5.5E-2</v>
          </cell>
          <cell r="CZ13">
            <v>4.4999999999999998E-2</v>
          </cell>
          <cell r="DA13">
            <v>0.03</v>
          </cell>
          <cell r="DB13">
            <v>5.5E-2</v>
          </cell>
          <cell r="DC13">
            <v>4.4999999999999998E-2</v>
          </cell>
          <cell r="DD13">
            <v>0.03</v>
          </cell>
          <cell r="DE13">
            <v>5.5E-2</v>
          </cell>
          <cell r="DF13">
            <v>4.4999999999999998E-2</v>
          </cell>
          <cell r="DG13">
            <v>0.03</v>
          </cell>
          <cell r="DH13">
            <v>5.5E-2</v>
          </cell>
          <cell r="DI13">
            <v>4.4999999999999998E-2</v>
          </cell>
          <cell r="DJ13">
            <v>0.03</v>
          </cell>
          <cell r="DK13">
            <v>5.5E-2</v>
          </cell>
          <cell r="DL13">
            <v>4.4999999999999998E-2</v>
          </cell>
          <cell r="DM13">
            <v>0.03</v>
          </cell>
          <cell r="DN13">
            <v>5.5E-2</v>
          </cell>
          <cell r="DO13">
            <v>4.4999999999999998E-2</v>
          </cell>
          <cell r="DP13">
            <v>0.03</v>
          </cell>
          <cell r="DQ13">
            <v>5.5E-2</v>
          </cell>
          <cell r="DR13">
            <v>4.4999999999999998E-2</v>
          </cell>
          <cell r="DS13">
            <v>0.03</v>
          </cell>
          <cell r="DT13">
            <v>5.5E-2</v>
          </cell>
          <cell r="DU13">
            <v>4.4999999999999998E-2</v>
          </cell>
          <cell r="DV13">
            <v>0.03</v>
          </cell>
          <cell r="DW13">
            <v>5.5E-2</v>
          </cell>
          <cell r="DX13">
            <v>4.4999999999999998E-2</v>
          </cell>
          <cell r="DY13">
            <v>0.03</v>
          </cell>
          <cell r="DZ13">
            <v>5.5E-2</v>
          </cell>
          <cell r="EA13">
            <v>4.4999999999999998E-2</v>
          </cell>
          <cell r="EB13">
            <v>0.03</v>
          </cell>
          <cell r="EC13">
            <v>5.5E-2</v>
          </cell>
          <cell r="ED13">
            <v>4.4999999999999998E-2</v>
          </cell>
          <cell r="EE13">
            <v>0.03</v>
          </cell>
          <cell r="EG13">
            <v>5.2500000000000005E-2</v>
          </cell>
          <cell r="EH13">
            <v>6.25E-2</v>
          </cell>
          <cell r="EI13">
            <v>6.25E-2</v>
          </cell>
          <cell r="EJ13">
            <v>6.25E-2</v>
          </cell>
          <cell r="EK13">
            <v>6.25E-2</v>
          </cell>
          <cell r="EL13">
            <v>6.25E-2</v>
          </cell>
          <cell r="EM13">
            <v>6.25E-2</v>
          </cell>
          <cell r="EN13">
            <v>6.25E-2</v>
          </cell>
          <cell r="EO13">
            <v>6.25E-2</v>
          </cell>
          <cell r="EP13">
            <v>6.25E-2</v>
          </cell>
          <cell r="EQ13">
            <v>6.25E-2</v>
          </cell>
          <cell r="ER13">
            <v>6.25E-2</v>
          </cell>
          <cell r="ES13">
            <v>6.25E-2</v>
          </cell>
          <cell r="EU13">
            <v>0.1</v>
          </cell>
          <cell r="EV13">
            <v>0.11</v>
          </cell>
          <cell r="EW13">
            <v>0.11</v>
          </cell>
          <cell r="EX13">
            <v>0.11</v>
          </cell>
          <cell r="EY13">
            <v>0.11</v>
          </cell>
          <cell r="EZ13">
            <v>0.11</v>
          </cell>
          <cell r="FA13">
            <v>0.11</v>
          </cell>
          <cell r="FB13">
            <v>0.11</v>
          </cell>
          <cell r="FC13">
            <v>0.11</v>
          </cell>
          <cell r="FD13">
            <v>0.11</v>
          </cell>
          <cell r="FE13">
            <v>0.11</v>
          </cell>
          <cell r="FF13">
            <v>0.11</v>
          </cell>
          <cell r="FG13">
            <v>0.11</v>
          </cell>
        </row>
        <row r="14">
          <cell r="D14"/>
          <cell r="G14">
            <v>0.05</v>
          </cell>
          <cell r="H14">
            <v>0.05</v>
          </cell>
          <cell r="I14">
            <v>0.05</v>
          </cell>
          <cell r="J14">
            <v>0.05</v>
          </cell>
          <cell r="K14">
            <v>0.05</v>
          </cell>
          <cell r="L14">
            <v>0.05</v>
          </cell>
          <cell r="M14">
            <v>0.05</v>
          </cell>
          <cell r="N14">
            <v>0.05</v>
          </cell>
          <cell r="O14">
            <v>0.05</v>
          </cell>
          <cell r="P14">
            <v>0.05</v>
          </cell>
          <cell r="Q14">
            <v>0.05</v>
          </cell>
          <cell r="R14">
            <v>0.05</v>
          </cell>
          <cell r="U14">
            <v>0.5</v>
          </cell>
          <cell r="V14">
            <v>0</v>
          </cell>
          <cell r="W14">
            <v>0.5</v>
          </cell>
          <cell r="X14">
            <v>0.5</v>
          </cell>
          <cell r="Y14">
            <v>0</v>
          </cell>
          <cell r="Z14">
            <v>0.5</v>
          </cell>
          <cell r="AA14">
            <v>0.5</v>
          </cell>
          <cell r="AB14">
            <v>0</v>
          </cell>
          <cell r="AC14">
            <v>0.5</v>
          </cell>
          <cell r="AD14">
            <v>0.5</v>
          </cell>
          <cell r="AE14">
            <v>0</v>
          </cell>
          <cell r="AF14">
            <v>0.5</v>
          </cell>
          <cell r="AG14">
            <v>0.5</v>
          </cell>
          <cell r="AH14">
            <v>0</v>
          </cell>
          <cell r="AI14">
            <v>0.5</v>
          </cell>
          <cell r="AJ14">
            <v>0.5</v>
          </cell>
          <cell r="AK14">
            <v>0</v>
          </cell>
          <cell r="AL14">
            <v>0.5</v>
          </cell>
          <cell r="AM14">
            <v>0.5</v>
          </cell>
          <cell r="AN14">
            <v>0</v>
          </cell>
          <cell r="AO14">
            <v>0.5</v>
          </cell>
          <cell r="AP14">
            <v>0.5</v>
          </cell>
          <cell r="AQ14">
            <v>0</v>
          </cell>
          <cell r="AR14">
            <v>0.5</v>
          </cell>
          <cell r="AS14">
            <v>0.5</v>
          </cell>
          <cell r="AT14">
            <v>0</v>
          </cell>
          <cell r="AU14">
            <v>0.5</v>
          </cell>
          <cell r="AV14">
            <v>0.5</v>
          </cell>
          <cell r="AW14">
            <v>0</v>
          </cell>
          <cell r="AX14">
            <v>0.5</v>
          </cell>
          <cell r="AY14">
            <v>0.5</v>
          </cell>
          <cell r="AZ14">
            <v>0</v>
          </cell>
          <cell r="BA14">
            <v>0.5</v>
          </cell>
          <cell r="BB14">
            <v>0.5</v>
          </cell>
          <cell r="BC14">
            <v>0</v>
          </cell>
          <cell r="BD14">
            <v>0.5</v>
          </cell>
          <cell r="BG14">
            <v>7.9999999999999988E-2</v>
          </cell>
          <cell r="BH14">
            <v>9.9999999999999992E-2</v>
          </cell>
          <cell r="BI14">
            <v>0.12000000000000001</v>
          </cell>
          <cell r="BJ14">
            <v>7.9999999999999988E-2</v>
          </cell>
          <cell r="BK14">
            <v>9.9999999999999992E-2</v>
          </cell>
          <cell r="BL14">
            <v>0.14000000000000001</v>
          </cell>
          <cell r="BM14">
            <v>7.9999999999999988E-2</v>
          </cell>
          <cell r="BN14">
            <v>9.9999999999999992E-2</v>
          </cell>
          <cell r="BO14">
            <v>0.14000000000000001</v>
          </cell>
          <cell r="BP14">
            <v>7.9999999999999988E-2</v>
          </cell>
          <cell r="BQ14">
            <v>9.9999999999999992E-2</v>
          </cell>
          <cell r="BR14">
            <v>0.14000000000000001</v>
          </cell>
          <cell r="BS14">
            <v>7.9999999999999988E-2</v>
          </cell>
          <cell r="BT14">
            <v>9.9999999999999992E-2</v>
          </cell>
          <cell r="BU14">
            <v>0.14000000000000001</v>
          </cell>
          <cell r="BV14">
            <v>7.9999999999999988E-2</v>
          </cell>
          <cell r="BW14">
            <v>9.9999999999999992E-2</v>
          </cell>
          <cell r="BX14">
            <v>0.14000000000000001</v>
          </cell>
          <cell r="BY14">
            <v>7.9999999999999988E-2</v>
          </cell>
          <cell r="BZ14">
            <v>9.9999999999999992E-2</v>
          </cell>
          <cell r="CA14">
            <v>0.14000000000000001</v>
          </cell>
          <cell r="CB14">
            <v>7.9999999999999988E-2</v>
          </cell>
          <cell r="CC14">
            <v>9.9999999999999992E-2</v>
          </cell>
          <cell r="CD14">
            <v>0.14000000000000001</v>
          </cell>
          <cell r="CE14">
            <v>7.9999999999999988E-2</v>
          </cell>
          <cell r="CF14">
            <v>9.9999999999999992E-2</v>
          </cell>
          <cell r="CG14">
            <v>0.14000000000000001</v>
          </cell>
          <cell r="CH14">
            <v>7.9999999999999988E-2</v>
          </cell>
          <cell r="CI14">
            <v>9.9999999999999992E-2</v>
          </cell>
          <cell r="CJ14">
            <v>0.14000000000000001</v>
          </cell>
          <cell r="CK14">
            <v>7.9999999999999988E-2</v>
          </cell>
          <cell r="CL14">
            <v>9.9999999999999992E-2</v>
          </cell>
          <cell r="CM14">
            <v>0.14000000000000001</v>
          </cell>
          <cell r="CN14">
            <v>7.9999999999999988E-2</v>
          </cell>
          <cell r="CO14">
            <v>9.9999999999999992E-2</v>
          </cell>
          <cell r="CP14">
            <v>0.14000000000000001</v>
          </cell>
          <cell r="CQ14">
            <v>7.9999999999999988E-2</v>
          </cell>
          <cell r="CR14">
            <v>9.9999999999999992E-2</v>
          </cell>
          <cell r="CS14">
            <v>0.14000000000000001</v>
          </cell>
          <cell r="CV14">
            <v>5.5E-2</v>
          </cell>
          <cell r="CW14">
            <v>4.4999999999999998E-2</v>
          </cell>
          <cell r="CX14">
            <v>0.03</v>
          </cell>
          <cell r="CY14">
            <v>5.5E-2</v>
          </cell>
          <cell r="CZ14">
            <v>4.4999999999999998E-2</v>
          </cell>
          <cell r="DA14">
            <v>0.03</v>
          </cell>
          <cell r="DB14">
            <v>5.5E-2</v>
          </cell>
          <cell r="DC14">
            <v>4.4999999999999998E-2</v>
          </cell>
          <cell r="DD14">
            <v>0.03</v>
          </cell>
          <cell r="DE14">
            <v>5.5E-2</v>
          </cell>
          <cell r="DF14">
            <v>4.4999999999999998E-2</v>
          </cell>
          <cell r="DG14">
            <v>0.03</v>
          </cell>
          <cell r="DH14">
            <v>5.5E-2</v>
          </cell>
          <cell r="DI14">
            <v>4.4999999999999998E-2</v>
          </cell>
          <cell r="DJ14">
            <v>0.03</v>
          </cell>
          <cell r="DK14">
            <v>5.5E-2</v>
          </cell>
          <cell r="DL14">
            <v>4.4999999999999998E-2</v>
          </cell>
          <cell r="DM14">
            <v>0.03</v>
          </cell>
          <cell r="DN14">
            <v>5.5E-2</v>
          </cell>
          <cell r="DO14">
            <v>4.4999999999999998E-2</v>
          </cell>
          <cell r="DP14">
            <v>0.03</v>
          </cell>
          <cell r="DQ14">
            <v>5.5E-2</v>
          </cell>
          <cell r="DR14">
            <v>4.4999999999999998E-2</v>
          </cell>
          <cell r="DS14">
            <v>0.03</v>
          </cell>
          <cell r="DT14">
            <v>5.5E-2</v>
          </cell>
          <cell r="DU14">
            <v>4.4999999999999998E-2</v>
          </cell>
          <cell r="DV14">
            <v>0.03</v>
          </cell>
          <cell r="DW14">
            <v>5.5E-2</v>
          </cell>
          <cell r="DX14">
            <v>4.4999999999999998E-2</v>
          </cell>
          <cell r="DY14">
            <v>0.03</v>
          </cell>
          <cell r="DZ14">
            <v>5.5E-2</v>
          </cell>
          <cell r="EA14">
            <v>4.4999999999999998E-2</v>
          </cell>
          <cell r="EB14">
            <v>0.03</v>
          </cell>
          <cell r="EC14">
            <v>5.5E-2</v>
          </cell>
          <cell r="ED14">
            <v>4.4999999999999998E-2</v>
          </cell>
          <cell r="EE14">
            <v>0.03</v>
          </cell>
          <cell r="EG14">
            <v>5.2500000000000005E-2</v>
          </cell>
          <cell r="EH14">
            <v>6.25E-2</v>
          </cell>
          <cell r="EI14">
            <v>6.25E-2</v>
          </cell>
          <cell r="EJ14">
            <v>6.25E-2</v>
          </cell>
          <cell r="EK14">
            <v>6.25E-2</v>
          </cell>
          <cell r="EL14">
            <v>6.25E-2</v>
          </cell>
          <cell r="EM14">
            <v>6.25E-2</v>
          </cell>
          <cell r="EN14">
            <v>6.25E-2</v>
          </cell>
          <cell r="EO14">
            <v>6.25E-2</v>
          </cell>
          <cell r="EP14">
            <v>6.25E-2</v>
          </cell>
          <cell r="EQ14">
            <v>6.25E-2</v>
          </cell>
          <cell r="ER14">
            <v>6.25E-2</v>
          </cell>
          <cell r="ES14">
            <v>6.25E-2</v>
          </cell>
          <cell r="EU14">
            <v>0.1</v>
          </cell>
          <cell r="EV14">
            <v>0.11</v>
          </cell>
          <cell r="EW14">
            <v>0.11</v>
          </cell>
          <cell r="EX14">
            <v>0.11</v>
          </cell>
          <cell r="EY14">
            <v>0.11</v>
          </cell>
          <cell r="EZ14">
            <v>0.11</v>
          </cell>
          <cell r="FA14">
            <v>0.11</v>
          </cell>
          <cell r="FB14">
            <v>0.11</v>
          </cell>
          <cell r="FC14">
            <v>0.11</v>
          </cell>
          <cell r="FD14">
            <v>0.11</v>
          </cell>
          <cell r="FE14">
            <v>0.11</v>
          </cell>
          <cell r="FF14">
            <v>0.11</v>
          </cell>
          <cell r="FG14">
            <v>0.11</v>
          </cell>
        </row>
        <row r="15">
          <cell r="C15" t="str">
            <v>208 MCA GT EV</v>
          </cell>
          <cell r="D15" t="str">
            <v>208 MCA GT Electric</v>
          </cell>
          <cell r="G15">
            <v>0.05</v>
          </cell>
          <cell r="H15">
            <v>0.05</v>
          </cell>
          <cell r="I15">
            <v>0.05</v>
          </cell>
          <cell r="J15">
            <v>0.05</v>
          </cell>
          <cell r="K15">
            <v>0.05</v>
          </cell>
          <cell r="L15">
            <v>0.05</v>
          </cell>
          <cell r="M15">
            <v>0.05</v>
          </cell>
          <cell r="N15">
            <v>0.05</v>
          </cell>
          <cell r="O15">
            <v>0.05</v>
          </cell>
          <cell r="P15">
            <v>0.05</v>
          </cell>
          <cell r="Q15">
            <v>0.05</v>
          </cell>
          <cell r="R15">
            <v>0.05</v>
          </cell>
          <cell r="U15">
            <v>0.5</v>
          </cell>
          <cell r="V15">
            <v>0</v>
          </cell>
          <cell r="W15">
            <v>0.5</v>
          </cell>
          <cell r="X15">
            <v>0.5</v>
          </cell>
          <cell r="Y15">
            <v>0</v>
          </cell>
          <cell r="Z15">
            <v>0.5</v>
          </cell>
          <cell r="AA15">
            <v>0.5</v>
          </cell>
          <cell r="AB15">
            <v>0</v>
          </cell>
          <cell r="AC15">
            <v>0.5</v>
          </cell>
          <cell r="AD15">
            <v>0.5</v>
          </cell>
          <cell r="AE15">
            <v>0</v>
          </cell>
          <cell r="AF15">
            <v>0.5</v>
          </cell>
          <cell r="AG15">
            <v>0.5</v>
          </cell>
          <cell r="AH15">
            <v>0</v>
          </cell>
          <cell r="AI15">
            <v>0.5</v>
          </cell>
          <cell r="AJ15">
            <v>0.5</v>
          </cell>
          <cell r="AK15">
            <v>0</v>
          </cell>
          <cell r="AL15">
            <v>0.5</v>
          </cell>
          <cell r="AM15">
            <v>0.5</v>
          </cell>
          <cell r="AN15">
            <v>0</v>
          </cell>
          <cell r="AO15">
            <v>0.5</v>
          </cell>
          <cell r="AP15">
            <v>0.5</v>
          </cell>
          <cell r="AQ15">
            <v>0</v>
          </cell>
          <cell r="AR15">
            <v>0.5</v>
          </cell>
          <cell r="AS15">
            <v>0.5</v>
          </cell>
          <cell r="AT15">
            <v>0</v>
          </cell>
          <cell r="AU15">
            <v>0.5</v>
          </cell>
          <cell r="AV15">
            <v>0.5</v>
          </cell>
          <cell r="AW15">
            <v>0</v>
          </cell>
          <cell r="AX15">
            <v>0.5</v>
          </cell>
          <cell r="AY15">
            <v>0.5</v>
          </cell>
          <cell r="AZ15">
            <v>0</v>
          </cell>
          <cell r="BA15">
            <v>0.5</v>
          </cell>
          <cell r="BB15">
            <v>0.5</v>
          </cell>
          <cell r="BC15">
            <v>0</v>
          </cell>
          <cell r="BD15">
            <v>0.5</v>
          </cell>
          <cell r="BG15">
            <v>5.9999999999999984E-2</v>
          </cell>
          <cell r="BH15">
            <v>7.9999999999999988E-2</v>
          </cell>
          <cell r="BI15">
            <v>9.9999999999999992E-2</v>
          </cell>
          <cell r="BJ15">
            <v>5.9999999999999984E-2</v>
          </cell>
          <cell r="BK15">
            <v>7.9999999999999988E-2</v>
          </cell>
          <cell r="BL15">
            <v>0.14000000000000001</v>
          </cell>
          <cell r="BM15">
            <v>5.9999999999999984E-2</v>
          </cell>
          <cell r="BN15">
            <v>7.9999999999999988E-2</v>
          </cell>
          <cell r="BO15">
            <v>0.14000000000000001</v>
          </cell>
          <cell r="BP15">
            <v>5.9999999999999984E-2</v>
          </cell>
          <cell r="BQ15">
            <v>7.9999999999999988E-2</v>
          </cell>
          <cell r="BR15">
            <v>0.14000000000000001</v>
          </cell>
          <cell r="BS15">
            <v>5.9999999999999984E-2</v>
          </cell>
          <cell r="BT15">
            <v>7.9999999999999988E-2</v>
          </cell>
          <cell r="BU15">
            <v>0.14000000000000001</v>
          </cell>
          <cell r="BV15">
            <v>5.9999999999999984E-2</v>
          </cell>
          <cell r="BW15">
            <v>7.9999999999999988E-2</v>
          </cell>
          <cell r="BX15">
            <v>0.14000000000000001</v>
          </cell>
          <cell r="BY15">
            <v>5.9999999999999984E-2</v>
          </cell>
          <cell r="BZ15">
            <v>7.9999999999999988E-2</v>
          </cell>
          <cell r="CA15">
            <v>0.14000000000000001</v>
          </cell>
          <cell r="CB15">
            <v>5.9999999999999984E-2</v>
          </cell>
          <cell r="CC15">
            <v>7.9999999999999988E-2</v>
          </cell>
          <cell r="CD15">
            <v>0.14000000000000001</v>
          </cell>
          <cell r="CE15">
            <v>5.9999999999999984E-2</v>
          </cell>
          <cell r="CF15">
            <v>7.9999999999999988E-2</v>
          </cell>
          <cell r="CG15">
            <v>0.14000000000000001</v>
          </cell>
          <cell r="CH15">
            <v>5.9999999999999984E-2</v>
          </cell>
          <cell r="CI15">
            <v>7.9999999999999988E-2</v>
          </cell>
          <cell r="CJ15">
            <v>0.14000000000000001</v>
          </cell>
          <cell r="CK15">
            <v>5.9999999999999984E-2</v>
          </cell>
          <cell r="CL15">
            <v>7.9999999999999988E-2</v>
          </cell>
          <cell r="CM15">
            <v>0.14000000000000001</v>
          </cell>
          <cell r="CN15">
            <v>5.9999999999999984E-2</v>
          </cell>
          <cell r="CO15">
            <v>7.9999999999999988E-2</v>
          </cell>
          <cell r="CP15">
            <v>0.14000000000000001</v>
          </cell>
          <cell r="CQ15">
            <v>5.9999999999999984E-2</v>
          </cell>
          <cell r="CR15">
            <v>7.9999999999999988E-2</v>
          </cell>
          <cell r="CS15">
            <v>0.14000000000000001</v>
          </cell>
          <cell r="CV15">
            <v>5.5E-2</v>
          </cell>
          <cell r="CW15">
            <v>4.4999999999999998E-2</v>
          </cell>
          <cell r="CX15">
            <v>0.04</v>
          </cell>
          <cell r="CY15">
            <v>5.5E-2</v>
          </cell>
          <cell r="CZ15">
            <v>4.4999999999999998E-2</v>
          </cell>
          <cell r="DA15">
            <v>0.04</v>
          </cell>
          <cell r="DB15">
            <v>5.5E-2</v>
          </cell>
          <cell r="DC15">
            <v>4.4999999999999998E-2</v>
          </cell>
          <cell r="DD15">
            <v>0.04</v>
          </cell>
          <cell r="DE15">
            <v>5.5E-2</v>
          </cell>
          <cell r="DF15">
            <v>4.4999999999999998E-2</v>
          </cell>
          <cell r="DG15">
            <v>0.04</v>
          </cell>
          <cell r="DH15">
            <v>5.5E-2</v>
          </cell>
          <cell r="DI15">
            <v>4.4999999999999998E-2</v>
          </cell>
          <cell r="DJ15">
            <v>0.04</v>
          </cell>
          <cell r="DK15">
            <v>5.5E-2</v>
          </cell>
          <cell r="DL15">
            <v>4.4999999999999998E-2</v>
          </cell>
          <cell r="DM15">
            <v>0.04</v>
          </cell>
          <cell r="DN15">
            <v>5.5E-2</v>
          </cell>
          <cell r="DO15">
            <v>4.4999999999999998E-2</v>
          </cell>
          <cell r="DP15">
            <v>0.04</v>
          </cell>
          <cell r="DQ15">
            <v>5.5E-2</v>
          </cell>
          <cell r="DR15">
            <v>4.4999999999999998E-2</v>
          </cell>
          <cell r="DS15">
            <v>0.04</v>
          </cell>
          <cell r="DT15">
            <v>5.5E-2</v>
          </cell>
          <cell r="DU15">
            <v>4.4999999999999998E-2</v>
          </cell>
          <cell r="DV15">
            <v>0.04</v>
          </cell>
          <cell r="DW15">
            <v>5.5E-2</v>
          </cell>
          <cell r="DX15">
            <v>4.4999999999999998E-2</v>
          </cell>
          <cell r="DY15">
            <v>0.04</v>
          </cell>
          <cell r="DZ15">
            <v>5.5E-2</v>
          </cell>
          <cell r="EA15">
            <v>4.4999999999999998E-2</v>
          </cell>
          <cell r="EB15">
            <v>0.04</v>
          </cell>
          <cell r="EC15">
            <v>5.5E-2</v>
          </cell>
          <cell r="ED15">
            <v>4.4999999999999998E-2</v>
          </cell>
          <cell r="EE15">
            <v>0.04</v>
          </cell>
          <cell r="EG15">
            <v>3.7499999999999992E-2</v>
          </cell>
          <cell r="EH15">
            <v>5.7500000000000009E-2</v>
          </cell>
          <cell r="EI15">
            <v>5.7500000000000009E-2</v>
          </cell>
          <cell r="EJ15">
            <v>5.7500000000000009E-2</v>
          </cell>
          <cell r="EK15">
            <v>5.7500000000000009E-2</v>
          </cell>
          <cell r="EL15">
            <v>5.7500000000000009E-2</v>
          </cell>
          <cell r="EM15">
            <v>5.7500000000000009E-2</v>
          </cell>
          <cell r="EN15">
            <v>5.7500000000000009E-2</v>
          </cell>
          <cell r="EO15">
            <v>5.7500000000000009E-2</v>
          </cell>
          <cell r="EP15">
            <v>5.7500000000000009E-2</v>
          </cell>
          <cell r="EQ15">
            <v>5.7500000000000009E-2</v>
          </cell>
          <cell r="ER15">
            <v>5.7500000000000009E-2</v>
          </cell>
          <cell r="ES15">
            <v>5.7500000000000009E-2</v>
          </cell>
          <cell r="EU15">
            <v>7.9999999999999988E-2</v>
          </cell>
          <cell r="EV15">
            <v>0.1</v>
          </cell>
          <cell r="EW15">
            <v>0.1</v>
          </cell>
          <cell r="EX15">
            <v>0.1</v>
          </cell>
          <cell r="EY15">
            <v>0.1</v>
          </cell>
          <cell r="EZ15">
            <v>0.1</v>
          </cell>
          <cell r="FA15">
            <v>0.1</v>
          </cell>
          <cell r="FB15">
            <v>0.1</v>
          </cell>
          <cell r="FC15">
            <v>0.1</v>
          </cell>
          <cell r="FD15">
            <v>0.1</v>
          </cell>
          <cell r="FE15">
            <v>0.1</v>
          </cell>
          <cell r="FF15">
            <v>0.1</v>
          </cell>
          <cell r="FG15">
            <v>0.1</v>
          </cell>
        </row>
        <row r="16">
          <cell r="C16" t="str">
            <v>208 MCA GTI</v>
          </cell>
          <cell r="D16" t="str">
            <v>208 MCA GTI</v>
          </cell>
          <cell r="G16">
            <v>0.05</v>
          </cell>
          <cell r="H16">
            <v>0.05</v>
          </cell>
          <cell r="I16">
            <v>0.05</v>
          </cell>
          <cell r="J16">
            <v>0.05</v>
          </cell>
          <cell r="K16">
            <v>0.05</v>
          </cell>
          <cell r="L16">
            <v>0.05</v>
          </cell>
          <cell r="M16">
            <v>0.05</v>
          </cell>
          <cell r="N16">
            <v>0.05</v>
          </cell>
          <cell r="O16">
            <v>0.05</v>
          </cell>
          <cell r="P16">
            <v>0.05</v>
          </cell>
          <cell r="Q16">
            <v>0.05</v>
          </cell>
          <cell r="R16">
            <v>0.05</v>
          </cell>
          <cell r="U16">
            <v>0.5</v>
          </cell>
          <cell r="V16">
            <v>0</v>
          </cell>
          <cell r="W16">
            <v>0.5</v>
          </cell>
          <cell r="X16">
            <v>0.5</v>
          </cell>
          <cell r="Y16">
            <v>0</v>
          </cell>
          <cell r="Z16">
            <v>0.5</v>
          </cell>
          <cell r="AA16">
            <v>0.5</v>
          </cell>
          <cell r="AB16">
            <v>0</v>
          </cell>
          <cell r="AC16">
            <v>0.5</v>
          </cell>
          <cell r="AD16">
            <v>0.5</v>
          </cell>
          <cell r="AE16">
            <v>0</v>
          </cell>
          <cell r="AF16">
            <v>0.5</v>
          </cell>
          <cell r="AG16">
            <v>0.5</v>
          </cell>
          <cell r="AH16">
            <v>0</v>
          </cell>
          <cell r="AI16">
            <v>0.5</v>
          </cell>
          <cell r="AJ16">
            <v>0.5</v>
          </cell>
          <cell r="AK16">
            <v>0</v>
          </cell>
          <cell r="AL16">
            <v>0.5</v>
          </cell>
          <cell r="AM16">
            <v>0.5</v>
          </cell>
          <cell r="AN16">
            <v>0</v>
          </cell>
          <cell r="AO16">
            <v>0.5</v>
          </cell>
          <cell r="AP16">
            <v>0.5</v>
          </cell>
          <cell r="AQ16">
            <v>0</v>
          </cell>
          <cell r="AR16">
            <v>0.5</v>
          </cell>
          <cell r="AS16">
            <v>0.5</v>
          </cell>
          <cell r="AT16">
            <v>0</v>
          </cell>
          <cell r="AU16">
            <v>0.5</v>
          </cell>
          <cell r="AV16">
            <v>0.5</v>
          </cell>
          <cell r="AW16">
            <v>0</v>
          </cell>
          <cell r="AX16">
            <v>0.5</v>
          </cell>
          <cell r="AY16">
            <v>0.5</v>
          </cell>
          <cell r="AZ16">
            <v>0</v>
          </cell>
          <cell r="BA16">
            <v>0.5</v>
          </cell>
          <cell r="BB16">
            <v>0.5</v>
          </cell>
          <cell r="BC16">
            <v>0</v>
          </cell>
          <cell r="BD16">
            <v>0.5</v>
          </cell>
          <cell r="BG16">
            <v>5.9999999999999984E-2</v>
          </cell>
          <cell r="BH16">
            <v>7.9999999999999988E-2</v>
          </cell>
          <cell r="BI16">
            <v>9.9999999999999992E-2</v>
          </cell>
          <cell r="BJ16">
            <v>5.9999999999999984E-2</v>
          </cell>
          <cell r="BK16">
            <v>7.9999999999999988E-2</v>
          </cell>
          <cell r="BL16">
            <v>0.14000000000000001</v>
          </cell>
          <cell r="BM16">
            <v>5.9999999999999984E-2</v>
          </cell>
          <cell r="BN16">
            <v>7.9999999999999988E-2</v>
          </cell>
          <cell r="BO16">
            <v>0.14000000000000001</v>
          </cell>
          <cell r="BP16">
            <v>5.9999999999999984E-2</v>
          </cell>
          <cell r="BQ16">
            <v>7.9999999999999988E-2</v>
          </cell>
          <cell r="BR16">
            <v>0.14000000000000001</v>
          </cell>
          <cell r="BS16">
            <v>5.9999999999999984E-2</v>
          </cell>
          <cell r="BT16">
            <v>7.9999999999999988E-2</v>
          </cell>
          <cell r="BU16">
            <v>0.14000000000000001</v>
          </cell>
          <cell r="BV16">
            <v>5.9999999999999984E-2</v>
          </cell>
          <cell r="BW16">
            <v>7.9999999999999988E-2</v>
          </cell>
          <cell r="BX16">
            <v>0.14000000000000001</v>
          </cell>
          <cell r="BY16">
            <v>5.9999999999999984E-2</v>
          </cell>
          <cell r="BZ16">
            <v>7.9999999999999988E-2</v>
          </cell>
          <cell r="CA16">
            <v>0.14000000000000001</v>
          </cell>
          <cell r="CB16">
            <v>5.9999999999999984E-2</v>
          </cell>
          <cell r="CC16">
            <v>7.9999999999999988E-2</v>
          </cell>
          <cell r="CD16">
            <v>0.14000000000000001</v>
          </cell>
          <cell r="CE16">
            <v>5.9999999999999984E-2</v>
          </cell>
          <cell r="CF16">
            <v>7.9999999999999988E-2</v>
          </cell>
          <cell r="CG16">
            <v>0.14000000000000001</v>
          </cell>
          <cell r="CH16">
            <v>5.9999999999999984E-2</v>
          </cell>
          <cell r="CI16">
            <v>7.9999999999999988E-2</v>
          </cell>
          <cell r="CJ16">
            <v>0.14000000000000001</v>
          </cell>
          <cell r="CK16">
            <v>5.9999999999999984E-2</v>
          </cell>
          <cell r="CL16">
            <v>7.9999999999999988E-2</v>
          </cell>
          <cell r="CM16">
            <v>0.14000000000000001</v>
          </cell>
          <cell r="CN16">
            <v>5.9999999999999984E-2</v>
          </cell>
          <cell r="CO16">
            <v>7.9999999999999988E-2</v>
          </cell>
          <cell r="CP16">
            <v>0.14000000000000001</v>
          </cell>
          <cell r="CQ16">
            <v>5.9999999999999984E-2</v>
          </cell>
          <cell r="CR16">
            <v>7.9999999999999988E-2</v>
          </cell>
          <cell r="CS16">
            <v>0.14000000000000001</v>
          </cell>
          <cell r="CV16">
            <v>5.5E-2</v>
          </cell>
          <cell r="CW16">
            <v>4.4999999999999998E-2</v>
          </cell>
          <cell r="CX16">
            <v>0.04</v>
          </cell>
          <cell r="CY16">
            <v>5.5E-2</v>
          </cell>
          <cell r="CZ16">
            <v>4.4999999999999998E-2</v>
          </cell>
          <cell r="DA16">
            <v>0.04</v>
          </cell>
          <cell r="DB16">
            <v>5.5E-2</v>
          </cell>
          <cell r="DC16">
            <v>4.4999999999999998E-2</v>
          </cell>
          <cell r="DD16">
            <v>0.04</v>
          </cell>
          <cell r="DE16">
            <v>5.5E-2</v>
          </cell>
          <cell r="DF16">
            <v>4.4999999999999998E-2</v>
          </cell>
          <cell r="DG16">
            <v>0.04</v>
          </cell>
          <cell r="DH16">
            <v>5.5E-2</v>
          </cell>
          <cell r="DI16">
            <v>4.4999999999999998E-2</v>
          </cell>
          <cell r="DJ16">
            <v>0.04</v>
          </cell>
          <cell r="DK16">
            <v>5.5E-2</v>
          </cell>
          <cell r="DL16">
            <v>4.4999999999999998E-2</v>
          </cell>
          <cell r="DM16">
            <v>0.04</v>
          </cell>
          <cell r="DN16">
            <v>5.5E-2</v>
          </cell>
          <cell r="DO16">
            <v>4.4999999999999998E-2</v>
          </cell>
          <cell r="DP16">
            <v>0.04</v>
          </cell>
          <cell r="DQ16">
            <v>5.5E-2</v>
          </cell>
          <cell r="DR16">
            <v>4.4999999999999998E-2</v>
          </cell>
          <cell r="DS16">
            <v>0.04</v>
          </cell>
          <cell r="DT16">
            <v>5.5E-2</v>
          </cell>
          <cell r="DU16">
            <v>4.4999999999999998E-2</v>
          </cell>
          <cell r="DV16">
            <v>0.04</v>
          </cell>
          <cell r="DW16">
            <v>5.5E-2</v>
          </cell>
          <cell r="DX16">
            <v>4.4999999999999998E-2</v>
          </cell>
          <cell r="DY16">
            <v>0.04</v>
          </cell>
          <cell r="DZ16">
            <v>5.5E-2</v>
          </cell>
          <cell r="EA16">
            <v>4.4999999999999998E-2</v>
          </cell>
          <cell r="EB16">
            <v>0.04</v>
          </cell>
          <cell r="EC16">
            <v>5.5E-2</v>
          </cell>
          <cell r="ED16">
            <v>4.4999999999999998E-2</v>
          </cell>
          <cell r="EE16">
            <v>0.04</v>
          </cell>
          <cell r="EG16">
            <v>3.7499999999999992E-2</v>
          </cell>
          <cell r="EH16">
            <v>5.7500000000000009E-2</v>
          </cell>
          <cell r="EI16">
            <v>5.7500000000000009E-2</v>
          </cell>
          <cell r="EJ16">
            <v>5.7500000000000009E-2</v>
          </cell>
          <cell r="EK16">
            <v>5.7500000000000009E-2</v>
          </cell>
          <cell r="EL16">
            <v>5.7500000000000009E-2</v>
          </cell>
          <cell r="EM16">
            <v>5.7500000000000009E-2</v>
          </cell>
          <cell r="EN16">
            <v>5.7500000000000009E-2</v>
          </cell>
          <cell r="EO16">
            <v>5.7500000000000009E-2</v>
          </cell>
          <cell r="EP16">
            <v>5.7500000000000009E-2</v>
          </cell>
          <cell r="EQ16">
            <v>5.7500000000000009E-2</v>
          </cell>
          <cell r="ER16">
            <v>5.7500000000000009E-2</v>
          </cell>
          <cell r="ES16">
            <v>5.7500000000000009E-2</v>
          </cell>
          <cell r="EU16">
            <v>7.9999999999999988E-2</v>
          </cell>
          <cell r="EV16">
            <v>0.1</v>
          </cell>
          <cell r="EW16">
            <v>0.1</v>
          </cell>
          <cell r="EX16">
            <v>0.1</v>
          </cell>
          <cell r="EY16">
            <v>0.1</v>
          </cell>
          <cell r="EZ16">
            <v>0.1</v>
          </cell>
          <cell r="FA16">
            <v>0.1</v>
          </cell>
          <cell r="FB16">
            <v>0.1</v>
          </cell>
          <cell r="FC16">
            <v>0.1</v>
          </cell>
          <cell r="FD16">
            <v>0.1</v>
          </cell>
          <cell r="FE16">
            <v>0.1</v>
          </cell>
          <cell r="FF16">
            <v>0.1</v>
          </cell>
          <cell r="FG16">
            <v>0.1</v>
          </cell>
        </row>
        <row r="17">
          <cell r="C17" t="str">
            <v>2008 MCA Style MHEV 136 eDCT6</v>
          </cell>
          <cell r="D17" t="str">
            <v>2008 MCA Style Hybrid 136hp AT</v>
          </cell>
          <cell r="G17">
            <v>0.05</v>
          </cell>
          <cell r="H17">
            <v>0.05</v>
          </cell>
          <cell r="I17">
            <v>0.05</v>
          </cell>
          <cell r="J17">
            <v>0.05</v>
          </cell>
          <cell r="K17">
            <v>0.05</v>
          </cell>
          <cell r="L17">
            <v>0.05</v>
          </cell>
          <cell r="M17">
            <v>0.05</v>
          </cell>
          <cell r="N17">
            <v>0.05</v>
          </cell>
          <cell r="O17">
            <v>0.05</v>
          </cell>
          <cell r="P17">
            <v>0.05</v>
          </cell>
          <cell r="Q17">
            <v>0.05</v>
          </cell>
          <cell r="R17">
            <v>0.05</v>
          </cell>
          <cell r="U17">
            <v>0.5</v>
          </cell>
          <cell r="V17">
            <v>0</v>
          </cell>
          <cell r="W17">
            <v>0.5</v>
          </cell>
          <cell r="X17">
            <v>0.5</v>
          </cell>
          <cell r="Y17">
            <v>0</v>
          </cell>
          <cell r="Z17">
            <v>0.5</v>
          </cell>
          <cell r="AA17">
            <v>0.5</v>
          </cell>
          <cell r="AB17">
            <v>0</v>
          </cell>
          <cell r="AC17">
            <v>0.5</v>
          </cell>
          <cell r="AD17">
            <v>0.5</v>
          </cell>
          <cell r="AE17">
            <v>0</v>
          </cell>
          <cell r="AF17">
            <v>0.5</v>
          </cell>
          <cell r="AG17">
            <v>0.5</v>
          </cell>
          <cell r="AH17">
            <v>0</v>
          </cell>
          <cell r="AI17">
            <v>0.5</v>
          </cell>
          <cell r="AJ17">
            <v>0.5</v>
          </cell>
          <cell r="AK17">
            <v>0</v>
          </cell>
          <cell r="AL17">
            <v>0.5</v>
          </cell>
          <cell r="AM17">
            <v>0.5</v>
          </cell>
          <cell r="AN17">
            <v>0</v>
          </cell>
          <cell r="AO17">
            <v>0.5</v>
          </cell>
          <cell r="AP17">
            <v>0.5</v>
          </cell>
          <cell r="AQ17">
            <v>0</v>
          </cell>
          <cell r="AR17">
            <v>0.5</v>
          </cell>
          <cell r="AS17">
            <v>0.5</v>
          </cell>
          <cell r="AT17">
            <v>0</v>
          </cell>
          <cell r="AU17">
            <v>0.5</v>
          </cell>
          <cell r="AV17">
            <v>0.5</v>
          </cell>
          <cell r="AW17">
            <v>0</v>
          </cell>
          <cell r="AX17">
            <v>0.5</v>
          </cell>
          <cell r="AY17">
            <v>0.5</v>
          </cell>
          <cell r="AZ17">
            <v>0</v>
          </cell>
          <cell r="BA17">
            <v>0.5</v>
          </cell>
          <cell r="BB17">
            <v>0.5</v>
          </cell>
          <cell r="BC17">
            <v>0</v>
          </cell>
          <cell r="BD17">
            <v>0.5</v>
          </cell>
          <cell r="BG17">
            <v>7.9999999999999988E-2</v>
          </cell>
          <cell r="BH17">
            <v>9.9999999999999992E-2</v>
          </cell>
          <cell r="BI17">
            <v>0.12000000000000001</v>
          </cell>
          <cell r="BJ17">
            <v>7.9999999999999988E-2</v>
          </cell>
          <cell r="BK17">
            <v>9.9999999999999992E-2</v>
          </cell>
          <cell r="BL17">
            <v>0.14000000000000001</v>
          </cell>
          <cell r="BM17">
            <v>7.9999999999999988E-2</v>
          </cell>
          <cell r="BN17">
            <v>9.9999999999999992E-2</v>
          </cell>
          <cell r="BO17">
            <v>0.14000000000000001</v>
          </cell>
          <cell r="BP17">
            <v>7.9999999999999988E-2</v>
          </cell>
          <cell r="BQ17">
            <v>9.9999999999999992E-2</v>
          </cell>
          <cell r="BR17">
            <v>0.14000000000000001</v>
          </cell>
          <cell r="BS17">
            <v>7.9999999999999988E-2</v>
          </cell>
          <cell r="BT17">
            <v>9.9999999999999992E-2</v>
          </cell>
          <cell r="BU17">
            <v>0.14000000000000001</v>
          </cell>
          <cell r="BV17">
            <v>7.9999999999999988E-2</v>
          </cell>
          <cell r="BW17">
            <v>9.9999999999999992E-2</v>
          </cell>
          <cell r="BX17">
            <v>0.14000000000000001</v>
          </cell>
          <cell r="BY17">
            <v>7.9999999999999988E-2</v>
          </cell>
          <cell r="BZ17">
            <v>9.9999999999999992E-2</v>
          </cell>
          <cell r="CA17">
            <v>0.14000000000000001</v>
          </cell>
          <cell r="CB17">
            <v>7.9999999999999988E-2</v>
          </cell>
          <cell r="CC17">
            <v>9.9999999999999992E-2</v>
          </cell>
          <cell r="CD17">
            <v>0.14000000000000001</v>
          </cell>
          <cell r="CE17">
            <v>7.9999999999999988E-2</v>
          </cell>
          <cell r="CF17">
            <v>9.9999999999999992E-2</v>
          </cell>
          <cell r="CG17">
            <v>0.14000000000000001</v>
          </cell>
          <cell r="CH17">
            <v>7.9999999999999988E-2</v>
          </cell>
          <cell r="CI17">
            <v>9.9999999999999992E-2</v>
          </cell>
          <cell r="CJ17">
            <v>0.14000000000000001</v>
          </cell>
          <cell r="CK17">
            <v>7.9999999999999988E-2</v>
          </cell>
          <cell r="CL17">
            <v>9.9999999999999992E-2</v>
          </cell>
          <cell r="CM17">
            <v>0.14000000000000001</v>
          </cell>
          <cell r="CN17">
            <v>7.9999999999999988E-2</v>
          </cell>
          <cell r="CO17">
            <v>9.9999999999999992E-2</v>
          </cell>
          <cell r="CP17">
            <v>0.14000000000000001</v>
          </cell>
          <cell r="CQ17">
            <v>7.9999999999999988E-2</v>
          </cell>
          <cell r="CR17">
            <v>9.9999999999999992E-2</v>
          </cell>
          <cell r="CS17">
            <v>0.14000000000000001</v>
          </cell>
          <cell r="CV17">
            <v>5.5E-2</v>
          </cell>
          <cell r="CW17">
            <v>4.4999999999999998E-2</v>
          </cell>
          <cell r="CX17">
            <v>0.03</v>
          </cell>
          <cell r="CY17">
            <v>5.5E-2</v>
          </cell>
          <cell r="CZ17">
            <v>4.4999999999999998E-2</v>
          </cell>
          <cell r="DA17">
            <v>0.03</v>
          </cell>
          <cell r="DB17">
            <v>5.5E-2</v>
          </cell>
          <cell r="DC17">
            <v>4.4999999999999998E-2</v>
          </cell>
          <cell r="DD17">
            <v>0.03</v>
          </cell>
          <cell r="DE17">
            <v>5.5E-2</v>
          </cell>
          <cell r="DF17">
            <v>4.4999999999999998E-2</v>
          </cell>
          <cell r="DG17">
            <v>0.03</v>
          </cell>
          <cell r="DH17">
            <v>5.5E-2</v>
          </cell>
          <cell r="DI17">
            <v>4.4999999999999998E-2</v>
          </cell>
          <cell r="DJ17">
            <v>0.03</v>
          </cell>
          <cell r="DK17">
            <v>5.5E-2</v>
          </cell>
          <cell r="DL17">
            <v>4.4999999999999998E-2</v>
          </cell>
          <cell r="DM17">
            <v>0.03</v>
          </cell>
          <cell r="DN17">
            <v>5.5E-2</v>
          </cell>
          <cell r="DO17">
            <v>4.4999999999999998E-2</v>
          </cell>
          <cell r="DP17">
            <v>0.03</v>
          </cell>
          <cell r="DQ17">
            <v>5.5E-2</v>
          </cell>
          <cell r="DR17">
            <v>4.4999999999999998E-2</v>
          </cell>
          <cell r="DS17">
            <v>0.03</v>
          </cell>
          <cell r="DT17">
            <v>5.5E-2</v>
          </cell>
          <cell r="DU17">
            <v>4.4999999999999998E-2</v>
          </cell>
          <cell r="DV17">
            <v>0.03</v>
          </cell>
          <cell r="DW17">
            <v>5.5E-2</v>
          </cell>
          <cell r="DX17">
            <v>4.4999999999999998E-2</v>
          </cell>
          <cell r="DY17">
            <v>0.03</v>
          </cell>
          <cell r="DZ17">
            <v>5.5E-2</v>
          </cell>
          <cell r="EA17">
            <v>4.4999999999999998E-2</v>
          </cell>
          <cell r="EB17">
            <v>0.03</v>
          </cell>
          <cell r="EC17">
            <v>5.5E-2</v>
          </cell>
          <cell r="ED17">
            <v>4.4999999999999998E-2</v>
          </cell>
          <cell r="EE17">
            <v>0.03</v>
          </cell>
          <cell r="EG17">
            <v>5.2500000000000005E-2</v>
          </cell>
          <cell r="EH17">
            <v>6.25E-2</v>
          </cell>
          <cell r="EI17">
            <v>6.25E-2</v>
          </cell>
          <cell r="EJ17">
            <v>6.25E-2</v>
          </cell>
          <cell r="EK17">
            <v>6.25E-2</v>
          </cell>
          <cell r="EL17">
            <v>6.25E-2</v>
          </cell>
          <cell r="EM17">
            <v>6.25E-2</v>
          </cell>
          <cell r="EN17">
            <v>6.25E-2</v>
          </cell>
          <cell r="EO17">
            <v>6.25E-2</v>
          </cell>
          <cell r="EP17">
            <v>6.25E-2</v>
          </cell>
          <cell r="EQ17">
            <v>6.25E-2</v>
          </cell>
          <cell r="ER17">
            <v>6.25E-2</v>
          </cell>
          <cell r="ES17">
            <v>6.25E-2</v>
          </cell>
          <cell r="EU17">
            <v>0.1</v>
          </cell>
          <cell r="EV17">
            <v>0.11</v>
          </cell>
          <cell r="EW17">
            <v>0.11</v>
          </cell>
          <cell r="EX17">
            <v>0.11</v>
          </cell>
          <cell r="EY17">
            <v>0.11</v>
          </cell>
          <cell r="EZ17">
            <v>0.11</v>
          </cell>
          <cell r="FA17">
            <v>0.11</v>
          </cell>
          <cell r="FB17">
            <v>0.11</v>
          </cell>
          <cell r="FC17">
            <v>0.11</v>
          </cell>
          <cell r="FD17">
            <v>0.11</v>
          </cell>
          <cell r="FE17">
            <v>0.11</v>
          </cell>
          <cell r="FF17">
            <v>0.11</v>
          </cell>
          <cell r="FG17">
            <v>0.11</v>
          </cell>
        </row>
        <row r="18">
          <cell r="C18" t="str">
            <v>2008 MCA Allure MHEV 136 eDCT6</v>
          </cell>
          <cell r="D18" t="str">
            <v>2008 MCA Allure Hybrid 136hp AT</v>
          </cell>
          <cell r="G18">
            <v>0.05</v>
          </cell>
          <cell r="H18">
            <v>0.05</v>
          </cell>
          <cell r="I18">
            <v>0.05</v>
          </cell>
          <cell r="J18">
            <v>0.05</v>
          </cell>
          <cell r="K18">
            <v>0.05</v>
          </cell>
          <cell r="L18">
            <v>0.05</v>
          </cell>
          <cell r="M18">
            <v>0.05</v>
          </cell>
          <cell r="N18">
            <v>0.05</v>
          </cell>
          <cell r="O18">
            <v>0.05</v>
          </cell>
          <cell r="P18">
            <v>0.05</v>
          </cell>
          <cell r="Q18">
            <v>0.05</v>
          </cell>
          <cell r="R18">
            <v>0.05</v>
          </cell>
          <cell r="U18">
            <v>0.5</v>
          </cell>
          <cell r="V18">
            <v>0</v>
          </cell>
          <cell r="W18">
            <v>0.5</v>
          </cell>
          <cell r="X18">
            <v>0.5</v>
          </cell>
          <cell r="Y18">
            <v>0</v>
          </cell>
          <cell r="Z18">
            <v>0.5</v>
          </cell>
          <cell r="AA18">
            <v>0.5</v>
          </cell>
          <cell r="AB18">
            <v>0</v>
          </cell>
          <cell r="AC18">
            <v>0.5</v>
          </cell>
          <cell r="AD18">
            <v>0.5</v>
          </cell>
          <cell r="AE18">
            <v>0</v>
          </cell>
          <cell r="AF18">
            <v>0.5</v>
          </cell>
          <cell r="AG18">
            <v>0.5</v>
          </cell>
          <cell r="AH18">
            <v>0</v>
          </cell>
          <cell r="AI18">
            <v>0.5</v>
          </cell>
          <cell r="AJ18">
            <v>0.5</v>
          </cell>
          <cell r="AK18">
            <v>0</v>
          </cell>
          <cell r="AL18">
            <v>0.5</v>
          </cell>
          <cell r="AM18">
            <v>0.5</v>
          </cell>
          <cell r="AN18">
            <v>0</v>
          </cell>
          <cell r="AO18">
            <v>0.5</v>
          </cell>
          <cell r="AP18">
            <v>0.5</v>
          </cell>
          <cell r="AQ18">
            <v>0</v>
          </cell>
          <cell r="AR18">
            <v>0.5</v>
          </cell>
          <cell r="AS18">
            <v>0.5</v>
          </cell>
          <cell r="AT18">
            <v>0</v>
          </cell>
          <cell r="AU18">
            <v>0.5</v>
          </cell>
          <cell r="AV18">
            <v>0.5</v>
          </cell>
          <cell r="AW18">
            <v>0</v>
          </cell>
          <cell r="AX18">
            <v>0.5</v>
          </cell>
          <cell r="AY18">
            <v>0.5</v>
          </cell>
          <cell r="AZ18">
            <v>0</v>
          </cell>
          <cell r="BA18">
            <v>0.5</v>
          </cell>
          <cell r="BB18">
            <v>0.5</v>
          </cell>
          <cell r="BC18">
            <v>0</v>
          </cell>
          <cell r="BD18">
            <v>0.5</v>
          </cell>
          <cell r="BG18">
            <v>7.9999999999999988E-2</v>
          </cell>
          <cell r="BH18">
            <v>9.9999999999999992E-2</v>
          </cell>
          <cell r="BI18">
            <v>0.12000000000000001</v>
          </cell>
          <cell r="BJ18">
            <v>7.9999999999999988E-2</v>
          </cell>
          <cell r="BK18">
            <v>9.9999999999999992E-2</v>
          </cell>
          <cell r="BL18">
            <v>0.14000000000000001</v>
          </cell>
          <cell r="BM18">
            <v>7.9999999999999988E-2</v>
          </cell>
          <cell r="BN18">
            <v>9.9999999999999992E-2</v>
          </cell>
          <cell r="BO18">
            <v>0.14000000000000001</v>
          </cell>
          <cell r="BP18">
            <v>7.9999999999999988E-2</v>
          </cell>
          <cell r="BQ18">
            <v>9.9999999999999992E-2</v>
          </cell>
          <cell r="BR18">
            <v>0.14000000000000001</v>
          </cell>
          <cell r="BS18">
            <v>7.9999999999999988E-2</v>
          </cell>
          <cell r="BT18">
            <v>9.9999999999999992E-2</v>
          </cell>
          <cell r="BU18">
            <v>0.14000000000000001</v>
          </cell>
          <cell r="BV18">
            <v>7.9999999999999988E-2</v>
          </cell>
          <cell r="BW18">
            <v>9.9999999999999992E-2</v>
          </cell>
          <cell r="BX18">
            <v>0.14000000000000001</v>
          </cell>
          <cell r="BY18">
            <v>7.9999999999999988E-2</v>
          </cell>
          <cell r="BZ18">
            <v>9.9999999999999992E-2</v>
          </cell>
          <cell r="CA18">
            <v>0.14000000000000001</v>
          </cell>
          <cell r="CB18">
            <v>7.9999999999999988E-2</v>
          </cell>
          <cell r="CC18">
            <v>9.9999999999999992E-2</v>
          </cell>
          <cell r="CD18">
            <v>0.14000000000000001</v>
          </cell>
          <cell r="CE18">
            <v>7.9999999999999988E-2</v>
          </cell>
          <cell r="CF18">
            <v>9.9999999999999992E-2</v>
          </cell>
          <cell r="CG18">
            <v>0.14000000000000001</v>
          </cell>
          <cell r="CH18">
            <v>7.9999999999999988E-2</v>
          </cell>
          <cell r="CI18">
            <v>9.9999999999999992E-2</v>
          </cell>
          <cell r="CJ18">
            <v>0.14000000000000001</v>
          </cell>
          <cell r="CK18">
            <v>7.9999999999999988E-2</v>
          </cell>
          <cell r="CL18">
            <v>9.9999999999999992E-2</v>
          </cell>
          <cell r="CM18">
            <v>0.14000000000000001</v>
          </cell>
          <cell r="CN18">
            <v>7.9999999999999988E-2</v>
          </cell>
          <cell r="CO18">
            <v>9.9999999999999992E-2</v>
          </cell>
          <cell r="CP18">
            <v>0.14000000000000001</v>
          </cell>
          <cell r="CQ18">
            <v>7.9999999999999988E-2</v>
          </cell>
          <cell r="CR18">
            <v>9.9999999999999992E-2</v>
          </cell>
          <cell r="CS18">
            <v>0.14000000000000001</v>
          </cell>
          <cell r="CV18">
            <v>5.5E-2</v>
          </cell>
          <cell r="CW18">
            <v>4.4999999999999998E-2</v>
          </cell>
          <cell r="CX18">
            <v>0.03</v>
          </cell>
          <cell r="CY18">
            <v>5.5E-2</v>
          </cell>
          <cell r="CZ18">
            <v>4.4999999999999998E-2</v>
          </cell>
          <cell r="DA18">
            <v>0.03</v>
          </cell>
          <cell r="DB18">
            <v>5.5E-2</v>
          </cell>
          <cell r="DC18">
            <v>4.4999999999999998E-2</v>
          </cell>
          <cell r="DD18">
            <v>0.03</v>
          </cell>
          <cell r="DE18">
            <v>5.5E-2</v>
          </cell>
          <cell r="DF18">
            <v>4.4999999999999998E-2</v>
          </cell>
          <cell r="DG18">
            <v>0.03</v>
          </cell>
          <cell r="DH18">
            <v>5.5E-2</v>
          </cell>
          <cell r="DI18">
            <v>4.4999999999999998E-2</v>
          </cell>
          <cell r="DJ18">
            <v>0.03</v>
          </cell>
          <cell r="DK18">
            <v>5.5E-2</v>
          </cell>
          <cell r="DL18">
            <v>4.4999999999999998E-2</v>
          </cell>
          <cell r="DM18">
            <v>0.03</v>
          </cell>
          <cell r="DN18">
            <v>5.5E-2</v>
          </cell>
          <cell r="DO18">
            <v>4.4999999999999998E-2</v>
          </cell>
          <cell r="DP18">
            <v>0.03</v>
          </cell>
          <cell r="DQ18">
            <v>5.5E-2</v>
          </cell>
          <cell r="DR18">
            <v>4.4999999999999998E-2</v>
          </cell>
          <cell r="DS18">
            <v>0.03</v>
          </cell>
          <cell r="DT18">
            <v>5.5E-2</v>
          </cell>
          <cell r="DU18">
            <v>4.4999999999999998E-2</v>
          </cell>
          <cell r="DV18">
            <v>0.03</v>
          </cell>
          <cell r="DW18">
            <v>5.5E-2</v>
          </cell>
          <cell r="DX18">
            <v>4.4999999999999998E-2</v>
          </cell>
          <cell r="DY18">
            <v>0.03</v>
          </cell>
          <cell r="DZ18">
            <v>5.5E-2</v>
          </cell>
          <cell r="EA18">
            <v>4.4999999999999998E-2</v>
          </cell>
          <cell r="EB18">
            <v>0.03</v>
          </cell>
          <cell r="EC18">
            <v>5.5E-2</v>
          </cell>
          <cell r="ED18">
            <v>4.4999999999999998E-2</v>
          </cell>
          <cell r="EE18">
            <v>0.03</v>
          </cell>
          <cell r="EG18">
            <v>5.2500000000000005E-2</v>
          </cell>
          <cell r="EH18">
            <v>6.25E-2</v>
          </cell>
          <cell r="EI18">
            <v>6.25E-2</v>
          </cell>
          <cell r="EJ18">
            <v>6.25E-2</v>
          </cell>
          <cell r="EK18">
            <v>6.25E-2</v>
          </cell>
          <cell r="EL18">
            <v>6.25E-2</v>
          </cell>
          <cell r="EM18">
            <v>6.25E-2</v>
          </cell>
          <cell r="EN18">
            <v>6.25E-2</v>
          </cell>
          <cell r="EO18">
            <v>6.25E-2</v>
          </cell>
          <cell r="EP18">
            <v>6.25E-2</v>
          </cell>
          <cell r="EQ18">
            <v>6.25E-2</v>
          </cell>
          <cell r="ER18">
            <v>6.25E-2</v>
          </cell>
          <cell r="ES18">
            <v>6.25E-2</v>
          </cell>
          <cell r="EU18">
            <v>0.1</v>
          </cell>
          <cell r="EV18">
            <v>0.11</v>
          </cell>
          <cell r="EW18">
            <v>0.11</v>
          </cell>
          <cell r="EX18">
            <v>0.11</v>
          </cell>
          <cell r="EY18">
            <v>0.11</v>
          </cell>
          <cell r="EZ18">
            <v>0.11</v>
          </cell>
          <cell r="FA18">
            <v>0.11</v>
          </cell>
          <cell r="FB18">
            <v>0.11</v>
          </cell>
          <cell r="FC18">
            <v>0.11</v>
          </cell>
          <cell r="FD18">
            <v>0.11</v>
          </cell>
          <cell r="FE18">
            <v>0.11</v>
          </cell>
          <cell r="FF18">
            <v>0.11</v>
          </cell>
          <cell r="FG18">
            <v>0.11</v>
          </cell>
        </row>
        <row r="19">
          <cell r="C19" t="str">
            <v>2008 MCA GT MHEV 136 EDCT6</v>
          </cell>
          <cell r="D19" t="str">
            <v>2008 MCA GT Hybrid 136hp AT</v>
          </cell>
          <cell r="G19">
            <v>0.05</v>
          </cell>
          <cell r="H19">
            <v>0.05</v>
          </cell>
          <cell r="I19">
            <v>0.05</v>
          </cell>
          <cell r="J19">
            <v>0.05</v>
          </cell>
          <cell r="K19">
            <v>0.05</v>
          </cell>
          <cell r="L19">
            <v>0.05</v>
          </cell>
          <cell r="M19">
            <v>0.05</v>
          </cell>
          <cell r="N19">
            <v>0.05</v>
          </cell>
          <cell r="O19">
            <v>0.05</v>
          </cell>
          <cell r="P19">
            <v>0.05</v>
          </cell>
          <cell r="Q19">
            <v>0.05</v>
          </cell>
          <cell r="R19">
            <v>0.05</v>
          </cell>
          <cell r="U19">
            <v>0.5</v>
          </cell>
          <cell r="V19">
            <v>0</v>
          </cell>
          <cell r="W19">
            <v>0.5</v>
          </cell>
          <cell r="X19">
            <v>0.5</v>
          </cell>
          <cell r="Y19">
            <v>0</v>
          </cell>
          <cell r="Z19">
            <v>0.5</v>
          </cell>
          <cell r="AA19">
            <v>0.5</v>
          </cell>
          <cell r="AB19">
            <v>0</v>
          </cell>
          <cell r="AC19">
            <v>0.5</v>
          </cell>
          <cell r="AD19">
            <v>0.5</v>
          </cell>
          <cell r="AE19">
            <v>0</v>
          </cell>
          <cell r="AF19">
            <v>0.5</v>
          </cell>
          <cell r="AG19">
            <v>0.5</v>
          </cell>
          <cell r="AH19">
            <v>0</v>
          </cell>
          <cell r="AI19">
            <v>0.5</v>
          </cell>
          <cell r="AJ19">
            <v>0.5</v>
          </cell>
          <cell r="AK19">
            <v>0</v>
          </cell>
          <cell r="AL19">
            <v>0.5</v>
          </cell>
          <cell r="AM19">
            <v>0.5</v>
          </cell>
          <cell r="AN19">
            <v>0</v>
          </cell>
          <cell r="AO19">
            <v>0.5</v>
          </cell>
          <cell r="AP19">
            <v>0.5</v>
          </cell>
          <cell r="AQ19">
            <v>0</v>
          </cell>
          <cell r="AR19">
            <v>0.5</v>
          </cell>
          <cell r="AS19">
            <v>0.5</v>
          </cell>
          <cell r="AT19">
            <v>0</v>
          </cell>
          <cell r="AU19">
            <v>0.5</v>
          </cell>
          <cell r="AV19">
            <v>0.5</v>
          </cell>
          <cell r="AW19">
            <v>0</v>
          </cell>
          <cell r="AX19">
            <v>0.5</v>
          </cell>
          <cell r="AY19">
            <v>0.5</v>
          </cell>
          <cell r="AZ19">
            <v>0</v>
          </cell>
          <cell r="BA19">
            <v>0.5</v>
          </cell>
          <cell r="BB19">
            <v>0.5</v>
          </cell>
          <cell r="BC19">
            <v>0</v>
          </cell>
          <cell r="BD19">
            <v>0.5</v>
          </cell>
          <cell r="BG19">
            <v>7.9999999999999988E-2</v>
          </cell>
          <cell r="BH19">
            <v>9.9999999999999992E-2</v>
          </cell>
          <cell r="BI19">
            <v>0.12000000000000001</v>
          </cell>
          <cell r="BJ19">
            <v>7.9999999999999988E-2</v>
          </cell>
          <cell r="BK19">
            <v>9.9999999999999992E-2</v>
          </cell>
          <cell r="BL19">
            <v>0.14000000000000001</v>
          </cell>
          <cell r="BM19">
            <v>7.9999999999999988E-2</v>
          </cell>
          <cell r="BN19">
            <v>9.9999999999999992E-2</v>
          </cell>
          <cell r="BO19">
            <v>0.14000000000000001</v>
          </cell>
          <cell r="BP19">
            <v>7.9999999999999988E-2</v>
          </cell>
          <cell r="BQ19">
            <v>9.9999999999999992E-2</v>
          </cell>
          <cell r="BR19">
            <v>0.14000000000000001</v>
          </cell>
          <cell r="BS19">
            <v>7.9999999999999988E-2</v>
          </cell>
          <cell r="BT19">
            <v>9.9999999999999992E-2</v>
          </cell>
          <cell r="BU19">
            <v>0.14000000000000001</v>
          </cell>
          <cell r="BV19">
            <v>7.9999999999999988E-2</v>
          </cell>
          <cell r="BW19">
            <v>9.9999999999999992E-2</v>
          </cell>
          <cell r="BX19">
            <v>0.14000000000000001</v>
          </cell>
          <cell r="BY19">
            <v>7.9999999999999988E-2</v>
          </cell>
          <cell r="BZ19">
            <v>9.9999999999999992E-2</v>
          </cell>
          <cell r="CA19">
            <v>0.14000000000000001</v>
          </cell>
          <cell r="CB19">
            <v>7.9999999999999988E-2</v>
          </cell>
          <cell r="CC19">
            <v>9.9999999999999992E-2</v>
          </cell>
          <cell r="CD19">
            <v>0.14000000000000001</v>
          </cell>
          <cell r="CE19">
            <v>7.9999999999999988E-2</v>
          </cell>
          <cell r="CF19">
            <v>9.9999999999999992E-2</v>
          </cell>
          <cell r="CG19">
            <v>0.14000000000000001</v>
          </cell>
          <cell r="CH19">
            <v>7.9999999999999988E-2</v>
          </cell>
          <cell r="CI19">
            <v>9.9999999999999992E-2</v>
          </cell>
          <cell r="CJ19">
            <v>0.14000000000000001</v>
          </cell>
          <cell r="CK19">
            <v>7.9999999999999988E-2</v>
          </cell>
          <cell r="CL19">
            <v>9.9999999999999992E-2</v>
          </cell>
          <cell r="CM19">
            <v>0.14000000000000001</v>
          </cell>
          <cell r="CN19">
            <v>7.9999999999999988E-2</v>
          </cell>
          <cell r="CO19">
            <v>9.9999999999999992E-2</v>
          </cell>
          <cell r="CP19">
            <v>0.14000000000000001</v>
          </cell>
          <cell r="CQ19">
            <v>7.9999999999999988E-2</v>
          </cell>
          <cell r="CR19">
            <v>9.9999999999999992E-2</v>
          </cell>
          <cell r="CS19">
            <v>0.14000000000000001</v>
          </cell>
          <cell r="CV19">
            <v>5.5E-2</v>
          </cell>
          <cell r="CW19">
            <v>4.4999999999999998E-2</v>
          </cell>
          <cell r="CX19">
            <v>0.03</v>
          </cell>
          <cell r="CY19">
            <v>5.5E-2</v>
          </cell>
          <cell r="CZ19">
            <v>4.4999999999999998E-2</v>
          </cell>
          <cell r="DA19">
            <v>0.03</v>
          </cell>
          <cell r="DB19">
            <v>5.5E-2</v>
          </cell>
          <cell r="DC19">
            <v>4.4999999999999998E-2</v>
          </cell>
          <cell r="DD19">
            <v>0.03</v>
          </cell>
          <cell r="DE19">
            <v>5.5E-2</v>
          </cell>
          <cell r="DF19">
            <v>4.4999999999999998E-2</v>
          </cell>
          <cell r="DG19">
            <v>0.03</v>
          </cell>
          <cell r="DH19">
            <v>5.5E-2</v>
          </cell>
          <cell r="DI19">
            <v>4.4999999999999998E-2</v>
          </cell>
          <cell r="DJ19">
            <v>0.03</v>
          </cell>
          <cell r="DK19">
            <v>5.5E-2</v>
          </cell>
          <cell r="DL19">
            <v>4.4999999999999998E-2</v>
          </cell>
          <cell r="DM19">
            <v>0.03</v>
          </cell>
          <cell r="DN19">
            <v>5.5E-2</v>
          </cell>
          <cell r="DO19">
            <v>4.4999999999999998E-2</v>
          </cell>
          <cell r="DP19">
            <v>0.03</v>
          </cell>
          <cell r="DQ19">
            <v>5.5E-2</v>
          </cell>
          <cell r="DR19">
            <v>4.4999999999999998E-2</v>
          </cell>
          <cell r="DS19">
            <v>0.03</v>
          </cell>
          <cell r="DT19">
            <v>5.5E-2</v>
          </cell>
          <cell r="DU19">
            <v>4.4999999999999998E-2</v>
          </cell>
          <cell r="DV19">
            <v>0.03</v>
          </cell>
          <cell r="DW19">
            <v>5.5E-2</v>
          </cell>
          <cell r="DX19">
            <v>4.4999999999999998E-2</v>
          </cell>
          <cell r="DY19">
            <v>0.03</v>
          </cell>
          <cell r="DZ19">
            <v>5.5E-2</v>
          </cell>
          <cell r="EA19">
            <v>4.4999999999999998E-2</v>
          </cell>
          <cell r="EB19">
            <v>0.03</v>
          </cell>
          <cell r="EC19">
            <v>5.5E-2</v>
          </cell>
          <cell r="ED19">
            <v>4.4999999999999998E-2</v>
          </cell>
          <cell r="EE19">
            <v>0.03</v>
          </cell>
          <cell r="EG19">
            <v>5.2500000000000005E-2</v>
          </cell>
          <cell r="EH19">
            <v>6.25E-2</v>
          </cell>
          <cell r="EI19">
            <v>6.25E-2</v>
          </cell>
          <cell r="EJ19">
            <v>6.25E-2</v>
          </cell>
          <cell r="EK19">
            <v>6.25E-2</v>
          </cell>
          <cell r="EL19">
            <v>6.25E-2</v>
          </cell>
          <cell r="EM19">
            <v>6.25E-2</v>
          </cell>
          <cell r="EN19">
            <v>6.25E-2</v>
          </cell>
          <cell r="EO19">
            <v>6.25E-2</v>
          </cell>
          <cell r="EP19">
            <v>6.25E-2</v>
          </cell>
          <cell r="EQ19">
            <v>6.25E-2</v>
          </cell>
          <cell r="ER19">
            <v>6.25E-2</v>
          </cell>
          <cell r="ES19">
            <v>6.25E-2</v>
          </cell>
          <cell r="EU19">
            <v>0.1</v>
          </cell>
          <cell r="EV19">
            <v>0.11</v>
          </cell>
          <cell r="EW19">
            <v>0.11</v>
          </cell>
          <cell r="EX19">
            <v>0.11</v>
          </cell>
          <cell r="EY19">
            <v>0.11</v>
          </cell>
          <cell r="EZ19">
            <v>0.11</v>
          </cell>
          <cell r="FA19">
            <v>0.11</v>
          </cell>
          <cell r="FB19">
            <v>0.11</v>
          </cell>
          <cell r="FC19">
            <v>0.11</v>
          </cell>
          <cell r="FD19">
            <v>0.11</v>
          </cell>
          <cell r="FE19">
            <v>0.11</v>
          </cell>
          <cell r="FF19">
            <v>0.11</v>
          </cell>
          <cell r="FG19">
            <v>0.11</v>
          </cell>
        </row>
        <row r="20">
          <cell r="D20"/>
          <cell r="G20">
            <v>0.05</v>
          </cell>
          <cell r="H20">
            <v>0.05</v>
          </cell>
          <cell r="I20">
            <v>0.05</v>
          </cell>
          <cell r="J20">
            <v>0.05</v>
          </cell>
          <cell r="K20">
            <v>0.05</v>
          </cell>
          <cell r="L20">
            <v>0.05</v>
          </cell>
          <cell r="M20">
            <v>0.05</v>
          </cell>
          <cell r="N20">
            <v>0.05</v>
          </cell>
          <cell r="O20">
            <v>0.05</v>
          </cell>
          <cell r="P20">
            <v>0.05</v>
          </cell>
          <cell r="Q20">
            <v>0.05</v>
          </cell>
          <cell r="R20">
            <v>0.05</v>
          </cell>
          <cell r="U20">
            <v>0.5</v>
          </cell>
          <cell r="V20">
            <v>0</v>
          </cell>
          <cell r="W20">
            <v>0.5</v>
          </cell>
          <cell r="X20">
            <v>0.5</v>
          </cell>
          <cell r="Y20">
            <v>0</v>
          </cell>
          <cell r="Z20">
            <v>0.5</v>
          </cell>
          <cell r="AA20">
            <v>0.5</v>
          </cell>
          <cell r="AB20">
            <v>0</v>
          </cell>
          <cell r="AC20">
            <v>0.5</v>
          </cell>
          <cell r="AD20">
            <v>0.5</v>
          </cell>
          <cell r="AE20">
            <v>0</v>
          </cell>
          <cell r="AF20">
            <v>0.5</v>
          </cell>
          <cell r="AG20">
            <v>0.5</v>
          </cell>
          <cell r="AH20">
            <v>0</v>
          </cell>
          <cell r="AI20">
            <v>0.5</v>
          </cell>
          <cell r="AJ20">
            <v>0.5</v>
          </cell>
          <cell r="AK20">
            <v>0</v>
          </cell>
          <cell r="AL20">
            <v>0.5</v>
          </cell>
          <cell r="AM20">
            <v>0.5</v>
          </cell>
          <cell r="AN20">
            <v>0</v>
          </cell>
          <cell r="AO20">
            <v>0.5</v>
          </cell>
          <cell r="AP20">
            <v>0.5</v>
          </cell>
          <cell r="AQ20">
            <v>0</v>
          </cell>
          <cell r="AR20">
            <v>0.5</v>
          </cell>
          <cell r="AS20">
            <v>0.5</v>
          </cell>
          <cell r="AT20">
            <v>0</v>
          </cell>
          <cell r="AU20">
            <v>0.5</v>
          </cell>
          <cell r="AV20">
            <v>0.5</v>
          </cell>
          <cell r="AW20">
            <v>0</v>
          </cell>
          <cell r="AX20">
            <v>0.5</v>
          </cell>
          <cell r="AY20">
            <v>0.5</v>
          </cell>
          <cell r="AZ20">
            <v>0</v>
          </cell>
          <cell r="BA20">
            <v>0.5</v>
          </cell>
          <cell r="BB20">
            <v>0.5</v>
          </cell>
          <cell r="BC20">
            <v>0</v>
          </cell>
          <cell r="BD20">
            <v>0.5</v>
          </cell>
          <cell r="BG20">
            <v>7.9999999999999988E-2</v>
          </cell>
          <cell r="BH20">
            <v>9.9999999999999992E-2</v>
          </cell>
          <cell r="BI20">
            <v>0.12000000000000001</v>
          </cell>
          <cell r="BJ20">
            <v>7.9999999999999988E-2</v>
          </cell>
          <cell r="BK20">
            <v>9.9999999999999992E-2</v>
          </cell>
          <cell r="BL20">
            <v>0.14000000000000001</v>
          </cell>
          <cell r="BM20">
            <v>7.9999999999999988E-2</v>
          </cell>
          <cell r="BN20">
            <v>9.9999999999999992E-2</v>
          </cell>
          <cell r="BO20">
            <v>0.14000000000000001</v>
          </cell>
          <cell r="BP20">
            <v>7.9999999999999988E-2</v>
          </cell>
          <cell r="BQ20">
            <v>9.9999999999999992E-2</v>
          </cell>
          <cell r="BR20">
            <v>0.14000000000000001</v>
          </cell>
          <cell r="BS20">
            <v>7.9999999999999988E-2</v>
          </cell>
          <cell r="BT20">
            <v>9.9999999999999992E-2</v>
          </cell>
          <cell r="BU20">
            <v>0.14000000000000001</v>
          </cell>
          <cell r="BV20">
            <v>7.9999999999999988E-2</v>
          </cell>
          <cell r="BW20">
            <v>9.9999999999999992E-2</v>
          </cell>
          <cell r="BX20">
            <v>0.14000000000000001</v>
          </cell>
          <cell r="BY20">
            <v>7.9999999999999988E-2</v>
          </cell>
          <cell r="BZ20">
            <v>9.9999999999999992E-2</v>
          </cell>
          <cell r="CA20">
            <v>0.14000000000000001</v>
          </cell>
          <cell r="CB20">
            <v>7.9999999999999988E-2</v>
          </cell>
          <cell r="CC20">
            <v>9.9999999999999992E-2</v>
          </cell>
          <cell r="CD20">
            <v>0.14000000000000001</v>
          </cell>
          <cell r="CE20">
            <v>7.9999999999999988E-2</v>
          </cell>
          <cell r="CF20">
            <v>9.9999999999999992E-2</v>
          </cell>
          <cell r="CG20">
            <v>0.14000000000000001</v>
          </cell>
          <cell r="CH20">
            <v>7.9999999999999988E-2</v>
          </cell>
          <cell r="CI20">
            <v>9.9999999999999992E-2</v>
          </cell>
          <cell r="CJ20">
            <v>0.14000000000000001</v>
          </cell>
          <cell r="CK20">
            <v>7.9999999999999988E-2</v>
          </cell>
          <cell r="CL20">
            <v>9.9999999999999992E-2</v>
          </cell>
          <cell r="CM20">
            <v>0.14000000000000001</v>
          </cell>
          <cell r="CN20">
            <v>7.9999999999999988E-2</v>
          </cell>
          <cell r="CO20">
            <v>9.9999999999999992E-2</v>
          </cell>
          <cell r="CP20">
            <v>0.14000000000000001</v>
          </cell>
          <cell r="CQ20">
            <v>7.9999999999999988E-2</v>
          </cell>
          <cell r="CR20">
            <v>9.9999999999999992E-2</v>
          </cell>
          <cell r="CS20">
            <v>0.14000000000000001</v>
          </cell>
          <cell r="CV20">
            <v>5.5E-2</v>
          </cell>
          <cell r="CW20">
            <v>4.4999999999999998E-2</v>
          </cell>
          <cell r="CX20">
            <v>0.03</v>
          </cell>
          <cell r="CY20">
            <v>5.5E-2</v>
          </cell>
          <cell r="CZ20">
            <v>4.4999999999999998E-2</v>
          </cell>
          <cell r="DA20">
            <v>0.03</v>
          </cell>
          <cell r="DB20">
            <v>5.5E-2</v>
          </cell>
          <cell r="DC20">
            <v>4.4999999999999998E-2</v>
          </cell>
          <cell r="DD20">
            <v>0.03</v>
          </cell>
          <cell r="DE20">
            <v>5.5E-2</v>
          </cell>
          <cell r="DF20">
            <v>4.4999999999999998E-2</v>
          </cell>
          <cell r="DG20">
            <v>0.03</v>
          </cell>
          <cell r="DH20">
            <v>5.5E-2</v>
          </cell>
          <cell r="DI20">
            <v>4.4999999999999998E-2</v>
          </cell>
          <cell r="DJ20">
            <v>0.03</v>
          </cell>
          <cell r="DK20">
            <v>5.5E-2</v>
          </cell>
          <cell r="DL20">
            <v>4.4999999999999998E-2</v>
          </cell>
          <cell r="DM20">
            <v>0.03</v>
          </cell>
          <cell r="DN20">
            <v>5.5E-2</v>
          </cell>
          <cell r="DO20">
            <v>4.4999999999999998E-2</v>
          </cell>
          <cell r="DP20">
            <v>0.03</v>
          </cell>
          <cell r="DQ20">
            <v>5.5E-2</v>
          </cell>
          <cell r="DR20">
            <v>4.4999999999999998E-2</v>
          </cell>
          <cell r="DS20">
            <v>0.03</v>
          </cell>
          <cell r="DT20">
            <v>5.5E-2</v>
          </cell>
          <cell r="DU20">
            <v>4.4999999999999998E-2</v>
          </cell>
          <cell r="DV20">
            <v>0.03</v>
          </cell>
          <cell r="DW20">
            <v>5.5E-2</v>
          </cell>
          <cell r="DX20">
            <v>4.4999999999999998E-2</v>
          </cell>
          <cell r="DY20">
            <v>0.03</v>
          </cell>
          <cell r="DZ20">
            <v>5.5E-2</v>
          </cell>
          <cell r="EA20">
            <v>4.4999999999999998E-2</v>
          </cell>
          <cell r="EB20">
            <v>0.03</v>
          </cell>
          <cell r="EC20">
            <v>5.5E-2</v>
          </cell>
          <cell r="ED20">
            <v>4.4999999999999998E-2</v>
          </cell>
          <cell r="EE20">
            <v>0.03</v>
          </cell>
          <cell r="EG20">
            <v>5.2500000000000005E-2</v>
          </cell>
          <cell r="EH20">
            <v>6.25E-2</v>
          </cell>
          <cell r="EI20">
            <v>6.25E-2</v>
          </cell>
          <cell r="EJ20">
            <v>6.25E-2</v>
          </cell>
          <cell r="EK20">
            <v>6.25E-2</v>
          </cell>
          <cell r="EL20">
            <v>6.25E-2</v>
          </cell>
          <cell r="EM20">
            <v>6.25E-2</v>
          </cell>
          <cell r="EN20">
            <v>6.25E-2</v>
          </cell>
          <cell r="EO20">
            <v>6.25E-2</v>
          </cell>
          <cell r="EP20">
            <v>6.25E-2</v>
          </cell>
          <cell r="EQ20">
            <v>6.25E-2</v>
          </cell>
          <cell r="ER20">
            <v>6.25E-2</v>
          </cell>
          <cell r="ES20">
            <v>6.25E-2</v>
          </cell>
          <cell r="EU20">
            <v>0.1</v>
          </cell>
          <cell r="EV20">
            <v>0.11</v>
          </cell>
          <cell r="EW20">
            <v>0.11</v>
          </cell>
          <cell r="EX20">
            <v>0.11</v>
          </cell>
          <cell r="EY20">
            <v>0.11</v>
          </cell>
          <cell r="EZ20">
            <v>0.11</v>
          </cell>
          <cell r="FA20">
            <v>0.11</v>
          </cell>
          <cell r="FB20">
            <v>0.11</v>
          </cell>
          <cell r="FC20">
            <v>0.11</v>
          </cell>
          <cell r="FD20">
            <v>0.11</v>
          </cell>
          <cell r="FE20">
            <v>0.11</v>
          </cell>
          <cell r="FF20">
            <v>0.11</v>
          </cell>
          <cell r="FG20">
            <v>0.11</v>
          </cell>
        </row>
        <row r="21">
          <cell r="D21"/>
          <cell r="G21">
            <v>0.05</v>
          </cell>
          <cell r="H21">
            <v>0.05</v>
          </cell>
          <cell r="I21">
            <v>0.05</v>
          </cell>
          <cell r="J21">
            <v>0.05</v>
          </cell>
          <cell r="K21">
            <v>0.05</v>
          </cell>
          <cell r="L21">
            <v>0.05</v>
          </cell>
          <cell r="M21">
            <v>0.05</v>
          </cell>
          <cell r="N21">
            <v>0.05</v>
          </cell>
          <cell r="O21">
            <v>0.05</v>
          </cell>
          <cell r="P21">
            <v>0.05</v>
          </cell>
          <cell r="Q21">
            <v>0.05</v>
          </cell>
          <cell r="R21">
            <v>0.05</v>
          </cell>
          <cell r="U21">
            <v>0.5</v>
          </cell>
          <cell r="V21">
            <v>0</v>
          </cell>
          <cell r="W21">
            <v>0.5</v>
          </cell>
          <cell r="X21">
            <v>0.5</v>
          </cell>
          <cell r="Y21">
            <v>0</v>
          </cell>
          <cell r="Z21">
            <v>0.5</v>
          </cell>
          <cell r="AA21">
            <v>0.5</v>
          </cell>
          <cell r="AB21">
            <v>0</v>
          </cell>
          <cell r="AC21">
            <v>0.5</v>
          </cell>
          <cell r="AD21">
            <v>0.5</v>
          </cell>
          <cell r="AE21">
            <v>0</v>
          </cell>
          <cell r="AF21">
            <v>0.5</v>
          </cell>
          <cell r="AG21">
            <v>0.5</v>
          </cell>
          <cell r="AH21">
            <v>0</v>
          </cell>
          <cell r="AI21">
            <v>0.5</v>
          </cell>
          <cell r="AJ21">
            <v>0.5</v>
          </cell>
          <cell r="AK21">
            <v>0</v>
          </cell>
          <cell r="AL21">
            <v>0.5</v>
          </cell>
          <cell r="AM21">
            <v>0.5</v>
          </cell>
          <cell r="AN21">
            <v>0</v>
          </cell>
          <cell r="AO21">
            <v>0.5</v>
          </cell>
          <cell r="AP21">
            <v>0.5</v>
          </cell>
          <cell r="AQ21">
            <v>0</v>
          </cell>
          <cell r="AR21">
            <v>0.5</v>
          </cell>
          <cell r="AS21">
            <v>0.5</v>
          </cell>
          <cell r="AT21">
            <v>0</v>
          </cell>
          <cell r="AU21">
            <v>0.5</v>
          </cell>
          <cell r="AV21">
            <v>0.5</v>
          </cell>
          <cell r="AW21">
            <v>0</v>
          </cell>
          <cell r="AX21">
            <v>0.5</v>
          </cell>
          <cell r="AY21">
            <v>0.5</v>
          </cell>
          <cell r="AZ21">
            <v>0</v>
          </cell>
          <cell r="BA21">
            <v>0.5</v>
          </cell>
          <cell r="BB21">
            <v>0.5</v>
          </cell>
          <cell r="BC21">
            <v>0</v>
          </cell>
          <cell r="BD21">
            <v>0.5</v>
          </cell>
          <cell r="BG21">
            <v>7.9999999999999988E-2</v>
          </cell>
          <cell r="BH21">
            <v>9.9999999999999992E-2</v>
          </cell>
          <cell r="BI21">
            <v>0.12000000000000001</v>
          </cell>
          <cell r="BJ21">
            <v>7.9999999999999988E-2</v>
          </cell>
          <cell r="BK21">
            <v>9.9999999999999992E-2</v>
          </cell>
          <cell r="BL21">
            <v>0.14000000000000001</v>
          </cell>
          <cell r="BM21">
            <v>7.9999999999999988E-2</v>
          </cell>
          <cell r="BN21">
            <v>9.9999999999999992E-2</v>
          </cell>
          <cell r="BO21">
            <v>0.14000000000000001</v>
          </cell>
          <cell r="BP21">
            <v>7.9999999999999988E-2</v>
          </cell>
          <cell r="BQ21">
            <v>9.9999999999999992E-2</v>
          </cell>
          <cell r="BR21">
            <v>0.14000000000000001</v>
          </cell>
          <cell r="BS21">
            <v>7.9999999999999988E-2</v>
          </cell>
          <cell r="BT21">
            <v>9.9999999999999992E-2</v>
          </cell>
          <cell r="BU21">
            <v>0.14000000000000001</v>
          </cell>
          <cell r="BV21">
            <v>7.9999999999999988E-2</v>
          </cell>
          <cell r="BW21">
            <v>9.9999999999999992E-2</v>
          </cell>
          <cell r="BX21">
            <v>0.14000000000000001</v>
          </cell>
          <cell r="BY21">
            <v>7.9999999999999988E-2</v>
          </cell>
          <cell r="BZ21">
            <v>9.9999999999999992E-2</v>
          </cell>
          <cell r="CA21">
            <v>0.14000000000000001</v>
          </cell>
          <cell r="CB21">
            <v>7.9999999999999988E-2</v>
          </cell>
          <cell r="CC21">
            <v>9.9999999999999992E-2</v>
          </cell>
          <cell r="CD21">
            <v>0.14000000000000001</v>
          </cell>
          <cell r="CE21">
            <v>7.9999999999999988E-2</v>
          </cell>
          <cell r="CF21">
            <v>9.9999999999999992E-2</v>
          </cell>
          <cell r="CG21">
            <v>0.14000000000000001</v>
          </cell>
          <cell r="CH21">
            <v>7.9999999999999988E-2</v>
          </cell>
          <cell r="CI21">
            <v>9.9999999999999992E-2</v>
          </cell>
          <cell r="CJ21">
            <v>0.14000000000000001</v>
          </cell>
          <cell r="CK21">
            <v>7.9999999999999988E-2</v>
          </cell>
          <cell r="CL21">
            <v>9.9999999999999992E-2</v>
          </cell>
          <cell r="CM21">
            <v>0.14000000000000001</v>
          </cell>
          <cell r="CN21">
            <v>7.9999999999999988E-2</v>
          </cell>
          <cell r="CO21">
            <v>9.9999999999999992E-2</v>
          </cell>
          <cell r="CP21">
            <v>0.14000000000000001</v>
          </cell>
          <cell r="CQ21">
            <v>7.9999999999999988E-2</v>
          </cell>
          <cell r="CR21">
            <v>9.9999999999999992E-2</v>
          </cell>
          <cell r="CS21">
            <v>0.14000000000000001</v>
          </cell>
          <cell r="CV21">
            <v>5.5E-2</v>
          </cell>
          <cell r="CW21">
            <v>4.4999999999999998E-2</v>
          </cell>
          <cell r="CX21">
            <v>0.03</v>
          </cell>
          <cell r="CY21">
            <v>5.5E-2</v>
          </cell>
          <cell r="CZ21">
            <v>4.4999999999999998E-2</v>
          </cell>
          <cell r="DA21">
            <v>0.03</v>
          </cell>
          <cell r="DB21">
            <v>5.5E-2</v>
          </cell>
          <cell r="DC21">
            <v>4.4999999999999998E-2</v>
          </cell>
          <cell r="DD21">
            <v>0.03</v>
          </cell>
          <cell r="DE21">
            <v>5.5E-2</v>
          </cell>
          <cell r="DF21">
            <v>4.4999999999999998E-2</v>
          </cell>
          <cell r="DG21">
            <v>0.03</v>
          </cell>
          <cell r="DH21">
            <v>5.5E-2</v>
          </cell>
          <cell r="DI21">
            <v>4.4999999999999998E-2</v>
          </cell>
          <cell r="DJ21">
            <v>0.03</v>
          </cell>
          <cell r="DK21">
            <v>5.5E-2</v>
          </cell>
          <cell r="DL21">
            <v>4.4999999999999998E-2</v>
          </cell>
          <cell r="DM21">
            <v>0.03</v>
          </cell>
          <cell r="DN21">
            <v>5.5E-2</v>
          </cell>
          <cell r="DO21">
            <v>4.4999999999999998E-2</v>
          </cell>
          <cell r="DP21">
            <v>0.03</v>
          </cell>
          <cell r="DQ21">
            <v>5.5E-2</v>
          </cell>
          <cell r="DR21">
            <v>4.4999999999999998E-2</v>
          </cell>
          <cell r="DS21">
            <v>0.03</v>
          </cell>
          <cell r="DT21">
            <v>5.5E-2</v>
          </cell>
          <cell r="DU21">
            <v>4.4999999999999998E-2</v>
          </cell>
          <cell r="DV21">
            <v>0.03</v>
          </cell>
          <cell r="DW21">
            <v>5.5E-2</v>
          </cell>
          <cell r="DX21">
            <v>4.4999999999999998E-2</v>
          </cell>
          <cell r="DY21">
            <v>0.03</v>
          </cell>
          <cell r="DZ21">
            <v>5.5E-2</v>
          </cell>
          <cell r="EA21">
            <v>4.4999999999999998E-2</v>
          </cell>
          <cell r="EB21">
            <v>0.03</v>
          </cell>
          <cell r="EC21">
            <v>5.5E-2</v>
          </cell>
          <cell r="ED21">
            <v>4.4999999999999998E-2</v>
          </cell>
          <cell r="EE21">
            <v>0.03</v>
          </cell>
          <cell r="EG21">
            <v>5.2500000000000005E-2</v>
          </cell>
          <cell r="EH21">
            <v>6.25E-2</v>
          </cell>
          <cell r="EI21">
            <v>6.25E-2</v>
          </cell>
          <cell r="EJ21">
            <v>6.25E-2</v>
          </cell>
          <cell r="EK21">
            <v>6.25E-2</v>
          </cell>
          <cell r="EL21">
            <v>6.25E-2</v>
          </cell>
          <cell r="EM21">
            <v>6.25E-2</v>
          </cell>
          <cell r="EN21">
            <v>6.25E-2</v>
          </cell>
          <cell r="EO21">
            <v>6.25E-2</v>
          </cell>
          <cell r="EP21">
            <v>6.25E-2</v>
          </cell>
          <cell r="EQ21">
            <v>6.25E-2</v>
          </cell>
          <cell r="ER21">
            <v>6.25E-2</v>
          </cell>
          <cell r="ES21">
            <v>6.25E-2</v>
          </cell>
          <cell r="EU21">
            <v>0.1</v>
          </cell>
          <cell r="EV21">
            <v>0.11</v>
          </cell>
          <cell r="EW21">
            <v>0.11</v>
          </cell>
          <cell r="EX21">
            <v>0.11</v>
          </cell>
          <cell r="EY21">
            <v>0.11</v>
          </cell>
          <cell r="EZ21">
            <v>0.11</v>
          </cell>
          <cell r="FA21">
            <v>0.11</v>
          </cell>
          <cell r="FB21">
            <v>0.11</v>
          </cell>
          <cell r="FC21">
            <v>0.11</v>
          </cell>
          <cell r="FD21">
            <v>0.11</v>
          </cell>
          <cell r="FE21">
            <v>0.11</v>
          </cell>
          <cell r="FF21">
            <v>0.11</v>
          </cell>
          <cell r="FG21">
            <v>0.11</v>
          </cell>
        </row>
        <row r="22">
          <cell r="C22" t="str">
            <v>2008 MCA GT EV</v>
          </cell>
          <cell r="D22" t="str">
            <v>2008 MCA GT Electric</v>
          </cell>
          <cell r="G22">
            <v>0.05</v>
          </cell>
          <cell r="H22">
            <v>0.05</v>
          </cell>
          <cell r="I22">
            <v>0.05</v>
          </cell>
          <cell r="J22">
            <v>0.05</v>
          </cell>
          <cell r="K22">
            <v>0.05</v>
          </cell>
          <cell r="L22">
            <v>0.05</v>
          </cell>
          <cell r="M22">
            <v>0.05</v>
          </cell>
          <cell r="N22">
            <v>0.05</v>
          </cell>
          <cell r="O22">
            <v>0.05</v>
          </cell>
          <cell r="P22">
            <v>0.05</v>
          </cell>
          <cell r="Q22">
            <v>0.05</v>
          </cell>
          <cell r="R22">
            <v>0.05</v>
          </cell>
          <cell r="U22">
            <v>0.5</v>
          </cell>
          <cell r="V22">
            <v>0</v>
          </cell>
          <cell r="W22">
            <v>0.5</v>
          </cell>
          <cell r="X22">
            <v>0.5</v>
          </cell>
          <cell r="Y22">
            <v>0</v>
          </cell>
          <cell r="Z22">
            <v>0.5</v>
          </cell>
          <cell r="AA22">
            <v>0.5</v>
          </cell>
          <cell r="AB22">
            <v>0</v>
          </cell>
          <cell r="AC22">
            <v>0.5</v>
          </cell>
          <cell r="AD22">
            <v>0.5</v>
          </cell>
          <cell r="AE22">
            <v>0</v>
          </cell>
          <cell r="AF22">
            <v>0.5</v>
          </cell>
          <cell r="AG22">
            <v>0.5</v>
          </cell>
          <cell r="AH22">
            <v>0</v>
          </cell>
          <cell r="AI22">
            <v>0.5</v>
          </cell>
          <cell r="AJ22">
            <v>0.5</v>
          </cell>
          <cell r="AK22">
            <v>0</v>
          </cell>
          <cell r="AL22">
            <v>0.5</v>
          </cell>
          <cell r="AM22">
            <v>0.5</v>
          </cell>
          <cell r="AN22">
            <v>0</v>
          </cell>
          <cell r="AO22">
            <v>0.5</v>
          </cell>
          <cell r="AP22">
            <v>0.5</v>
          </cell>
          <cell r="AQ22">
            <v>0</v>
          </cell>
          <cell r="AR22">
            <v>0.5</v>
          </cell>
          <cell r="AS22">
            <v>0.5</v>
          </cell>
          <cell r="AT22">
            <v>0</v>
          </cell>
          <cell r="AU22">
            <v>0.5</v>
          </cell>
          <cell r="AV22">
            <v>0.5</v>
          </cell>
          <cell r="AW22">
            <v>0</v>
          </cell>
          <cell r="AX22">
            <v>0.5</v>
          </cell>
          <cell r="AY22">
            <v>0.5</v>
          </cell>
          <cell r="AZ22">
            <v>0</v>
          </cell>
          <cell r="BA22">
            <v>0.5</v>
          </cell>
          <cell r="BB22">
            <v>0.5</v>
          </cell>
          <cell r="BC22">
            <v>0</v>
          </cell>
          <cell r="BD22">
            <v>0.5</v>
          </cell>
          <cell r="BG22">
            <v>5.9999999999999984E-2</v>
          </cell>
          <cell r="BH22">
            <v>7.9999999999999988E-2</v>
          </cell>
          <cell r="BI22">
            <v>9.9999999999999992E-2</v>
          </cell>
          <cell r="BJ22">
            <v>5.9999999999999984E-2</v>
          </cell>
          <cell r="BK22">
            <v>7.9999999999999988E-2</v>
          </cell>
          <cell r="BL22">
            <v>0.14000000000000001</v>
          </cell>
          <cell r="BM22">
            <v>5.9999999999999984E-2</v>
          </cell>
          <cell r="BN22">
            <v>7.9999999999999988E-2</v>
          </cell>
          <cell r="BO22">
            <v>0.14000000000000001</v>
          </cell>
          <cell r="BP22">
            <v>5.9999999999999984E-2</v>
          </cell>
          <cell r="BQ22">
            <v>7.9999999999999988E-2</v>
          </cell>
          <cell r="BR22">
            <v>0.14000000000000001</v>
          </cell>
          <cell r="BS22">
            <v>5.9999999999999984E-2</v>
          </cell>
          <cell r="BT22">
            <v>7.9999999999999988E-2</v>
          </cell>
          <cell r="BU22">
            <v>0.14000000000000001</v>
          </cell>
          <cell r="BV22">
            <v>5.9999999999999984E-2</v>
          </cell>
          <cell r="BW22">
            <v>7.9999999999999988E-2</v>
          </cell>
          <cell r="BX22">
            <v>0.14000000000000001</v>
          </cell>
          <cell r="BY22">
            <v>5.9999999999999984E-2</v>
          </cell>
          <cell r="BZ22">
            <v>7.9999999999999988E-2</v>
          </cell>
          <cell r="CA22">
            <v>0.14000000000000001</v>
          </cell>
          <cell r="CB22">
            <v>5.9999999999999984E-2</v>
          </cell>
          <cell r="CC22">
            <v>7.9999999999999988E-2</v>
          </cell>
          <cell r="CD22">
            <v>0.14000000000000001</v>
          </cell>
          <cell r="CE22">
            <v>5.9999999999999984E-2</v>
          </cell>
          <cell r="CF22">
            <v>7.9999999999999988E-2</v>
          </cell>
          <cell r="CG22">
            <v>0.14000000000000001</v>
          </cell>
          <cell r="CH22">
            <v>5.9999999999999984E-2</v>
          </cell>
          <cell r="CI22">
            <v>7.9999999999999988E-2</v>
          </cell>
          <cell r="CJ22">
            <v>0.14000000000000001</v>
          </cell>
          <cell r="CK22">
            <v>5.9999999999999984E-2</v>
          </cell>
          <cell r="CL22">
            <v>7.9999999999999988E-2</v>
          </cell>
          <cell r="CM22">
            <v>0.14000000000000001</v>
          </cell>
          <cell r="CN22">
            <v>5.9999999999999984E-2</v>
          </cell>
          <cell r="CO22">
            <v>7.9999999999999988E-2</v>
          </cell>
          <cell r="CP22">
            <v>0.14000000000000001</v>
          </cell>
          <cell r="CQ22">
            <v>5.9999999999999984E-2</v>
          </cell>
          <cell r="CR22">
            <v>7.9999999999999988E-2</v>
          </cell>
          <cell r="CS22">
            <v>0.14000000000000001</v>
          </cell>
          <cell r="CV22">
            <v>5.5E-2</v>
          </cell>
          <cell r="CW22">
            <v>4.4999999999999998E-2</v>
          </cell>
          <cell r="CX22">
            <v>0.04</v>
          </cell>
          <cell r="CY22">
            <v>5.5E-2</v>
          </cell>
          <cell r="CZ22">
            <v>4.4999999999999998E-2</v>
          </cell>
          <cell r="DA22">
            <v>0.04</v>
          </cell>
          <cell r="DB22">
            <v>5.5E-2</v>
          </cell>
          <cell r="DC22">
            <v>4.4999999999999998E-2</v>
          </cell>
          <cell r="DD22">
            <v>0.04</v>
          </cell>
          <cell r="DE22">
            <v>5.5E-2</v>
          </cell>
          <cell r="DF22">
            <v>4.4999999999999998E-2</v>
          </cell>
          <cell r="DG22">
            <v>0.04</v>
          </cell>
          <cell r="DH22">
            <v>5.5E-2</v>
          </cell>
          <cell r="DI22">
            <v>4.4999999999999998E-2</v>
          </cell>
          <cell r="DJ22">
            <v>0.04</v>
          </cell>
          <cell r="DK22">
            <v>5.5E-2</v>
          </cell>
          <cell r="DL22">
            <v>4.4999999999999998E-2</v>
          </cell>
          <cell r="DM22">
            <v>0.04</v>
          </cell>
          <cell r="DN22">
            <v>5.5E-2</v>
          </cell>
          <cell r="DO22">
            <v>4.4999999999999998E-2</v>
          </cell>
          <cell r="DP22">
            <v>0.04</v>
          </cell>
          <cell r="DQ22">
            <v>5.5E-2</v>
          </cell>
          <cell r="DR22">
            <v>4.4999999999999998E-2</v>
          </cell>
          <cell r="DS22">
            <v>0.04</v>
          </cell>
          <cell r="DT22">
            <v>5.5E-2</v>
          </cell>
          <cell r="DU22">
            <v>4.4999999999999998E-2</v>
          </cell>
          <cell r="DV22">
            <v>0.04</v>
          </cell>
          <cell r="DW22">
            <v>5.5E-2</v>
          </cell>
          <cell r="DX22">
            <v>4.4999999999999998E-2</v>
          </cell>
          <cell r="DY22">
            <v>0.04</v>
          </cell>
          <cell r="DZ22">
            <v>5.5E-2</v>
          </cell>
          <cell r="EA22">
            <v>4.4999999999999998E-2</v>
          </cell>
          <cell r="EB22">
            <v>0.04</v>
          </cell>
          <cell r="EC22">
            <v>5.5E-2</v>
          </cell>
          <cell r="ED22">
            <v>4.4999999999999998E-2</v>
          </cell>
          <cell r="EE22">
            <v>0.04</v>
          </cell>
          <cell r="EG22">
            <v>3.7499999999999992E-2</v>
          </cell>
          <cell r="EH22">
            <v>5.7500000000000009E-2</v>
          </cell>
          <cell r="EI22">
            <v>5.7500000000000009E-2</v>
          </cell>
          <cell r="EJ22">
            <v>5.7500000000000009E-2</v>
          </cell>
          <cell r="EK22">
            <v>5.7500000000000009E-2</v>
          </cell>
          <cell r="EL22">
            <v>5.7500000000000009E-2</v>
          </cell>
          <cell r="EM22">
            <v>5.7500000000000009E-2</v>
          </cell>
          <cell r="EN22">
            <v>5.7500000000000009E-2</v>
          </cell>
          <cell r="EO22">
            <v>5.7500000000000009E-2</v>
          </cell>
          <cell r="EP22">
            <v>5.7500000000000009E-2</v>
          </cell>
          <cell r="EQ22">
            <v>5.7500000000000009E-2</v>
          </cell>
          <cell r="ER22">
            <v>5.7500000000000009E-2</v>
          </cell>
          <cell r="ES22">
            <v>5.7500000000000009E-2</v>
          </cell>
          <cell r="EU22">
            <v>7.9999999999999988E-2</v>
          </cell>
          <cell r="EV22">
            <v>0.1</v>
          </cell>
          <cell r="EW22">
            <v>0.1</v>
          </cell>
          <cell r="EX22">
            <v>0.1</v>
          </cell>
          <cell r="EY22">
            <v>0.1</v>
          </cell>
          <cell r="EZ22">
            <v>0.1</v>
          </cell>
          <cell r="FA22">
            <v>0.1</v>
          </cell>
          <cell r="FB22">
            <v>0.1</v>
          </cell>
          <cell r="FC22">
            <v>0.1</v>
          </cell>
          <cell r="FD22">
            <v>0.1</v>
          </cell>
          <cell r="FE22">
            <v>0.1</v>
          </cell>
          <cell r="FF22">
            <v>0.1</v>
          </cell>
          <cell r="FG22">
            <v>0.1</v>
          </cell>
        </row>
        <row r="23">
          <cell r="D23"/>
          <cell r="G23">
            <v>0.05</v>
          </cell>
          <cell r="H23">
            <v>0.05</v>
          </cell>
          <cell r="I23">
            <v>0.05</v>
          </cell>
          <cell r="J23">
            <v>0.05</v>
          </cell>
          <cell r="K23">
            <v>0.05</v>
          </cell>
          <cell r="L23">
            <v>0.05</v>
          </cell>
          <cell r="M23">
            <v>0.05</v>
          </cell>
          <cell r="N23">
            <v>0.05</v>
          </cell>
          <cell r="O23">
            <v>0.05</v>
          </cell>
          <cell r="P23">
            <v>0.05</v>
          </cell>
          <cell r="Q23">
            <v>0.05</v>
          </cell>
          <cell r="R23">
            <v>0.05</v>
          </cell>
          <cell r="U23">
            <v>0.5</v>
          </cell>
          <cell r="V23">
            <v>0</v>
          </cell>
          <cell r="W23">
            <v>0.5</v>
          </cell>
          <cell r="X23">
            <v>0.5</v>
          </cell>
          <cell r="Y23">
            <v>0</v>
          </cell>
          <cell r="Z23">
            <v>0.5</v>
          </cell>
          <cell r="AA23">
            <v>0.5</v>
          </cell>
          <cell r="AB23">
            <v>0</v>
          </cell>
          <cell r="AC23">
            <v>0.5</v>
          </cell>
          <cell r="AD23">
            <v>0.5</v>
          </cell>
          <cell r="AE23">
            <v>0</v>
          </cell>
          <cell r="AF23">
            <v>0.5</v>
          </cell>
          <cell r="AG23">
            <v>0.5</v>
          </cell>
          <cell r="AH23">
            <v>0</v>
          </cell>
          <cell r="AI23">
            <v>0.5</v>
          </cell>
          <cell r="AJ23">
            <v>0.5</v>
          </cell>
          <cell r="AK23">
            <v>0</v>
          </cell>
          <cell r="AL23">
            <v>0.5</v>
          </cell>
          <cell r="AM23">
            <v>0.5</v>
          </cell>
          <cell r="AN23">
            <v>0</v>
          </cell>
          <cell r="AO23">
            <v>0.5</v>
          </cell>
          <cell r="AP23">
            <v>0.5</v>
          </cell>
          <cell r="AQ23">
            <v>0</v>
          </cell>
          <cell r="AR23">
            <v>0.5</v>
          </cell>
          <cell r="AS23">
            <v>0.5</v>
          </cell>
          <cell r="AT23">
            <v>0</v>
          </cell>
          <cell r="AU23">
            <v>0.5</v>
          </cell>
          <cell r="AV23">
            <v>0.5</v>
          </cell>
          <cell r="AW23">
            <v>0</v>
          </cell>
          <cell r="AX23">
            <v>0.5</v>
          </cell>
          <cell r="AY23">
            <v>0.5</v>
          </cell>
          <cell r="AZ23">
            <v>0</v>
          </cell>
          <cell r="BA23">
            <v>0.5</v>
          </cell>
          <cell r="BB23">
            <v>0.5</v>
          </cell>
          <cell r="BC23">
            <v>0</v>
          </cell>
          <cell r="BD23">
            <v>0.5</v>
          </cell>
          <cell r="BG23">
            <v>5.9999999999999984E-2</v>
          </cell>
          <cell r="BH23">
            <v>7.9999999999999988E-2</v>
          </cell>
          <cell r="BI23">
            <v>9.9999999999999992E-2</v>
          </cell>
          <cell r="BJ23">
            <v>5.9999999999999984E-2</v>
          </cell>
          <cell r="BK23">
            <v>7.9999999999999988E-2</v>
          </cell>
          <cell r="BL23">
            <v>0.14000000000000001</v>
          </cell>
          <cell r="BM23">
            <v>5.9999999999999984E-2</v>
          </cell>
          <cell r="BN23">
            <v>7.9999999999999988E-2</v>
          </cell>
          <cell r="BO23">
            <v>0.14000000000000001</v>
          </cell>
          <cell r="BP23">
            <v>5.9999999999999984E-2</v>
          </cell>
          <cell r="BQ23">
            <v>7.9999999999999988E-2</v>
          </cell>
          <cell r="BR23">
            <v>0.14000000000000001</v>
          </cell>
          <cell r="BS23">
            <v>5.9999999999999984E-2</v>
          </cell>
          <cell r="BT23">
            <v>7.9999999999999988E-2</v>
          </cell>
          <cell r="BU23">
            <v>0.14000000000000001</v>
          </cell>
          <cell r="BV23">
            <v>5.9999999999999984E-2</v>
          </cell>
          <cell r="BW23">
            <v>7.9999999999999988E-2</v>
          </cell>
          <cell r="BX23">
            <v>0.14000000000000001</v>
          </cell>
          <cell r="BY23">
            <v>5.9999999999999984E-2</v>
          </cell>
          <cell r="BZ23">
            <v>7.9999999999999988E-2</v>
          </cell>
          <cell r="CA23">
            <v>0.14000000000000001</v>
          </cell>
          <cell r="CB23">
            <v>5.9999999999999984E-2</v>
          </cell>
          <cell r="CC23">
            <v>7.9999999999999988E-2</v>
          </cell>
          <cell r="CD23">
            <v>0.14000000000000001</v>
          </cell>
          <cell r="CE23">
            <v>5.9999999999999984E-2</v>
          </cell>
          <cell r="CF23">
            <v>7.9999999999999988E-2</v>
          </cell>
          <cell r="CG23">
            <v>0.14000000000000001</v>
          </cell>
          <cell r="CH23">
            <v>5.9999999999999984E-2</v>
          </cell>
          <cell r="CI23">
            <v>7.9999999999999988E-2</v>
          </cell>
          <cell r="CJ23">
            <v>0.14000000000000001</v>
          </cell>
          <cell r="CK23">
            <v>5.9999999999999984E-2</v>
          </cell>
          <cell r="CL23">
            <v>7.9999999999999988E-2</v>
          </cell>
          <cell r="CM23">
            <v>0.14000000000000001</v>
          </cell>
          <cell r="CN23">
            <v>5.9999999999999984E-2</v>
          </cell>
          <cell r="CO23">
            <v>7.9999999999999988E-2</v>
          </cell>
          <cell r="CP23">
            <v>0.14000000000000001</v>
          </cell>
          <cell r="CQ23">
            <v>5.9999999999999984E-2</v>
          </cell>
          <cell r="CR23">
            <v>7.9999999999999988E-2</v>
          </cell>
          <cell r="CS23">
            <v>0.14000000000000001</v>
          </cell>
          <cell r="CV23">
            <v>5.5E-2</v>
          </cell>
          <cell r="CW23">
            <v>4.4999999999999998E-2</v>
          </cell>
          <cell r="CX23">
            <v>0.04</v>
          </cell>
          <cell r="CY23">
            <v>5.5E-2</v>
          </cell>
          <cell r="CZ23">
            <v>4.4999999999999998E-2</v>
          </cell>
          <cell r="DA23">
            <v>0.04</v>
          </cell>
          <cell r="DB23">
            <v>5.5E-2</v>
          </cell>
          <cell r="DC23">
            <v>4.4999999999999998E-2</v>
          </cell>
          <cell r="DD23">
            <v>0.04</v>
          </cell>
          <cell r="DE23">
            <v>5.5E-2</v>
          </cell>
          <cell r="DF23">
            <v>4.4999999999999998E-2</v>
          </cell>
          <cell r="DG23">
            <v>0.04</v>
          </cell>
          <cell r="DH23">
            <v>5.5E-2</v>
          </cell>
          <cell r="DI23">
            <v>4.4999999999999998E-2</v>
          </cell>
          <cell r="DJ23">
            <v>0.04</v>
          </cell>
          <cell r="DK23">
            <v>5.5E-2</v>
          </cell>
          <cell r="DL23">
            <v>4.4999999999999998E-2</v>
          </cell>
          <cell r="DM23">
            <v>0.04</v>
          </cell>
          <cell r="DN23">
            <v>5.5E-2</v>
          </cell>
          <cell r="DO23">
            <v>4.4999999999999998E-2</v>
          </cell>
          <cell r="DP23">
            <v>0.04</v>
          </cell>
          <cell r="DQ23">
            <v>5.5E-2</v>
          </cell>
          <cell r="DR23">
            <v>4.4999999999999998E-2</v>
          </cell>
          <cell r="DS23">
            <v>0.04</v>
          </cell>
          <cell r="DT23">
            <v>5.5E-2</v>
          </cell>
          <cell r="DU23">
            <v>4.4999999999999998E-2</v>
          </cell>
          <cell r="DV23">
            <v>0.04</v>
          </cell>
          <cell r="DW23">
            <v>5.5E-2</v>
          </cell>
          <cell r="DX23">
            <v>4.4999999999999998E-2</v>
          </cell>
          <cell r="DY23">
            <v>0.04</v>
          </cell>
          <cell r="DZ23">
            <v>5.5E-2</v>
          </cell>
          <cell r="EA23">
            <v>4.4999999999999998E-2</v>
          </cell>
          <cell r="EB23">
            <v>0.04</v>
          </cell>
          <cell r="EC23">
            <v>5.5E-2</v>
          </cell>
          <cell r="ED23">
            <v>4.4999999999999998E-2</v>
          </cell>
          <cell r="EE23">
            <v>0.04</v>
          </cell>
          <cell r="EG23">
            <v>3.7499999999999992E-2</v>
          </cell>
          <cell r="EH23">
            <v>5.7500000000000009E-2</v>
          </cell>
          <cell r="EI23">
            <v>5.7500000000000009E-2</v>
          </cell>
          <cell r="EJ23">
            <v>5.7500000000000009E-2</v>
          </cell>
          <cell r="EK23">
            <v>5.7500000000000009E-2</v>
          </cell>
          <cell r="EL23">
            <v>5.7500000000000009E-2</v>
          </cell>
          <cell r="EM23">
            <v>5.7500000000000009E-2</v>
          </cell>
          <cell r="EN23">
            <v>5.7500000000000009E-2</v>
          </cell>
          <cell r="EO23">
            <v>5.7500000000000009E-2</v>
          </cell>
          <cell r="EP23">
            <v>5.7500000000000009E-2</v>
          </cell>
          <cell r="EQ23">
            <v>5.7500000000000009E-2</v>
          </cell>
          <cell r="ER23">
            <v>5.7500000000000009E-2</v>
          </cell>
          <cell r="ES23">
            <v>5.7500000000000009E-2</v>
          </cell>
          <cell r="EU23">
            <v>7.9999999999999988E-2</v>
          </cell>
          <cell r="EV23">
            <v>0.1</v>
          </cell>
          <cell r="EW23">
            <v>0.1</v>
          </cell>
          <cell r="EX23">
            <v>0.1</v>
          </cell>
          <cell r="EY23">
            <v>0.1</v>
          </cell>
          <cell r="EZ23">
            <v>0.1</v>
          </cell>
          <cell r="FA23">
            <v>0.1</v>
          </cell>
          <cell r="FB23">
            <v>0.1</v>
          </cell>
          <cell r="FC23">
            <v>0.1</v>
          </cell>
          <cell r="FD23">
            <v>0.1</v>
          </cell>
          <cell r="FE23">
            <v>0.1</v>
          </cell>
          <cell r="FF23">
            <v>0.1</v>
          </cell>
          <cell r="FG23">
            <v>0.1</v>
          </cell>
        </row>
        <row r="24">
          <cell r="C24" t="str">
            <v>308 Allure Puretech EAT8</v>
          </cell>
          <cell r="D24" t="str">
            <v>308 Allure Gasolina 130hp AT</v>
          </cell>
          <cell r="G24">
            <v>0.05</v>
          </cell>
          <cell r="H24">
            <v>0.05</v>
          </cell>
          <cell r="I24">
            <v>0.05</v>
          </cell>
          <cell r="J24">
            <v>0.05</v>
          </cell>
          <cell r="K24">
            <v>0.05</v>
          </cell>
          <cell r="L24">
            <v>0.05</v>
          </cell>
          <cell r="M24">
            <v>0.05</v>
          </cell>
          <cell r="N24">
            <v>0.05</v>
          </cell>
          <cell r="O24">
            <v>0.05</v>
          </cell>
          <cell r="P24">
            <v>0.05</v>
          </cell>
          <cell r="Q24">
            <v>0.05</v>
          </cell>
          <cell r="R24">
            <v>0.05</v>
          </cell>
          <cell r="U24">
            <v>0.5</v>
          </cell>
          <cell r="V24">
            <v>0</v>
          </cell>
          <cell r="W24">
            <v>0.5</v>
          </cell>
          <cell r="X24">
            <v>0.5</v>
          </cell>
          <cell r="Y24">
            <v>0</v>
          </cell>
          <cell r="Z24">
            <v>0.5</v>
          </cell>
          <cell r="AA24">
            <v>0.5</v>
          </cell>
          <cell r="AB24">
            <v>0</v>
          </cell>
          <cell r="AC24">
            <v>0.5</v>
          </cell>
          <cell r="AD24">
            <v>0.5</v>
          </cell>
          <cell r="AE24">
            <v>0</v>
          </cell>
          <cell r="AF24">
            <v>0.5</v>
          </cell>
          <cell r="AG24">
            <v>0.5</v>
          </cell>
          <cell r="AH24">
            <v>0</v>
          </cell>
          <cell r="AI24">
            <v>0.5</v>
          </cell>
          <cell r="AJ24">
            <v>0.5</v>
          </cell>
          <cell r="AK24">
            <v>0</v>
          </cell>
          <cell r="AL24">
            <v>0.5</v>
          </cell>
          <cell r="AM24">
            <v>0.5</v>
          </cell>
          <cell r="AN24">
            <v>0</v>
          </cell>
          <cell r="AO24">
            <v>0.5</v>
          </cell>
          <cell r="AP24">
            <v>0.5</v>
          </cell>
          <cell r="AQ24">
            <v>0</v>
          </cell>
          <cell r="AR24">
            <v>0.5</v>
          </cell>
          <cell r="AS24">
            <v>0.5</v>
          </cell>
          <cell r="AT24">
            <v>0</v>
          </cell>
          <cell r="AU24">
            <v>0.5</v>
          </cell>
          <cell r="AV24">
            <v>0.5</v>
          </cell>
          <cell r="AW24">
            <v>0</v>
          </cell>
          <cell r="AX24">
            <v>0.5</v>
          </cell>
          <cell r="AY24">
            <v>0.5</v>
          </cell>
          <cell r="AZ24">
            <v>0</v>
          </cell>
          <cell r="BA24">
            <v>0.5</v>
          </cell>
          <cell r="BB24">
            <v>0.5</v>
          </cell>
          <cell r="BC24">
            <v>0</v>
          </cell>
          <cell r="BD24">
            <v>0.5</v>
          </cell>
          <cell r="BG24">
            <v>7.9999999999999988E-2</v>
          </cell>
          <cell r="BH24">
            <v>9.9999999999999992E-2</v>
          </cell>
          <cell r="BI24">
            <v>0.12000000000000001</v>
          </cell>
          <cell r="BJ24">
            <v>7.9999999999999988E-2</v>
          </cell>
          <cell r="BK24">
            <v>9.9999999999999992E-2</v>
          </cell>
          <cell r="BL24">
            <v>0.14000000000000001</v>
          </cell>
          <cell r="BM24">
            <v>7.9999999999999988E-2</v>
          </cell>
          <cell r="BN24">
            <v>9.9999999999999992E-2</v>
          </cell>
          <cell r="BO24">
            <v>0.14000000000000001</v>
          </cell>
          <cell r="BP24">
            <v>7.9999999999999988E-2</v>
          </cell>
          <cell r="BQ24">
            <v>9.9999999999999992E-2</v>
          </cell>
          <cell r="BR24">
            <v>0.14000000000000001</v>
          </cell>
          <cell r="BS24">
            <v>7.9999999999999988E-2</v>
          </cell>
          <cell r="BT24">
            <v>9.9999999999999992E-2</v>
          </cell>
          <cell r="BU24">
            <v>0.14000000000000001</v>
          </cell>
          <cell r="BV24">
            <v>7.9999999999999988E-2</v>
          </cell>
          <cell r="BW24">
            <v>9.9999999999999992E-2</v>
          </cell>
          <cell r="BX24">
            <v>0.14000000000000001</v>
          </cell>
          <cell r="BY24">
            <v>7.9999999999999988E-2</v>
          </cell>
          <cell r="BZ24">
            <v>9.9999999999999992E-2</v>
          </cell>
          <cell r="CA24">
            <v>0.14000000000000001</v>
          </cell>
          <cell r="CB24">
            <v>7.9999999999999988E-2</v>
          </cell>
          <cell r="CC24">
            <v>9.9999999999999992E-2</v>
          </cell>
          <cell r="CD24">
            <v>0.14000000000000001</v>
          </cell>
          <cell r="CE24">
            <v>7.9999999999999988E-2</v>
          </cell>
          <cell r="CF24">
            <v>9.9999999999999992E-2</v>
          </cell>
          <cell r="CG24">
            <v>0.14000000000000001</v>
          </cell>
          <cell r="CH24">
            <v>7.9999999999999988E-2</v>
          </cell>
          <cell r="CI24">
            <v>9.9999999999999992E-2</v>
          </cell>
          <cell r="CJ24">
            <v>0.14000000000000001</v>
          </cell>
          <cell r="CK24">
            <v>7.9999999999999988E-2</v>
          </cell>
          <cell r="CL24">
            <v>9.9999999999999992E-2</v>
          </cell>
          <cell r="CM24">
            <v>0.14000000000000001</v>
          </cell>
          <cell r="CN24">
            <v>7.9999999999999988E-2</v>
          </cell>
          <cell r="CO24">
            <v>9.9999999999999992E-2</v>
          </cell>
          <cell r="CP24">
            <v>0.14000000000000001</v>
          </cell>
          <cell r="CQ24">
            <v>7.9999999999999988E-2</v>
          </cell>
          <cell r="CR24">
            <v>9.9999999999999992E-2</v>
          </cell>
          <cell r="CS24">
            <v>0.14000000000000001</v>
          </cell>
          <cell r="CV24">
            <v>5.5E-2</v>
          </cell>
          <cell r="CW24">
            <v>4.4999999999999998E-2</v>
          </cell>
          <cell r="CX24">
            <v>0.03</v>
          </cell>
          <cell r="CY24">
            <v>5.5E-2</v>
          </cell>
          <cell r="CZ24">
            <v>4.4999999999999998E-2</v>
          </cell>
          <cell r="DA24">
            <v>0.03</v>
          </cell>
          <cell r="DB24">
            <v>5.5E-2</v>
          </cell>
          <cell r="DC24">
            <v>4.4999999999999998E-2</v>
          </cell>
          <cell r="DD24">
            <v>0.03</v>
          </cell>
          <cell r="DE24">
            <v>5.5E-2</v>
          </cell>
          <cell r="DF24">
            <v>4.4999999999999998E-2</v>
          </cell>
          <cell r="DG24">
            <v>0.03</v>
          </cell>
          <cell r="DH24">
            <v>5.5E-2</v>
          </cell>
          <cell r="DI24">
            <v>4.4999999999999998E-2</v>
          </cell>
          <cell r="DJ24">
            <v>0.03</v>
          </cell>
          <cell r="DK24">
            <v>5.5E-2</v>
          </cell>
          <cell r="DL24">
            <v>4.4999999999999998E-2</v>
          </cell>
          <cell r="DM24">
            <v>0.03</v>
          </cell>
          <cell r="DN24">
            <v>5.5E-2</v>
          </cell>
          <cell r="DO24">
            <v>4.4999999999999998E-2</v>
          </cell>
          <cell r="DP24">
            <v>0.03</v>
          </cell>
          <cell r="DQ24">
            <v>5.5E-2</v>
          </cell>
          <cell r="DR24">
            <v>4.4999999999999998E-2</v>
          </cell>
          <cell r="DS24">
            <v>0.03</v>
          </cell>
          <cell r="DT24">
            <v>5.5E-2</v>
          </cell>
          <cell r="DU24">
            <v>4.4999999999999998E-2</v>
          </cell>
          <cell r="DV24">
            <v>0.03</v>
          </cell>
          <cell r="DW24">
            <v>5.5E-2</v>
          </cell>
          <cell r="DX24">
            <v>4.4999999999999998E-2</v>
          </cell>
          <cell r="DY24">
            <v>0.03</v>
          </cell>
          <cell r="DZ24">
            <v>5.5E-2</v>
          </cell>
          <cell r="EA24">
            <v>4.4999999999999998E-2</v>
          </cell>
          <cell r="EB24">
            <v>0.03</v>
          </cell>
          <cell r="EC24">
            <v>5.5E-2</v>
          </cell>
          <cell r="ED24">
            <v>4.4999999999999998E-2</v>
          </cell>
          <cell r="EE24">
            <v>0.03</v>
          </cell>
          <cell r="EG24">
            <v>5.2500000000000005E-2</v>
          </cell>
          <cell r="EH24">
            <v>6.25E-2</v>
          </cell>
          <cell r="EI24">
            <v>6.25E-2</v>
          </cell>
          <cell r="EJ24">
            <v>6.25E-2</v>
          </cell>
          <cell r="EK24">
            <v>6.25E-2</v>
          </cell>
          <cell r="EL24">
            <v>6.25E-2</v>
          </cell>
          <cell r="EM24">
            <v>6.25E-2</v>
          </cell>
          <cell r="EN24">
            <v>6.25E-2</v>
          </cell>
          <cell r="EO24">
            <v>6.25E-2</v>
          </cell>
          <cell r="EP24">
            <v>6.25E-2</v>
          </cell>
          <cell r="EQ24">
            <v>6.25E-2</v>
          </cell>
          <cell r="ER24">
            <v>6.25E-2</v>
          </cell>
          <cell r="ES24">
            <v>6.25E-2</v>
          </cell>
          <cell r="EU24">
            <v>0.1</v>
          </cell>
          <cell r="EV24">
            <v>0.11</v>
          </cell>
          <cell r="EW24">
            <v>0.11</v>
          </cell>
          <cell r="EX24">
            <v>0.11</v>
          </cell>
          <cell r="EY24">
            <v>0.11</v>
          </cell>
          <cell r="EZ24">
            <v>0.11</v>
          </cell>
          <cell r="FA24">
            <v>0.11</v>
          </cell>
          <cell r="FB24">
            <v>0.11</v>
          </cell>
          <cell r="FC24">
            <v>0.11</v>
          </cell>
          <cell r="FD24">
            <v>0.11</v>
          </cell>
          <cell r="FE24">
            <v>0.11</v>
          </cell>
          <cell r="FF24">
            <v>0.11</v>
          </cell>
          <cell r="FG24">
            <v>0.11</v>
          </cell>
        </row>
        <row r="25">
          <cell r="C25" t="str">
            <v>308 GT PURETECH 130 EAT8</v>
          </cell>
          <cell r="D25" t="str">
            <v>308 GT Gasolina 130hp AT</v>
          </cell>
          <cell r="G25">
            <v>0.05</v>
          </cell>
          <cell r="H25">
            <v>0.05</v>
          </cell>
          <cell r="I25">
            <v>0.05</v>
          </cell>
          <cell r="J25">
            <v>0.05</v>
          </cell>
          <cell r="K25">
            <v>0.05</v>
          </cell>
          <cell r="L25">
            <v>0.05</v>
          </cell>
          <cell r="M25">
            <v>0.05</v>
          </cell>
          <cell r="N25">
            <v>0.05</v>
          </cell>
          <cell r="O25">
            <v>0.05</v>
          </cell>
          <cell r="P25">
            <v>0.05</v>
          </cell>
          <cell r="Q25">
            <v>0.05</v>
          </cell>
          <cell r="R25">
            <v>0.05</v>
          </cell>
          <cell r="U25">
            <v>0.5</v>
          </cell>
          <cell r="V25">
            <v>0</v>
          </cell>
          <cell r="W25">
            <v>0.5</v>
          </cell>
          <cell r="X25">
            <v>0.5</v>
          </cell>
          <cell r="Y25">
            <v>0</v>
          </cell>
          <cell r="Z25">
            <v>0.5</v>
          </cell>
          <cell r="AA25">
            <v>0.5</v>
          </cell>
          <cell r="AB25">
            <v>0</v>
          </cell>
          <cell r="AC25">
            <v>0.5</v>
          </cell>
          <cell r="AD25">
            <v>0.5</v>
          </cell>
          <cell r="AE25">
            <v>0</v>
          </cell>
          <cell r="AF25">
            <v>0.5</v>
          </cell>
          <cell r="AG25">
            <v>0.5</v>
          </cell>
          <cell r="AH25">
            <v>0</v>
          </cell>
          <cell r="AI25">
            <v>0.5</v>
          </cell>
          <cell r="AJ25">
            <v>0.5</v>
          </cell>
          <cell r="AK25">
            <v>0</v>
          </cell>
          <cell r="AL25">
            <v>0.5</v>
          </cell>
          <cell r="AM25">
            <v>0.5</v>
          </cell>
          <cell r="AN25">
            <v>0</v>
          </cell>
          <cell r="AO25">
            <v>0.5</v>
          </cell>
          <cell r="AP25">
            <v>0.5</v>
          </cell>
          <cell r="AQ25">
            <v>0</v>
          </cell>
          <cell r="AR25">
            <v>0.5</v>
          </cell>
          <cell r="AS25">
            <v>0.5</v>
          </cell>
          <cell r="AT25">
            <v>0</v>
          </cell>
          <cell r="AU25">
            <v>0.5</v>
          </cell>
          <cell r="AV25">
            <v>0.5</v>
          </cell>
          <cell r="AW25">
            <v>0</v>
          </cell>
          <cell r="AX25">
            <v>0.5</v>
          </cell>
          <cell r="AY25">
            <v>0.5</v>
          </cell>
          <cell r="AZ25">
            <v>0</v>
          </cell>
          <cell r="BA25">
            <v>0.5</v>
          </cell>
          <cell r="BB25">
            <v>0.5</v>
          </cell>
          <cell r="BC25">
            <v>0</v>
          </cell>
          <cell r="BD25">
            <v>0.5</v>
          </cell>
          <cell r="BG25">
            <v>7.9999999999999988E-2</v>
          </cell>
          <cell r="BH25">
            <v>9.9999999999999992E-2</v>
          </cell>
          <cell r="BI25">
            <v>0.12000000000000001</v>
          </cell>
          <cell r="BJ25">
            <v>7.9999999999999988E-2</v>
          </cell>
          <cell r="BK25">
            <v>9.9999999999999992E-2</v>
          </cell>
          <cell r="BL25">
            <v>0.14000000000000001</v>
          </cell>
          <cell r="BM25">
            <v>7.9999999999999988E-2</v>
          </cell>
          <cell r="BN25">
            <v>9.9999999999999992E-2</v>
          </cell>
          <cell r="BO25">
            <v>0.14000000000000001</v>
          </cell>
          <cell r="BP25">
            <v>7.9999999999999988E-2</v>
          </cell>
          <cell r="BQ25">
            <v>9.9999999999999992E-2</v>
          </cell>
          <cell r="BR25">
            <v>0.14000000000000001</v>
          </cell>
          <cell r="BS25">
            <v>7.9999999999999988E-2</v>
          </cell>
          <cell r="BT25">
            <v>9.9999999999999992E-2</v>
          </cell>
          <cell r="BU25">
            <v>0.14000000000000001</v>
          </cell>
          <cell r="BV25">
            <v>7.9999999999999988E-2</v>
          </cell>
          <cell r="BW25">
            <v>9.9999999999999992E-2</v>
          </cell>
          <cell r="BX25">
            <v>0.14000000000000001</v>
          </cell>
          <cell r="BY25">
            <v>7.9999999999999988E-2</v>
          </cell>
          <cell r="BZ25">
            <v>9.9999999999999992E-2</v>
          </cell>
          <cell r="CA25">
            <v>0.14000000000000001</v>
          </cell>
          <cell r="CB25">
            <v>7.9999999999999988E-2</v>
          </cell>
          <cell r="CC25">
            <v>9.9999999999999992E-2</v>
          </cell>
          <cell r="CD25">
            <v>0.14000000000000001</v>
          </cell>
          <cell r="CE25">
            <v>7.9999999999999988E-2</v>
          </cell>
          <cell r="CF25">
            <v>9.9999999999999992E-2</v>
          </cell>
          <cell r="CG25">
            <v>0.14000000000000001</v>
          </cell>
          <cell r="CH25">
            <v>7.9999999999999988E-2</v>
          </cell>
          <cell r="CI25">
            <v>9.9999999999999992E-2</v>
          </cell>
          <cell r="CJ25">
            <v>0.14000000000000001</v>
          </cell>
          <cell r="CK25">
            <v>7.9999999999999988E-2</v>
          </cell>
          <cell r="CL25">
            <v>9.9999999999999992E-2</v>
          </cell>
          <cell r="CM25">
            <v>0.14000000000000001</v>
          </cell>
          <cell r="CN25">
            <v>7.9999999999999988E-2</v>
          </cell>
          <cell r="CO25">
            <v>9.9999999999999992E-2</v>
          </cell>
          <cell r="CP25">
            <v>0.14000000000000001</v>
          </cell>
          <cell r="CQ25">
            <v>7.9999999999999988E-2</v>
          </cell>
          <cell r="CR25">
            <v>9.9999999999999992E-2</v>
          </cell>
          <cell r="CS25">
            <v>0.14000000000000001</v>
          </cell>
          <cell r="CV25">
            <v>5.5E-2</v>
          </cell>
          <cell r="CW25">
            <v>4.4999999999999998E-2</v>
          </cell>
          <cell r="CX25">
            <v>0.03</v>
          </cell>
          <cell r="CY25">
            <v>5.5E-2</v>
          </cell>
          <cell r="CZ25">
            <v>4.4999999999999998E-2</v>
          </cell>
          <cell r="DA25">
            <v>0.03</v>
          </cell>
          <cell r="DB25">
            <v>5.5E-2</v>
          </cell>
          <cell r="DC25">
            <v>4.4999999999999998E-2</v>
          </cell>
          <cell r="DD25">
            <v>0.03</v>
          </cell>
          <cell r="DE25">
            <v>5.5E-2</v>
          </cell>
          <cell r="DF25">
            <v>4.4999999999999998E-2</v>
          </cell>
          <cell r="DG25">
            <v>0.03</v>
          </cell>
          <cell r="DH25">
            <v>5.5E-2</v>
          </cell>
          <cell r="DI25">
            <v>4.4999999999999998E-2</v>
          </cell>
          <cell r="DJ25">
            <v>0.03</v>
          </cell>
          <cell r="DK25">
            <v>5.5E-2</v>
          </cell>
          <cell r="DL25">
            <v>4.4999999999999998E-2</v>
          </cell>
          <cell r="DM25">
            <v>0.03</v>
          </cell>
          <cell r="DN25">
            <v>5.5E-2</v>
          </cell>
          <cell r="DO25">
            <v>4.4999999999999998E-2</v>
          </cell>
          <cell r="DP25">
            <v>0.03</v>
          </cell>
          <cell r="DQ25">
            <v>5.5E-2</v>
          </cell>
          <cell r="DR25">
            <v>4.4999999999999998E-2</v>
          </cell>
          <cell r="DS25">
            <v>0.03</v>
          </cell>
          <cell r="DT25">
            <v>5.5E-2</v>
          </cell>
          <cell r="DU25">
            <v>4.4999999999999998E-2</v>
          </cell>
          <cell r="DV25">
            <v>0.03</v>
          </cell>
          <cell r="DW25">
            <v>5.5E-2</v>
          </cell>
          <cell r="DX25">
            <v>4.4999999999999998E-2</v>
          </cell>
          <cell r="DY25">
            <v>0.03</v>
          </cell>
          <cell r="DZ25">
            <v>5.5E-2</v>
          </cell>
          <cell r="EA25">
            <v>4.4999999999999998E-2</v>
          </cell>
          <cell r="EB25">
            <v>0.03</v>
          </cell>
          <cell r="EC25">
            <v>5.5E-2</v>
          </cell>
          <cell r="ED25">
            <v>4.4999999999999998E-2</v>
          </cell>
          <cell r="EE25">
            <v>0.03</v>
          </cell>
          <cell r="EG25">
            <v>5.2500000000000005E-2</v>
          </cell>
          <cell r="EH25">
            <v>6.25E-2</v>
          </cell>
          <cell r="EI25">
            <v>6.25E-2</v>
          </cell>
          <cell r="EJ25">
            <v>6.25E-2</v>
          </cell>
          <cell r="EK25">
            <v>6.25E-2</v>
          </cell>
          <cell r="EL25">
            <v>6.25E-2</v>
          </cell>
          <cell r="EM25">
            <v>6.25E-2</v>
          </cell>
          <cell r="EN25">
            <v>6.25E-2</v>
          </cell>
          <cell r="EO25">
            <v>6.25E-2</v>
          </cell>
          <cell r="EP25">
            <v>6.25E-2</v>
          </cell>
          <cell r="EQ25">
            <v>6.25E-2</v>
          </cell>
          <cell r="ER25">
            <v>6.25E-2</v>
          </cell>
          <cell r="ES25">
            <v>6.25E-2</v>
          </cell>
          <cell r="EU25">
            <v>0.1</v>
          </cell>
          <cell r="EV25">
            <v>0.11</v>
          </cell>
          <cell r="EW25">
            <v>0.11</v>
          </cell>
          <cell r="EX25">
            <v>0.11</v>
          </cell>
          <cell r="EY25">
            <v>0.11</v>
          </cell>
          <cell r="EZ25">
            <v>0.11</v>
          </cell>
          <cell r="FA25">
            <v>0.11</v>
          </cell>
          <cell r="FB25">
            <v>0.11</v>
          </cell>
          <cell r="FC25">
            <v>0.11</v>
          </cell>
          <cell r="FD25">
            <v>0.11</v>
          </cell>
          <cell r="FE25">
            <v>0.11</v>
          </cell>
          <cell r="FF25">
            <v>0.11</v>
          </cell>
          <cell r="FG25">
            <v>0.11</v>
          </cell>
        </row>
        <row r="26">
          <cell r="C26" t="str">
            <v>308 ALLURE MHEV 136 eDCT6</v>
          </cell>
          <cell r="D26" t="str">
            <v>308 Allure Hybrid 136hp AT</v>
          </cell>
          <cell r="G26">
            <v>0.05</v>
          </cell>
          <cell r="H26">
            <v>0.05</v>
          </cell>
          <cell r="I26">
            <v>0.05</v>
          </cell>
          <cell r="J26">
            <v>0.05</v>
          </cell>
          <cell r="K26">
            <v>0.05</v>
          </cell>
          <cell r="L26">
            <v>0.05</v>
          </cell>
          <cell r="M26">
            <v>0.05</v>
          </cell>
          <cell r="N26">
            <v>0.05</v>
          </cell>
          <cell r="O26">
            <v>0.05</v>
          </cell>
          <cell r="P26">
            <v>0.05</v>
          </cell>
          <cell r="Q26">
            <v>0.05</v>
          </cell>
          <cell r="R26">
            <v>0.05</v>
          </cell>
          <cell r="U26">
            <v>0.5</v>
          </cell>
          <cell r="V26">
            <v>0</v>
          </cell>
          <cell r="W26">
            <v>0.5</v>
          </cell>
          <cell r="X26">
            <v>1</v>
          </cell>
          <cell r="Y26">
            <v>0</v>
          </cell>
          <cell r="Z26">
            <v>0</v>
          </cell>
          <cell r="AA26">
            <v>1</v>
          </cell>
          <cell r="AB26">
            <v>0</v>
          </cell>
          <cell r="AC26">
            <v>0</v>
          </cell>
          <cell r="AD26">
            <v>1</v>
          </cell>
          <cell r="AE26">
            <v>0</v>
          </cell>
          <cell r="AF26">
            <v>0</v>
          </cell>
          <cell r="AG26">
            <v>1</v>
          </cell>
          <cell r="AH26">
            <v>0</v>
          </cell>
          <cell r="AI26">
            <v>0</v>
          </cell>
          <cell r="AJ26">
            <v>1</v>
          </cell>
          <cell r="AK26">
            <v>0</v>
          </cell>
          <cell r="AL26">
            <v>0</v>
          </cell>
          <cell r="AM26">
            <v>1</v>
          </cell>
          <cell r="AN26">
            <v>0</v>
          </cell>
          <cell r="AO26">
            <v>0</v>
          </cell>
          <cell r="AP26">
            <v>1</v>
          </cell>
          <cell r="AQ26">
            <v>0</v>
          </cell>
          <cell r="AR26">
            <v>0</v>
          </cell>
          <cell r="AS26">
            <v>1</v>
          </cell>
          <cell r="AT26">
            <v>0</v>
          </cell>
          <cell r="AU26">
            <v>0</v>
          </cell>
          <cell r="AV26">
            <v>1</v>
          </cell>
          <cell r="AW26">
            <v>0</v>
          </cell>
          <cell r="AX26">
            <v>0</v>
          </cell>
          <cell r="AY26">
            <v>1</v>
          </cell>
          <cell r="AZ26">
            <v>0</v>
          </cell>
          <cell r="BA26">
            <v>0</v>
          </cell>
          <cell r="BB26">
            <v>1</v>
          </cell>
          <cell r="BC26">
            <v>0</v>
          </cell>
          <cell r="BD26">
            <v>0</v>
          </cell>
          <cell r="BG26">
            <v>7.9999999999999988E-2</v>
          </cell>
          <cell r="BH26">
            <v>9.9999999999999992E-2</v>
          </cell>
          <cell r="BI26">
            <v>0.12000000000000001</v>
          </cell>
          <cell r="BJ26">
            <v>7.9999999999999988E-2</v>
          </cell>
          <cell r="BK26">
            <v>9.9999999999999992E-2</v>
          </cell>
          <cell r="BL26">
            <v>0.14000000000000001</v>
          </cell>
          <cell r="BM26">
            <v>7.9999999999999988E-2</v>
          </cell>
          <cell r="BN26">
            <v>9.9999999999999992E-2</v>
          </cell>
          <cell r="BO26">
            <v>0.14000000000000001</v>
          </cell>
          <cell r="BP26">
            <v>7.9999999999999988E-2</v>
          </cell>
          <cell r="BQ26">
            <v>9.9999999999999992E-2</v>
          </cell>
          <cell r="BR26">
            <v>0.14000000000000001</v>
          </cell>
          <cell r="BS26">
            <v>7.9999999999999988E-2</v>
          </cell>
          <cell r="BT26">
            <v>9.9999999999999992E-2</v>
          </cell>
          <cell r="BU26">
            <v>0.14000000000000001</v>
          </cell>
          <cell r="BV26">
            <v>7.9999999999999988E-2</v>
          </cell>
          <cell r="BW26">
            <v>9.9999999999999992E-2</v>
          </cell>
          <cell r="BX26">
            <v>0.14000000000000001</v>
          </cell>
          <cell r="BY26">
            <v>7.9999999999999988E-2</v>
          </cell>
          <cell r="BZ26">
            <v>9.9999999999999992E-2</v>
          </cell>
          <cell r="CA26">
            <v>0.14000000000000001</v>
          </cell>
          <cell r="CB26">
            <v>7.9999999999999988E-2</v>
          </cell>
          <cell r="CC26">
            <v>9.9999999999999992E-2</v>
          </cell>
          <cell r="CD26">
            <v>0.14000000000000001</v>
          </cell>
          <cell r="CE26">
            <v>7.9999999999999988E-2</v>
          </cell>
          <cell r="CF26">
            <v>9.9999999999999992E-2</v>
          </cell>
          <cell r="CG26">
            <v>0.14000000000000001</v>
          </cell>
          <cell r="CH26">
            <v>7.9999999999999988E-2</v>
          </cell>
          <cell r="CI26">
            <v>9.9999999999999992E-2</v>
          </cell>
          <cell r="CJ26">
            <v>0.14000000000000001</v>
          </cell>
          <cell r="CK26">
            <v>7.9999999999999988E-2</v>
          </cell>
          <cell r="CL26">
            <v>9.9999999999999992E-2</v>
          </cell>
          <cell r="CM26">
            <v>0.14000000000000001</v>
          </cell>
          <cell r="CN26">
            <v>7.9999999999999988E-2</v>
          </cell>
          <cell r="CO26">
            <v>9.9999999999999992E-2</v>
          </cell>
          <cell r="CP26">
            <v>0.14000000000000001</v>
          </cell>
          <cell r="CQ26">
            <v>7.9999999999999988E-2</v>
          </cell>
          <cell r="CR26">
            <v>9.9999999999999992E-2</v>
          </cell>
          <cell r="CS26">
            <v>0.14000000000000001</v>
          </cell>
          <cell r="CV26">
            <v>5.5E-2</v>
          </cell>
          <cell r="CW26">
            <v>4.4999999999999998E-2</v>
          </cell>
          <cell r="CX26">
            <v>0.03</v>
          </cell>
          <cell r="CY26">
            <v>5.5E-2</v>
          </cell>
          <cell r="CZ26">
            <v>4.4999999999999998E-2</v>
          </cell>
          <cell r="DA26">
            <v>0.03</v>
          </cell>
          <cell r="DB26">
            <v>5.5E-2</v>
          </cell>
          <cell r="DC26">
            <v>4.4999999999999998E-2</v>
          </cell>
          <cell r="DD26">
            <v>0.03</v>
          </cell>
          <cell r="DE26">
            <v>5.5E-2</v>
          </cell>
          <cell r="DF26">
            <v>4.4999999999999998E-2</v>
          </cell>
          <cell r="DG26">
            <v>0.03</v>
          </cell>
          <cell r="DH26">
            <v>5.5E-2</v>
          </cell>
          <cell r="DI26">
            <v>4.4999999999999998E-2</v>
          </cell>
          <cell r="DJ26">
            <v>0.03</v>
          </cell>
          <cell r="DK26">
            <v>5.5E-2</v>
          </cell>
          <cell r="DL26">
            <v>4.4999999999999998E-2</v>
          </cell>
          <cell r="DM26">
            <v>0.03</v>
          </cell>
          <cell r="DN26">
            <v>5.5E-2</v>
          </cell>
          <cell r="DO26">
            <v>4.4999999999999998E-2</v>
          </cell>
          <cell r="DP26">
            <v>0.03</v>
          </cell>
          <cell r="DQ26">
            <v>5.5E-2</v>
          </cell>
          <cell r="DR26">
            <v>4.4999999999999998E-2</v>
          </cell>
          <cell r="DS26">
            <v>0.03</v>
          </cell>
          <cell r="DT26">
            <v>5.5E-2</v>
          </cell>
          <cell r="DU26">
            <v>4.4999999999999998E-2</v>
          </cell>
          <cell r="DV26">
            <v>0.03</v>
          </cell>
          <cell r="DW26">
            <v>5.5E-2</v>
          </cell>
          <cell r="DX26">
            <v>4.4999999999999998E-2</v>
          </cell>
          <cell r="DY26">
            <v>0.03</v>
          </cell>
          <cell r="DZ26">
            <v>5.5E-2</v>
          </cell>
          <cell r="EA26">
            <v>4.4999999999999998E-2</v>
          </cell>
          <cell r="EB26">
            <v>0.03</v>
          </cell>
          <cell r="EC26">
            <v>5.5E-2</v>
          </cell>
          <cell r="ED26">
            <v>4.4999999999999998E-2</v>
          </cell>
          <cell r="EE26">
            <v>0.03</v>
          </cell>
          <cell r="EG26">
            <v>5.2500000000000005E-2</v>
          </cell>
          <cell r="EH26">
            <v>6.25E-2</v>
          </cell>
          <cell r="EI26">
            <v>4.4999999999999991E-2</v>
          </cell>
          <cell r="EJ26">
            <v>4.4999999999999991E-2</v>
          </cell>
          <cell r="EK26">
            <v>4.4999999999999991E-2</v>
          </cell>
          <cell r="EL26">
            <v>4.4999999999999991E-2</v>
          </cell>
          <cell r="EM26">
            <v>4.4999999999999991E-2</v>
          </cell>
          <cell r="EN26">
            <v>4.4999999999999991E-2</v>
          </cell>
          <cell r="EO26">
            <v>4.4999999999999991E-2</v>
          </cell>
          <cell r="EP26">
            <v>4.4999999999999991E-2</v>
          </cell>
          <cell r="EQ26">
            <v>4.4999999999999991E-2</v>
          </cell>
          <cell r="ER26">
            <v>4.4999999999999991E-2</v>
          </cell>
          <cell r="ES26">
            <v>4.4999999999999991E-2</v>
          </cell>
          <cell r="EU26">
            <v>0.1</v>
          </cell>
          <cell r="EV26">
            <v>0.11</v>
          </cell>
          <cell r="EW26">
            <v>7.9999999999999988E-2</v>
          </cell>
          <cell r="EX26">
            <v>7.9999999999999988E-2</v>
          </cell>
          <cell r="EY26">
            <v>7.9999999999999988E-2</v>
          </cell>
          <cell r="EZ26">
            <v>7.9999999999999988E-2</v>
          </cell>
          <cell r="FA26">
            <v>7.9999999999999988E-2</v>
          </cell>
          <cell r="FB26">
            <v>7.9999999999999988E-2</v>
          </cell>
          <cell r="FC26">
            <v>7.9999999999999988E-2</v>
          </cell>
          <cell r="FD26">
            <v>7.9999999999999988E-2</v>
          </cell>
          <cell r="FE26">
            <v>7.9999999999999988E-2</v>
          </cell>
          <cell r="FF26">
            <v>7.9999999999999988E-2</v>
          </cell>
          <cell r="FG26">
            <v>7.9999999999999988E-2</v>
          </cell>
        </row>
        <row r="27">
          <cell r="C27" t="str">
            <v>308 GT MHEV 136 EDCT6</v>
          </cell>
          <cell r="D27" t="str">
            <v>308 GT Hybrid 136hp AT</v>
          </cell>
          <cell r="G27">
            <v>0.05</v>
          </cell>
          <cell r="H27">
            <v>0.05</v>
          </cell>
          <cell r="I27">
            <v>0.05</v>
          </cell>
          <cell r="J27">
            <v>0.05</v>
          </cell>
          <cell r="K27">
            <v>0.05</v>
          </cell>
          <cell r="L27">
            <v>0.05</v>
          </cell>
          <cell r="M27">
            <v>0.05</v>
          </cell>
          <cell r="N27">
            <v>0.05</v>
          </cell>
          <cell r="O27">
            <v>0.05</v>
          </cell>
          <cell r="P27">
            <v>0.05</v>
          </cell>
          <cell r="Q27">
            <v>0.05</v>
          </cell>
          <cell r="R27">
            <v>0.05</v>
          </cell>
          <cell r="U27">
            <v>0.5</v>
          </cell>
          <cell r="V27">
            <v>0</v>
          </cell>
          <cell r="W27">
            <v>0.5</v>
          </cell>
          <cell r="X27">
            <v>0.5</v>
          </cell>
          <cell r="Y27">
            <v>0</v>
          </cell>
          <cell r="Z27">
            <v>0.5</v>
          </cell>
          <cell r="AA27">
            <v>0.5</v>
          </cell>
          <cell r="AB27">
            <v>0</v>
          </cell>
          <cell r="AC27">
            <v>0.5</v>
          </cell>
          <cell r="AD27">
            <v>0.5</v>
          </cell>
          <cell r="AE27">
            <v>0</v>
          </cell>
          <cell r="AF27">
            <v>0.5</v>
          </cell>
          <cell r="AG27">
            <v>0.5</v>
          </cell>
          <cell r="AH27">
            <v>0</v>
          </cell>
          <cell r="AI27">
            <v>0.5</v>
          </cell>
          <cell r="AJ27">
            <v>0.5</v>
          </cell>
          <cell r="AK27">
            <v>0</v>
          </cell>
          <cell r="AL27">
            <v>0.5</v>
          </cell>
          <cell r="AM27">
            <v>0.5</v>
          </cell>
          <cell r="AN27">
            <v>0</v>
          </cell>
          <cell r="AO27">
            <v>0.5</v>
          </cell>
          <cell r="AP27">
            <v>0.5</v>
          </cell>
          <cell r="AQ27">
            <v>0</v>
          </cell>
          <cell r="AR27">
            <v>0.5</v>
          </cell>
          <cell r="AS27">
            <v>0.5</v>
          </cell>
          <cell r="AT27">
            <v>0</v>
          </cell>
          <cell r="AU27">
            <v>0.5</v>
          </cell>
          <cell r="AV27">
            <v>0.5</v>
          </cell>
          <cell r="AW27">
            <v>0</v>
          </cell>
          <cell r="AX27">
            <v>0.5</v>
          </cell>
          <cell r="AY27">
            <v>0.5</v>
          </cell>
          <cell r="AZ27">
            <v>0</v>
          </cell>
          <cell r="BA27">
            <v>0.5</v>
          </cell>
          <cell r="BB27">
            <v>0.5</v>
          </cell>
          <cell r="BC27">
            <v>0</v>
          </cell>
          <cell r="BD27">
            <v>0.5</v>
          </cell>
          <cell r="BG27">
            <v>7.9999999999999988E-2</v>
          </cell>
          <cell r="BH27">
            <v>9.9999999999999992E-2</v>
          </cell>
          <cell r="BI27">
            <v>0.12000000000000001</v>
          </cell>
          <cell r="BJ27">
            <v>7.9999999999999988E-2</v>
          </cell>
          <cell r="BK27">
            <v>9.9999999999999992E-2</v>
          </cell>
          <cell r="BL27">
            <v>0.14000000000000001</v>
          </cell>
          <cell r="BM27">
            <v>7.9999999999999988E-2</v>
          </cell>
          <cell r="BN27">
            <v>9.9999999999999992E-2</v>
          </cell>
          <cell r="BO27">
            <v>0.14000000000000001</v>
          </cell>
          <cell r="BP27">
            <v>7.9999999999999988E-2</v>
          </cell>
          <cell r="BQ27">
            <v>9.9999999999999992E-2</v>
          </cell>
          <cell r="BR27">
            <v>0.14000000000000001</v>
          </cell>
          <cell r="BS27">
            <v>7.9999999999999988E-2</v>
          </cell>
          <cell r="BT27">
            <v>9.9999999999999992E-2</v>
          </cell>
          <cell r="BU27">
            <v>0.14000000000000001</v>
          </cell>
          <cell r="BV27">
            <v>7.9999999999999988E-2</v>
          </cell>
          <cell r="BW27">
            <v>9.9999999999999992E-2</v>
          </cell>
          <cell r="BX27">
            <v>0.14000000000000001</v>
          </cell>
          <cell r="BY27">
            <v>7.9999999999999988E-2</v>
          </cell>
          <cell r="BZ27">
            <v>9.9999999999999992E-2</v>
          </cell>
          <cell r="CA27">
            <v>0.14000000000000001</v>
          </cell>
          <cell r="CB27">
            <v>7.9999999999999988E-2</v>
          </cell>
          <cell r="CC27">
            <v>9.9999999999999992E-2</v>
          </cell>
          <cell r="CD27">
            <v>0.14000000000000001</v>
          </cell>
          <cell r="CE27">
            <v>7.9999999999999988E-2</v>
          </cell>
          <cell r="CF27">
            <v>9.9999999999999992E-2</v>
          </cell>
          <cell r="CG27">
            <v>0.14000000000000001</v>
          </cell>
          <cell r="CH27">
            <v>7.9999999999999988E-2</v>
          </cell>
          <cell r="CI27">
            <v>9.9999999999999992E-2</v>
          </cell>
          <cell r="CJ27">
            <v>0.14000000000000001</v>
          </cell>
          <cell r="CK27">
            <v>7.9999999999999988E-2</v>
          </cell>
          <cell r="CL27">
            <v>9.9999999999999992E-2</v>
          </cell>
          <cell r="CM27">
            <v>0.14000000000000001</v>
          </cell>
          <cell r="CN27">
            <v>7.9999999999999988E-2</v>
          </cell>
          <cell r="CO27">
            <v>9.9999999999999992E-2</v>
          </cell>
          <cell r="CP27">
            <v>0.14000000000000001</v>
          </cell>
          <cell r="CQ27">
            <v>7.9999999999999988E-2</v>
          </cell>
          <cell r="CR27">
            <v>9.9999999999999992E-2</v>
          </cell>
          <cell r="CS27">
            <v>0.14000000000000001</v>
          </cell>
          <cell r="CV27">
            <v>5.5E-2</v>
          </cell>
          <cell r="CW27">
            <v>4.4999999999999998E-2</v>
          </cell>
          <cell r="CX27">
            <v>0.03</v>
          </cell>
          <cell r="CY27">
            <v>5.5E-2</v>
          </cell>
          <cell r="CZ27">
            <v>4.4999999999999998E-2</v>
          </cell>
          <cell r="DA27">
            <v>0.03</v>
          </cell>
          <cell r="DB27">
            <v>5.5E-2</v>
          </cell>
          <cell r="DC27">
            <v>4.4999999999999998E-2</v>
          </cell>
          <cell r="DD27">
            <v>0.03</v>
          </cell>
          <cell r="DE27">
            <v>5.5E-2</v>
          </cell>
          <cell r="DF27">
            <v>4.4999999999999998E-2</v>
          </cell>
          <cell r="DG27">
            <v>0.03</v>
          </cell>
          <cell r="DH27">
            <v>5.5E-2</v>
          </cell>
          <cell r="DI27">
            <v>4.4999999999999998E-2</v>
          </cell>
          <cell r="DJ27">
            <v>0.03</v>
          </cell>
          <cell r="DK27">
            <v>5.5E-2</v>
          </cell>
          <cell r="DL27">
            <v>4.4999999999999998E-2</v>
          </cell>
          <cell r="DM27">
            <v>0.03</v>
          </cell>
          <cell r="DN27">
            <v>5.5E-2</v>
          </cell>
          <cell r="DO27">
            <v>4.4999999999999998E-2</v>
          </cell>
          <cell r="DP27">
            <v>0.03</v>
          </cell>
          <cell r="DQ27">
            <v>5.5E-2</v>
          </cell>
          <cell r="DR27">
            <v>4.4999999999999998E-2</v>
          </cell>
          <cell r="DS27">
            <v>0.03</v>
          </cell>
          <cell r="DT27">
            <v>5.5E-2</v>
          </cell>
          <cell r="DU27">
            <v>4.4999999999999998E-2</v>
          </cell>
          <cell r="DV27">
            <v>0.03</v>
          </cell>
          <cell r="DW27">
            <v>5.5E-2</v>
          </cell>
          <cell r="DX27">
            <v>4.4999999999999998E-2</v>
          </cell>
          <cell r="DY27">
            <v>0.03</v>
          </cell>
          <cell r="DZ27">
            <v>5.5E-2</v>
          </cell>
          <cell r="EA27">
            <v>4.4999999999999998E-2</v>
          </cell>
          <cell r="EB27">
            <v>0.03</v>
          </cell>
          <cell r="EC27">
            <v>5.5E-2</v>
          </cell>
          <cell r="ED27">
            <v>4.4999999999999998E-2</v>
          </cell>
          <cell r="EE27">
            <v>0.03</v>
          </cell>
          <cell r="EG27">
            <v>5.2500000000000005E-2</v>
          </cell>
          <cell r="EH27">
            <v>6.25E-2</v>
          </cell>
          <cell r="EI27">
            <v>6.25E-2</v>
          </cell>
          <cell r="EJ27">
            <v>6.25E-2</v>
          </cell>
          <cell r="EK27">
            <v>6.25E-2</v>
          </cell>
          <cell r="EL27">
            <v>6.25E-2</v>
          </cell>
          <cell r="EM27">
            <v>6.25E-2</v>
          </cell>
          <cell r="EN27">
            <v>6.25E-2</v>
          </cell>
          <cell r="EO27">
            <v>6.25E-2</v>
          </cell>
          <cell r="EP27">
            <v>6.25E-2</v>
          </cell>
          <cell r="EQ27">
            <v>6.25E-2</v>
          </cell>
          <cell r="ER27">
            <v>6.25E-2</v>
          </cell>
          <cell r="ES27">
            <v>6.25E-2</v>
          </cell>
          <cell r="EU27">
            <v>0.1</v>
          </cell>
          <cell r="EV27">
            <v>0.11</v>
          </cell>
          <cell r="EW27">
            <v>0.11</v>
          </cell>
          <cell r="EX27">
            <v>0.11</v>
          </cell>
          <cell r="EY27">
            <v>0.11</v>
          </cell>
          <cell r="EZ27">
            <v>0.11</v>
          </cell>
          <cell r="FA27">
            <v>0.11</v>
          </cell>
          <cell r="FB27">
            <v>0.11</v>
          </cell>
          <cell r="FC27">
            <v>0.11</v>
          </cell>
          <cell r="FD27">
            <v>0.11</v>
          </cell>
          <cell r="FE27">
            <v>0.11</v>
          </cell>
          <cell r="FF27">
            <v>0.11</v>
          </cell>
          <cell r="FG27">
            <v>0.11</v>
          </cell>
        </row>
        <row r="28">
          <cell r="D28"/>
          <cell r="G28">
            <v>0.05</v>
          </cell>
          <cell r="H28">
            <v>0.05</v>
          </cell>
          <cell r="I28">
            <v>0.05</v>
          </cell>
          <cell r="J28">
            <v>0.05</v>
          </cell>
          <cell r="K28">
            <v>0.05</v>
          </cell>
          <cell r="L28">
            <v>0.05</v>
          </cell>
          <cell r="M28">
            <v>0.05</v>
          </cell>
          <cell r="N28">
            <v>0.05</v>
          </cell>
          <cell r="O28">
            <v>0.05</v>
          </cell>
          <cell r="P28">
            <v>0.05</v>
          </cell>
          <cell r="Q28">
            <v>0.05</v>
          </cell>
          <cell r="R28">
            <v>0.05</v>
          </cell>
          <cell r="U28">
            <v>0.5</v>
          </cell>
          <cell r="V28">
            <v>0</v>
          </cell>
          <cell r="W28">
            <v>0.5</v>
          </cell>
          <cell r="X28">
            <v>0.5</v>
          </cell>
          <cell r="Y28">
            <v>0</v>
          </cell>
          <cell r="Z28">
            <v>0.5</v>
          </cell>
          <cell r="AA28">
            <v>0.5</v>
          </cell>
          <cell r="AB28">
            <v>0</v>
          </cell>
          <cell r="AC28">
            <v>0.5</v>
          </cell>
          <cell r="AD28">
            <v>0.5</v>
          </cell>
          <cell r="AE28">
            <v>0</v>
          </cell>
          <cell r="AF28">
            <v>0.5</v>
          </cell>
          <cell r="AG28">
            <v>0.5</v>
          </cell>
          <cell r="AH28">
            <v>0</v>
          </cell>
          <cell r="AI28">
            <v>0.5</v>
          </cell>
          <cell r="AJ28">
            <v>0.5</v>
          </cell>
          <cell r="AK28">
            <v>0</v>
          </cell>
          <cell r="AL28">
            <v>0.5</v>
          </cell>
          <cell r="AM28">
            <v>0.5</v>
          </cell>
          <cell r="AN28">
            <v>0</v>
          </cell>
          <cell r="AO28">
            <v>0.5</v>
          </cell>
          <cell r="AP28">
            <v>0.5</v>
          </cell>
          <cell r="AQ28">
            <v>0</v>
          </cell>
          <cell r="AR28">
            <v>0.5</v>
          </cell>
          <cell r="AS28">
            <v>0.5</v>
          </cell>
          <cell r="AT28">
            <v>0</v>
          </cell>
          <cell r="AU28">
            <v>0.5</v>
          </cell>
          <cell r="AV28">
            <v>0.5</v>
          </cell>
          <cell r="AW28">
            <v>0</v>
          </cell>
          <cell r="AX28">
            <v>0.5</v>
          </cell>
          <cell r="AY28">
            <v>0.5</v>
          </cell>
          <cell r="AZ28">
            <v>0</v>
          </cell>
          <cell r="BA28">
            <v>0.5</v>
          </cell>
          <cell r="BB28">
            <v>0.5</v>
          </cell>
          <cell r="BC28">
            <v>0</v>
          </cell>
          <cell r="BD28">
            <v>0.5</v>
          </cell>
          <cell r="BG28">
            <v>7.9999999999999988E-2</v>
          </cell>
          <cell r="BH28">
            <v>9.9999999999999992E-2</v>
          </cell>
          <cell r="BI28">
            <v>0.12000000000000001</v>
          </cell>
          <cell r="BJ28">
            <v>7.9999999999999988E-2</v>
          </cell>
          <cell r="BK28">
            <v>9.9999999999999992E-2</v>
          </cell>
          <cell r="BL28">
            <v>0.14000000000000001</v>
          </cell>
          <cell r="BM28">
            <v>7.9999999999999988E-2</v>
          </cell>
          <cell r="BN28">
            <v>9.9999999999999992E-2</v>
          </cell>
          <cell r="BO28">
            <v>0.14000000000000001</v>
          </cell>
          <cell r="BP28">
            <v>7.9999999999999988E-2</v>
          </cell>
          <cell r="BQ28">
            <v>9.9999999999999992E-2</v>
          </cell>
          <cell r="BR28">
            <v>0.14000000000000001</v>
          </cell>
          <cell r="BS28">
            <v>7.9999999999999988E-2</v>
          </cell>
          <cell r="BT28">
            <v>9.9999999999999992E-2</v>
          </cell>
          <cell r="BU28">
            <v>0.14000000000000001</v>
          </cell>
          <cell r="BV28">
            <v>7.9999999999999988E-2</v>
          </cell>
          <cell r="BW28">
            <v>9.9999999999999992E-2</v>
          </cell>
          <cell r="BX28">
            <v>0.14000000000000001</v>
          </cell>
          <cell r="BY28">
            <v>7.9999999999999988E-2</v>
          </cell>
          <cell r="BZ28">
            <v>9.9999999999999992E-2</v>
          </cell>
          <cell r="CA28">
            <v>0.14000000000000001</v>
          </cell>
          <cell r="CB28">
            <v>7.9999999999999988E-2</v>
          </cell>
          <cell r="CC28">
            <v>9.9999999999999992E-2</v>
          </cell>
          <cell r="CD28">
            <v>0.14000000000000001</v>
          </cell>
          <cell r="CE28">
            <v>7.9999999999999988E-2</v>
          </cell>
          <cell r="CF28">
            <v>9.9999999999999992E-2</v>
          </cell>
          <cell r="CG28">
            <v>0.14000000000000001</v>
          </cell>
          <cell r="CH28">
            <v>7.9999999999999988E-2</v>
          </cell>
          <cell r="CI28">
            <v>9.9999999999999992E-2</v>
          </cell>
          <cell r="CJ28">
            <v>0.14000000000000001</v>
          </cell>
          <cell r="CK28">
            <v>7.9999999999999988E-2</v>
          </cell>
          <cell r="CL28">
            <v>9.9999999999999992E-2</v>
          </cell>
          <cell r="CM28">
            <v>0.14000000000000001</v>
          </cell>
          <cell r="CN28">
            <v>7.9999999999999988E-2</v>
          </cell>
          <cell r="CO28">
            <v>9.9999999999999992E-2</v>
          </cell>
          <cell r="CP28">
            <v>0.14000000000000001</v>
          </cell>
          <cell r="CQ28">
            <v>7.9999999999999988E-2</v>
          </cell>
          <cell r="CR28">
            <v>9.9999999999999992E-2</v>
          </cell>
          <cell r="CS28">
            <v>0.14000000000000001</v>
          </cell>
          <cell r="CV28">
            <v>5.5E-2</v>
          </cell>
          <cell r="CW28">
            <v>4.4999999999999998E-2</v>
          </cell>
          <cell r="CX28">
            <v>0.03</v>
          </cell>
          <cell r="CY28">
            <v>5.5E-2</v>
          </cell>
          <cell r="CZ28">
            <v>4.4999999999999998E-2</v>
          </cell>
          <cell r="DA28">
            <v>0.03</v>
          </cell>
          <cell r="DB28">
            <v>5.5E-2</v>
          </cell>
          <cell r="DC28">
            <v>4.4999999999999998E-2</v>
          </cell>
          <cell r="DD28">
            <v>0.03</v>
          </cell>
          <cell r="DE28">
            <v>5.5E-2</v>
          </cell>
          <cell r="DF28">
            <v>4.4999999999999998E-2</v>
          </cell>
          <cell r="DG28">
            <v>0.03</v>
          </cell>
          <cell r="DH28">
            <v>5.5E-2</v>
          </cell>
          <cell r="DI28">
            <v>4.4999999999999998E-2</v>
          </cell>
          <cell r="DJ28">
            <v>0.03</v>
          </cell>
          <cell r="DK28">
            <v>5.5E-2</v>
          </cell>
          <cell r="DL28">
            <v>4.4999999999999998E-2</v>
          </cell>
          <cell r="DM28">
            <v>0.03</v>
          </cell>
          <cell r="DN28">
            <v>5.5E-2</v>
          </cell>
          <cell r="DO28">
            <v>4.4999999999999998E-2</v>
          </cell>
          <cell r="DP28">
            <v>0.03</v>
          </cell>
          <cell r="DQ28">
            <v>5.5E-2</v>
          </cell>
          <cell r="DR28">
            <v>4.4999999999999998E-2</v>
          </cell>
          <cell r="DS28">
            <v>0.03</v>
          </cell>
          <cell r="DT28">
            <v>5.5E-2</v>
          </cell>
          <cell r="DU28">
            <v>4.4999999999999998E-2</v>
          </cell>
          <cell r="DV28">
            <v>0.03</v>
          </cell>
          <cell r="DW28">
            <v>5.5E-2</v>
          </cell>
          <cell r="DX28">
            <v>4.4999999999999998E-2</v>
          </cell>
          <cell r="DY28">
            <v>0.03</v>
          </cell>
          <cell r="DZ28">
            <v>5.5E-2</v>
          </cell>
          <cell r="EA28">
            <v>4.4999999999999998E-2</v>
          </cell>
          <cell r="EB28">
            <v>0.03</v>
          </cell>
          <cell r="EC28">
            <v>5.5E-2</v>
          </cell>
          <cell r="ED28">
            <v>4.4999999999999998E-2</v>
          </cell>
          <cell r="EE28">
            <v>0.03</v>
          </cell>
          <cell r="EG28">
            <v>5.2500000000000005E-2</v>
          </cell>
          <cell r="EH28">
            <v>6.25E-2</v>
          </cell>
          <cell r="EI28">
            <v>6.25E-2</v>
          </cell>
          <cell r="EJ28">
            <v>6.25E-2</v>
          </cell>
          <cell r="EK28">
            <v>6.25E-2</v>
          </cell>
          <cell r="EL28">
            <v>6.25E-2</v>
          </cell>
          <cell r="EM28">
            <v>6.25E-2</v>
          </cell>
          <cell r="EN28">
            <v>6.25E-2</v>
          </cell>
          <cell r="EO28">
            <v>6.25E-2</v>
          </cell>
          <cell r="EP28">
            <v>6.25E-2</v>
          </cell>
          <cell r="EQ28">
            <v>6.25E-2</v>
          </cell>
          <cell r="ER28">
            <v>6.25E-2</v>
          </cell>
          <cell r="ES28">
            <v>6.25E-2</v>
          </cell>
          <cell r="EU28">
            <v>0.1</v>
          </cell>
          <cell r="EV28">
            <v>0.11</v>
          </cell>
          <cell r="EW28">
            <v>0.11</v>
          </cell>
          <cell r="EX28">
            <v>0.11</v>
          </cell>
          <cell r="EY28">
            <v>0.11</v>
          </cell>
          <cell r="EZ28">
            <v>0.11</v>
          </cell>
          <cell r="FA28">
            <v>0.11</v>
          </cell>
          <cell r="FB28">
            <v>0.11</v>
          </cell>
          <cell r="FC28">
            <v>0.11</v>
          </cell>
          <cell r="FD28">
            <v>0.11</v>
          </cell>
          <cell r="FE28">
            <v>0.11</v>
          </cell>
          <cell r="FF28">
            <v>0.11</v>
          </cell>
          <cell r="FG28">
            <v>0.11</v>
          </cell>
        </row>
        <row r="29">
          <cell r="C29" t="str">
            <v>308 MCA Allure MHEV</v>
          </cell>
          <cell r="D29" t="str">
            <v>308 MCA Allure Hybrid 136hp AT</v>
          </cell>
          <cell r="G29">
            <v>0.05</v>
          </cell>
          <cell r="H29">
            <v>0.05</v>
          </cell>
          <cell r="I29">
            <v>0.05</v>
          </cell>
          <cell r="J29">
            <v>0.05</v>
          </cell>
          <cell r="K29">
            <v>0.05</v>
          </cell>
          <cell r="L29">
            <v>0.05</v>
          </cell>
          <cell r="M29">
            <v>0.05</v>
          </cell>
          <cell r="N29">
            <v>0.05</v>
          </cell>
          <cell r="O29">
            <v>0.05</v>
          </cell>
          <cell r="P29">
            <v>0.05</v>
          </cell>
          <cell r="Q29">
            <v>0.05</v>
          </cell>
          <cell r="R29">
            <v>0.05</v>
          </cell>
          <cell r="U29">
            <v>0.5</v>
          </cell>
          <cell r="V29">
            <v>0</v>
          </cell>
          <cell r="W29">
            <v>0.5</v>
          </cell>
          <cell r="X29">
            <v>0.5</v>
          </cell>
          <cell r="Y29">
            <v>0</v>
          </cell>
          <cell r="Z29">
            <v>0.5</v>
          </cell>
          <cell r="AA29">
            <v>0.5</v>
          </cell>
          <cell r="AB29">
            <v>0</v>
          </cell>
          <cell r="AC29">
            <v>0.5</v>
          </cell>
          <cell r="AD29">
            <v>0.5</v>
          </cell>
          <cell r="AE29">
            <v>0</v>
          </cell>
          <cell r="AF29">
            <v>0.5</v>
          </cell>
          <cell r="AG29">
            <v>0.5</v>
          </cell>
          <cell r="AH29">
            <v>0</v>
          </cell>
          <cell r="AI29">
            <v>0.5</v>
          </cell>
          <cell r="AJ29">
            <v>0.5</v>
          </cell>
          <cell r="AK29">
            <v>0</v>
          </cell>
          <cell r="AL29">
            <v>0.5</v>
          </cell>
          <cell r="AM29">
            <v>0.5</v>
          </cell>
          <cell r="AN29">
            <v>0</v>
          </cell>
          <cell r="AO29">
            <v>0.5</v>
          </cell>
          <cell r="AP29">
            <v>0.5</v>
          </cell>
          <cell r="AQ29">
            <v>0</v>
          </cell>
          <cell r="AR29">
            <v>0.5</v>
          </cell>
          <cell r="AS29">
            <v>0.5</v>
          </cell>
          <cell r="AT29">
            <v>0</v>
          </cell>
          <cell r="AU29">
            <v>0.5</v>
          </cell>
          <cell r="AV29">
            <v>0.5</v>
          </cell>
          <cell r="AW29">
            <v>0</v>
          </cell>
          <cell r="AX29">
            <v>0.5</v>
          </cell>
          <cell r="AY29">
            <v>0.5</v>
          </cell>
          <cell r="AZ29">
            <v>0</v>
          </cell>
          <cell r="BA29">
            <v>0.5</v>
          </cell>
          <cell r="BB29">
            <v>0.5</v>
          </cell>
          <cell r="BC29">
            <v>0</v>
          </cell>
          <cell r="BD29">
            <v>0.5</v>
          </cell>
          <cell r="BG29">
            <v>7.9999999999999988E-2</v>
          </cell>
          <cell r="BH29">
            <v>9.9999999999999992E-2</v>
          </cell>
          <cell r="BI29">
            <v>0.12000000000000001</v>
          </cell>
          <cell r="BJ29">
            <v>7.9999999999999988E-2</v>
          </cell>
          <cell r="BK29">
            <v>9.9999999999999992E-2</v>
          </cell>
          <cell r="BL29">
            <v>0.14000000000000001</v>
          </cell>
          <cell r="BM29">
            <v>7.9999999999999988E-2</v>
          </cell>
          <cell r="BN29">
            <v>9.9999999999999992E-2</v>
          </cell>
          <cell r="BO29">
            <v>0.14000000000000001</v>
          </cell>
          <cell r="BP29">
            <v>7.9999999999999988E-2</v>
          </cell>
          <cell r="BQ29">
            <v>9.9999999999999992E-2</v>
          </cell>
          <cell r="BR29">
            <v>0.14000000000000001</v>
          </cell>
          <cell r="BS29">
            <v>7.9999999999999988E-2</v>
          </cell>
          <cell r="BT29">
            <v>9.9999999999999992E-2</v>
          </cell>
          <cell r="BU29">
            <v>0.14000000000000001</v>
          </cell>
          <cell r="BV29">
            <v>7.9999999999999988E-2</v>
          </cell>
          <cell r="BW29">
            <v>9.9999999999999992E-2</v>
          </cell>
          <cell r="BX29">
            <v>0.14000000000000001</v>
          </cell>
          <cell r="BY29">
            <v>7.9999999999999988E-2</v>
          </cell>
          <cell r="BZ29">
            <v>9.9999999999999992E-2</v>
          </cell>
          <cell r="CA29">
            <v>0.14000000000000001</v>
          </cell>
          <cell r="CB29">
            <v>7.9999999999999988E-2</v>
          </cell>
          <cell r="CC29">
            <v>9.9999999999999992E-2</v>
          </cell>
          <cell r="CD29">
            <v>0.14000000000000001</v>
          </cell>
          <cell r="CE29">
            <v>7.9999999999999988E-2</v>
          </cell>
          <cell r="CF29">
            <v>9.9999999999999992E-2</v>
          </cell>
          <cell r="CG29">
            <v>0.14000000000000001</v>
          </cell>
          <cell r="CH29">
            <v>7.9999999999999988E-2</v>
          </cell>
          <cell r="CI29">
            <v>9.9999999999999992E-2</v>
          </cell>
          <cell r="CJ29">
            <v>0.14000000000000001</v>
          </cell>
          <cell r="CK29">
            <v>7.9999999999999988E-2</v>
          </cell>
          <cell r="CL29">
            <v>9.9999999999999992E-2</v>
          </cell>
          <cell r="CM29">
            <v>0.14000000000000001</v>
          </cell>
          <cell r="CN29">
            <v>7.9999999999999988E-2</v>
          </cell>
          <cell r="CO29">
            <v>9.9999999999999992E-2</v>
          </cell>
          <cell r="CP29">
            <v>0.14000000000000001</v>
          </cell>
          <cell r="CQ29">
            <v>7.9999999999999988E-2</v>
          </cell>
          <cell r="CR29">
            <v>9.9999999999999992E-2</v>
          </cell>
          <cell r="CS29">
            <v>0.14000000000000001</v>
          </cell>
          <cell r="CV29">
            <v>5.5E-2</v>
          </cell>
          <cell r="CW29">
            <v>4.4999999999999998E-2</v>
          </cell>
          <cell r="CX29">
            <v>0.03</v>
          </cell>
          <cell r="CY29">
            <v>5.5E-2</v>
          </cell>
          <cell r="CZ29">
            <v>4.4999999999999998E-2</v>
          </cell>
          <cell r="DA29">
            <v>0.03</v>
          </cell>
          <cell r="DB29">
            <v>5.5E-2</v>
          </cell>
          <cell r="DC29">
            <v>4.4999999999999998E-2</v>
          </cell>
          <cell r="DD29">
            <v>0.03</v>
          </cell>
          <cell r="DE29">
            <v>5.5E-2</v>
          </cell>
          <cell r="DF29">
            <v>4.4999999999999998E-2</v>
          </cell>
          <cell r="DG29">
            <v>0.03</v>
          </cell>
          <cell r="DH29">
            <v>5.5E-2</v>
          </cell>
          <cell r="DI29">
            <v>4.4999999999999998E-2</v>
          </cell>
          <cell r="DJ29">
            <v>0.03</v>
          </cell>
          <cell r="DK29">
            <v>5.5E-2</v>
          </cell>
          <cell r="DL29">
            <v>4.4999999999999998E-2</v>
          </cell>
          <cell r="DM29">
            <v>0.03</v>
          </cell>
          <cell r="DN29">
            <v>5.5E-2</v>
          </cell>
          <cell r="DO29">
            <v>4.4999999999999998E-2</v>
          </cell>
          <cell r="DP29">
            <v>0.03</v>
          </cell>
          <cell r="DQ29">
            <v>5.5E-2</v>
          </cell>
          <cell r="DR29">
            <v>4.4999999999999998E-2</v>
          </cell>
          <cell r="DS29">
            <v>0.03</v>
          </cell>
          <cell r="DT29">
            <v>5.5E-2</v>
          </cell>
          <cell r="DU29">
            <v>4.4999999999999998E-2</v>
          </cell>
          <cell r="DV29">
            <v>0.03</v>
          </cell>
          <cell r="DW29">
            <v>5.5E-2</v>
          </cell>
          <cell r="DX29">
            <v>4.4999999999999998E-2</v>
          </cell>
          <cell r="DY29">
            <v>0.03</v>
          </cell>
          <cell r="DZ29">
            <v>5.5E-2</v>
          </cell>
          <cell r="EA29">
            <v>4.4999999999999998E-2</v>
          </cell>
          <cell r="EB29">
            <v>0.03</v>
          </cell>
          <cell r="EC29">
            <v>5.5E-2</v>
          </cell>
          <cell r="ED29">
            <v>4.4999999999999998E-2</v>
          </cell>
          <cell r="EE29">
            <v>0.03</v>
          </cell>
          <cell r="EG29">
            <v>5.2500000000000005E-2</v>
          </cell>
          <cell r="EH29">
            <v>6.25E-2</v>
          </cell>
          <cell r="EI29">
            <v>6.25E-2</v>
          </cell>
          <cell r="EJ29">
            <v>6.25E-2</v>
          </cell>
          <cell r="EK29">
            <v>6.25E-2</v>
          </cell>
          <cell r="EL29">
            <v>6.25E-2</v>
          </cell>
          <cell r="EM29">
            <v>6.25E-2</v>
          </cell>
          <cell r="EN29">
            <v>6.25E-2</v>
          </cell>
          <cell r="EO29">
            <v>6.25E-2</v>
          </cell>
          <cell r="EP29">
            <v>6.25E-2</v>
          </cell>
          <cell r="EQ29">
            <v>6.25E-2</v>
          </cell>
          <cell r="ER29">
            <v>6.25E-2</v>
          </cell>
          <cell r="ES29">
            <v>6.25E-2</v>
          </cell>
          <cell r="EU29">
            <v>0.1</v>
          </cell>
          <cell r="EV29">
            <v>0.11</v>
          </cell>
          <cell r="EW29">
            <v>0.11</v>
          </cell>
          <cell r="EX29">
            <v>0.11</v>
          </cell>
          <cell r="EY29">
            <v>0.11</v>
          </cell>
          <cell r="EZ29">
            <v>0.11</v>
          </cell>
          <cell r="FA29">
            <v>0.11</v>
          </cell>
          <cell r="FB29">
            <v>0.11</v>
          </cell>
          <cell r="FC29">
            <v>0.11</v>
          </cell>
          <cell r="FD29">
            <v>0.11</v>
          </cell>
          <cell r="FE29">
            <v>0.11</v>
          </cell>
          <cell r="FF29">
            <v>0.11</v>
          </cell>
          <cell r="FG29">
            <v>0.11</v>
          </cell>
        </row>
        <row r="30">
          <cell r="C30" t="str">
            <v>308 MCA GT Diesel AT</v>
          </cell>
          <cell r="D30" t="str">
            <v>308 MCA GT Diesel AT</v>
          </cell>
          <cell r="G30">
            <v>0.05</v>
          </cell>
          <cell r="H30">
            <v>0.05</v>
          </cell>
          <cell r="I30">
            <v>0.05</v>
          </cell>
          <cell r="J30">
            <v>0.05</v>
          </cell>
          <cell r="K30">
            <v>0.05</v>
          </cell>
          <cell r="L30">
            <v>0.05</v>
          </cell>
          <cell r="M30">
            <v>0.05</v>
          </cell>
          <cell r="N30">
            <v>0.05</v>
          </cell>
          <cell r="O30">
            <v>0.05</v>
          </cell>
          <cell r="P30">
            <v>0.05</v>
          </cell>
          <cell r="Q30">
            <v>0.05</v>
          </cell>
          <cell r="R30">
            <v>0.05</v>
          </cell>
          <cell r="U30">
            <v>0.5</v>
          </cell>
          <cell r="V30">
            <v>0</v>
          </cell>
          <cell r="W30">
            <v>0.5</v>
          </cell>
          <cell r="X30">
            <v>0.5</v>
          </cell>
          <cell r="Y30">
            <v>0</v>
          </cell>
          <cell r="Z30">
            <v>0.5</v>
          </cell>
          <cell r="AA30">
            <v>0.5</v>
          </cell>
          <cell r="AB30">
            <v>0</v>
          </cell>
          <cell r="AC30">
            <v>0.5</v>
          </cell>
          <cell r="AD30">
            <v>0.5</v>
          </cell>
          <cell r="AE30">
            <v>0</v>
          </cell>
          <cell r="AF30">
            <v>0.5</v>
          </cell>
          <cell r="AG30">
            <v>0.5</v>
          </cell>
          <cell r="AH30">
            <v>0</v>
          </cell>
          <cell r="AI30">
            <v>0.5</v>
          </cell>
          <cell r="AJ30">
            <v>0.5</v>
          </cell>
          <cell r="AK30">
            <v>0</v>
          </cell>
          <cell r="AL30">
            <v>0.5</v>
          </cell>
          <cell r="AM30">
            <v>0.5</v>
          </cell>
          <cell r="AN30">
            <v>0</v>
          </cell>
          <cell r="AO30">
            <v>0.5</v>
          </cell>
          <cell r="AP30">
            <v>0.5</v>
          </cell>
          <cell r="AQ30">
            <v>0</v>
          </cell>
          <cell r="AR30">
            <v>0.5</v>
          </cell>
          <cell r="AS30">
            <v>0.5</v>
          </cell>
          <cell r="AT30">
            <v>0</v>
          </cell>
          <cell r="AU30">
            <v>0.5</v>
          </cell>
          <cell r="AV30">
            <v>0.5</v>
          </cell>
          <cell r="AW30">
            <v>0</v>
          </cell>
          <cell r="AX30">
            <v>0.5</v>
          </cell>
          <cell r="AY30">
            <v>0.5</v>
          </cell>
          <cell r="AZ30">
            <v>0</v>
          </cell>
          <cell r="BA30">
            <v>0.5</v>
          </cell>
          <cell r="BB30">
            <v>0.5</v>
          </cell>
          <cell r="BC30">
            <v>0</v>
          </cell>
          <cell r="BD30">
            <v>0.5</v>
          </cell>
          <cell r="BG30">
            <v>7.9999999999999988E-2</v>
          </cell>
          <cell r="BH30">
            <v>9.9999999999999992E-2</v>
          </cell>
          <cell r="BI30">
            <v>0.12000000000000001</v>
          </cell>
          <cell r="BJ30">
            <v>7.9999999999999988E-2</v>
          </cell>
          <cell r="BK30">
            <v>9.9999999999999992E-2</v>
          </cell>
          <cell r="BL30">
            <v>0.14000000000000001</v>
          </cell>
          <cell r="BM30">
            <v>7.9999999999999988E-2</v>
          </cell>
          <cell r="BN30">
            <v>9.9999999999999992E-2</v>
          </cell>
          <cell r="BO30">
            <v>0.14000000000000001</v>
          </cell>
          <cell r="BP30">
            <v>7.9999999999999988E-2</v>
          </cell>
          <cell r="BQ30">
            <v>9.9999999999999992E-2</v>
          </cell>
          <cell r="BR30">
            <v>0.14000000000000001</v>
          </cell>
          <cell r="BS30">
            <v>7.9999999999999988E-2</v>
          </cell>
          <cell r="BT30">
            <v>9.9999999999999992E-2</v>
          </cell>
          <cell r="BU30">
            <v>0.14000000000000001</v>
          </cell>
          <cell r="BV30">
            <v>7.9999999999999988E-2</v>
          </cell>
          <cell r="BW30">
            <v>9.9999999999999992E-2</v>
          </cell>
          <cell r="BX30">
            <v>0.14000000000000001</v>
          </cell>
          <cell r="BY30">
            <v>7.9999999999999988E-2</v>
          </cell>
          <cell r="BZ30">
            <v>9.9999999999999992E-2</v>
          </cell>
          <cell r="CA30">
            <v>0.14000000000000001</v>
          </cell>
          <cell r="CB30">
            <v>7.9999999999999988E-2</v>
          </cell>
          <cell r="CC30">
            <v>9.9999999999999992E-2</v>
          </cell>
          <cell r="CD30">
            <v>0.14000000000000001</v>
          </cell>
          <cell r="CE30">
            <v>7.9999999999999988E-2</v>
          </cell>
          <cell r="CF30">
            <v>9.9999999999999992E-2</v>
          </cell>
          <cell r="CG30">
            <v>0.14000000000000001</v>
          </cell>
          <cell r="CH30">
            <v>7.9999999999999988E-2</v>
          </cell>
          <cell r="CI30">
            <v>9.9999999999999992E-2</v>
          </cell>
          <cell r="CJ30">
            <v>0.14000000000000001</v>
          </cell>
          <cell r="CK30">
            <v>7.9999999999999988E-2</v>
          </cell>
          <cell r="CL30">
            <v>9.9999999999999992E-2</v>
          </cell>
          <cell r="CM30">
            <v>0.14000000000000001</v>
          </cell>
          <cell r="CN30">
            <v>7.9999999999999988E-2</v>
          </cell>
          <cell r="CO30">
            <v>9.9999999999999992E-2</v>
          </cell>
          <cell r="CP30">
            <v>0.14000000000000001</v>
          </cell>
          <cell r="CQ30">
            <v>7.9999999999999988E-2</v>
          </cell>
          <cell r="CR30">
            <v>9.9999999999999992E-2</v>
          </cell>
          <cell r="CS30">
            <v>0.14000000000000001</v>
          </cell>
          <cell r="CV30">
            <v>5.5E-2</v>
          </cell>
          <cell r="CW30">
            <v>4.4999999999999998E-2</v>
          </cell>
          <cell r="CX30">
            <v>0.03</v>
          </cell>
          <cell r="CY30">
            <v>5.5E-2</v>
          </cell>
          <cell r="CZ30">
            <v>4.4999999999999998E-2</v>
          </cell>
          <cell r="DA30">
            <v>0.03</v>
          </cell>
          <cell r="DB30">
            <v>5.5E-2</v>
          </cell>
          <cell r="DC30">
            <v>4.4999999999999998E-2</v>
          </cell>
          <cell r="DD30">
            <v>0.03</v>
          </cell>
          <cell r="DE30">
            <v>5.5E-2</v>
          </cell>
          <cell r="DF30">
            <v>4.4999999999999998E-2</v>
          </cell>
          <cell r="DG30">
            <v>0.03</v>
          </cell>
          <cell r="DH30">
            <v>5.5E-2</v>
          </cell>
          <cell r="DI30">
            <v>4.4999999999999998E-2</v>
          </cell>
          <cell r="DJ30">
            <v>0.03</v>
          </cell>
          <cell r="DK30">
            <v>5.5E-2</v>
          </cell>
          <cell r="DL30">
            <v>4.4999999999999998E-2</v>
          </cell>
          <cell r="DM30">
            <v>0.03</v>
          </cell>
          <cell r="DN30">
            <v>5.5E-2</v>
          </cell>
          <cell r="DO30">
            <v>4.4999999999999998E-2</v>
          </cell>
          <cell r="DP30">
            <v>0.03</v>
          </cell>
          <cell r="DQ30">
            <v>5.5E-2</v>
          </cell>
          <cell r="DR30">
            <v>4.4999999999999998E-2</v>
          </cell>
          <cell r="DS30">
            <v>0.03</v>
          </cell>
          <cell r="DT30">
            <v>5.5E-2</v>
          </cell>
          <cell r="DU30">
            <v>4.4999999999999998E-2</v>
          </cell>
          <cell r="DV30">
            <v>0.03</v>
          </cell>
          <cell r="DW30">
            <v>5.5E-2</v>
          </cell>
          <cell r="DX30">
            <v>4.4999999999999998E-2</v>
          </cell>
          <cell r="DY30">
            <v>0.03</v>
          </cell>
          <cell r="DZ30">
            <v>5.5E-2</v>
          </cell>
          <cell r="EA30">
            <v>4.4999999999999998E-2</v>
          </cell>
          <cell r="EB30">
            <v>0.03</v>
          </cell>
          <cell r="EC30">
            <v>5.5E-2</v>
          </cell>
          <cell r="ED30">
            <v>4.4999999999999998E-2</v>
          </cell>
          <cell r="EE30">
            <v>0.03</v>
          </cell>
          <cell r="EG30">
            <v>5.2500000000000005E-2</v>
          </cell>
          <cell r="EH30">
            <v>6.25E-2</v>
          </cell>
          <cell r="EI30">
            <v>6.25E-2</v>
          </cell>
          <cell r="EJ30">
            <v>6.25E-2</v>
          </cell>
          <cell r="EK30">
            <v>6.25E-2</v>
          </cell>
          <cell r="EL30">
            <v>6.25E-2</v>
          </cell>
          <cell r="EM30">
            <v>6.25E-2</v>
          </cell>
          <cell r="EN30">
            <v>6.25E-2</v>
          </cell>
          <cell r="EO30">
            <v>6.25E-2</v>
          </cell>
          <cell r="EP30">
            <v>6.25E-2</v>
          </cell>
          <cell r="EQ30">
            <v>6.25E-2</v>
          </cell>
          <cell r="ER30">
            <v>6.25E-2</v>
          </cell>
          <cell r="ES30">
            <v>6.25E-2</v>
          </cell>
          <cell r="EU30">
            <v>0.1</v>
          </cell>
          <cell r="EV30">
            <v>0.11</v>
          </cell>
          <cell r="EW30">
            <v>0.11</v>
          </cell>
          <cell r="EX30">
            <v>0.11</v>
          </cell>
          <cell r="EY30">
            <v>0.11</v>
          </cell>
          <cell r="EZ30">
            <v>0.11</v>
          </cell>
          <cell r="FA30">
            <v>0.11</v>
          </cell>
          <cell r="FB30">
            <v>0.11</v>
          </cell>
          <cell r="FC30">
            <v>0.11</v>
          </cell>
          <cell r="FD30">
            <v>0.11</v>
          </cell>
          <cell r="FE30">
            <v>0.11</v>
          </cell>
          <cell r="FF30">
            <v>0.11</v>
          </cell>
          <cell r="FG30">
            <v>0.11</v>
          </cell>
        </row>
        <row r="31">
          <cell r="C31" t="str">
            <v>308 MCA GT MHEV</v>
          </cell>
          <cell r="D31" t="str">
            <v>308 MCA GT Hybrid 136hp AT</v>
          </cell>
          <cell r="G31">
            <v>0.05</v>
          </cell>
          <cell r="H31">
            <v>0.05</v>
          </cell>
          <cell r="I31">
            <v>0.05</v>
          </cell>
          <cell r="J31">
            <v>0.05</v>
          </cell>
          <cell r="K31">
            <v>0.05</v>
          </cell>
          <cell r="L31">
            <v>0.05</v>
          </cell>
          <cell r="M31">
            <v>0.05</v>
          </cell>
          <cell r="N31">
            <v>0.05</v>
          </cell>
          <cell r="O31">
            <v>0.05</v>
          </cell>
          <cell r="P31">
            <v>0.05</v>
          </cell>
          <cell r="Q31">
            <v>0.05</v>
          </cell>
          <cell r="R31">
            <v>0.05</v>
          </cell>
          <cell r="U31">
            <v>0.5</v>
          </cell>
          <cell r="V31">
            <v>0</v>
          </cell>
          <cell r="W31">
            <v>0.5</v>
          </cell>
          <cell r="X31">
            <v>0.5</v>
          </cell>
          <cell r="Y31">
            <v>0</v>
          </cell>
          <cell r="Z31">
            <v>0.5</v>
          </cell>
          <cell r="AA31">
            <v>0.5</v>
          </cell>
          <cell r="AB31">
            <v>0</v>
          </cell>
          <cell r="AC31">
            <v>0.5</v>
          </cell>
          <cell r="AD31">
            <v>0.5</v>
          </cell>
          <cell r="AE31">
            <v>0</v>
          </cell>
          <cell r="AF31">
            <v>0.5</v>
          </cell>
          <cell r="AG31">
            <v>0.5</v>
          </cell>
          <cell r="AH31">
            <v>0</v>
          </cell>
          <cell r="AI31">
            <v>0.5</v>
          </cell>
          <cell r="AJ31">
            <v>0.5</v>
          </cell>
          <cell r="AK31">
            <v>0</v>
          </cell>
          <cell r="AL31">
            <v>0.5</v>
          </cell>
          <cell r="AM31">
            <v>0.5</v>
          </cell>
          <cell r="AN31">
            <v>0</v>
          </cell>
          <cell r="AO31">
            <v>0.5</v>
          </cell>
          <cell r="AP31">
            <v>0.5</v>
          </cell>
          <cell r="AQ31">
            <v>0</v>
          </cell>
          <cell r="AR31">
            <v>0.5</v>
          </cell>
          <cell r="AS31">
            <v>0.5</v>
          </cell>
          <cell r="AT31">
            <v>0</v>
          </cell>
          <cell r="AU31">
            <v>0.5</v>
          </cell>
          <cell r="AV31">
            <v>0.5</v>
          </cell>
          <cell r="AW31">
            <v>0</v>
          </cell>
          <cell r="AX31">
            <v>0.5</v>
          </cell>
          <cell r="AY31">
            <v>0.5</v>
          </cell>
          <cell r="AZ31">
            <v>0</v>
          </cell>
          <cell r="BA31">
            <v>0.5</v>
          </cell>
          <cell r="BB31">
            <v>0.5</v>
          </cell>
          <cell r="BC31">
            <v>0</v>
          </cell>
          <cell r="BD31">
            <v>0.5</v>
          </cell>
          <cell r="BG31">
            <v>7.9999999999999988E-2</v>
          </cell>
          <cell r="BH31">
            <v>9.9999999999999992E-2</v>
          </cell>
          <cell r="BI31">
            <v>0.12000000000000001</v>
          </cell>
          <cell r="BJ31">
            <v>7.9999999999999988E-2</v>
          </cell>
          <cell r="BK31">
            <v>9.9999999999999992E-2</v>
          </cell>
          <cell r="BL31">
            <v>0.14000000000000001</v>
          </cell>
          <cell r="BM31">
            <v>7.9999999999999988E-2</v>
          </cell>
          <cell r="BN31">
            <v>9.9999999999999992E-2</v>
          </cell>
          <cell r="BO31">
            <v>0.14000000000000001</v>
          </cell>
          <cell r="BP31">
            <v>7.9999999999999988E-2</v>
          </cell>
          <cell r="BQ31">
            <v>9.9999999999999992E-2</v>
          </cell>
          <cell r="BR31">
            <v>0.14000000000000001</v>
          </cell>
          <cell r="BS31">
            <v>7.9999999999999988E-2</v>
          </cell>
          <cell r="BT31">
            <v>9.9999999999999992E-2</v>
          </cell>
          <cell r="BU31">
            <v>0.14000000000000001</v>
          </cell>
          <cell r="BV31">
            <v>7.9999999999999988E-2</v>
          </cell>
          <cell r="BW31">
            <v>9.9999999999999992E-2</v>
          </cell>
          <cell r="BX31">
            <v>0.14000000000000001</v>
          </cell>
          <cell r="BY31">
            <v>7.9999999999999988E-2</v>
          </cell>
          <cell r="BZ31">
            <v>9.9999999999999992E-2</v>
          </cell>
          <cell r="CA31">
            <v>0.14000000000000001</v>
          </cell>
          <cell r="CB31">
            <v>7.9999999999999988E-2</v>
          </cell>
          <cell r="CC31">
            <v>9.9999999999999992E-2</v>
          </cell>
          <cell r="CD31">
            <v>0.14000000000000001</v>
          </cell>
          <cell r="CE31">
            <v>7.9999999999999988E-2</v>
          </cell>
          <cell r="CF31">
            <v>9.9999999999999992E-2</v>
          </cell>
          <cell r="CG31">
            <v>0.14000000000000001</v>
          </cell>
          <cell r="CH31">
            <v>7.9999999999999988E-2</v>
          </cell>
          <cell r="CI31">
            <v>9.9999999999999992E-2</v>
          </cell>
          <cell r="CJ31">
            <v>0.14000000000000001</v>
          </cell>
          <cell r="CK31">
            <v>7.9999999999999988E-2</v>
          </cell>
          <cell r="CL31">
            <v>9.9999999999999992E-2</v>
          </cell>
          <cell r="CM31">
            <v>0.14000000000000001</v>
          </cell>
          <cell r="CN31">
            <v>7.9999999999999988E-2</v>
          </cell>
          <cell r="CO31">
            <v>9.9999999999999992E-2</v>
          </cell>
          <cell r="CP31">
            <v>0.14000000000000001</v>
          </cell>
          <cell r="CQ31">
            <v>7.9999999999999988E-2</v>
          </cell>
          <cell r="CR31">
            <v>9.9999999999999992E-2</v>
          </cell>
          <cell r="CS31">
            <v>0.14000000000000001</v>
          </cell>
          <cell r="CV31">
            <v>5.5E-2</v>
          </cell>
          <cell r="CW31">
            <v>4.4999999999999998E-2</v>
          </cell>
          <cell r="CX31">
            <v>0.04</v>
          </cell>
          <cell r="CY31">
            <v>5.5E-2</v>
          </cell>
          <cell r="CZ31">
            <v>4.4999999999999998E-2</v>
          </cell>
          <cell r="DA31">
            <v>0.04</v>
          </cell>
          <cell r="DB31">
            <v>5.5E-2</v>
          </cell>
          <cell r="DC31">
            <v>4.4999999999999998E-2</v>
          </cell>
          <cell r="DD31">
            <v>0.04</v>
          </cell>
          <cell r="DE31">
            <v>5.5E-2</v>
          </cell>
          <cell r="DF31">
            <v>4.4999999999999998E-2</v>
          </cell>
          <cell r="DG31">
            <v>0.04</v>
          </cell>
          <cell r="DH31">
            <v>5.5E-2</v>
          </cell>
          <cell r="DI31">
            <v>4.4999999999999998E-2</v>
          </cell>
          <cell r="DJ31">
            <v>0.04</v>
          </cell>
          <cell r="DK31">
            <v>5.5E-2</v>
          </cell>
          <cell r="DL31">
            <v>4.4999999999999998E-2</v>
          </cell>
          <cell r="DM31">
            <v>0.04</v>
          </cell>
          <cell r="DN31">
            <v>5.5E-2</v>
          </cell>
          <cell r="DO31">
            <v>4.4999999999999998E-2</v>
          </cell>
          <cell r="DP31">
            <v>0.04</v>
          </cell>
          <cell r="DQ31">
            <v>5.5E-2</v>
          </cell>
          <cell r="DR31">
            <v>4.4999999999999998E-2</v>
          </cell>
          <cell r="DS31">
            <v>0.04</v>
          </cell>
          <cell r="DT31">
            <v>5.5E-2</v>
          </cell>
          <cell r="DU31">
            <v>4.4999999999999998E-2</v>
          </cell>
          <cell r="DV31">
            <v>0.04</v>
          </cell>
          <cell r="DW31">
            <v>5.5E-2</v>
          </cell>
          <cell r="DX31">
            <v>4.4999999999999998E-2</v>
          </cell>
          <cell r="DY31">
            <v>0.04</v>
          </cell>
          <cell r="DZ31">
            <v>5.5E-2</v>
          </cell>
          <cell r="EA31">
            <v>4.4999999999999998E-2</v>
          </cell>
          <cell r="EB31">
            <v>0.04</v>
          </cell>
          <cell r="EC31">
            <v>5.5E-2</v>
          </cell>
          <cell r="ED31">
            <v>4.4999999999999998E-2</v>
          </cell>
          <cell r="EE31">
            <v>0.04</v>
          </cell>
          <cell r="EG31">
            <v>5.7500000000000009E-2</v>
          </cell>
          <cell r="EH31">
            <v>6.7500000000000004E-2</v>
          </cell>
          <cell r="EI31">
            <v>6.7500000000000004E-2</v>
          </cell>
          <cell r="EJ31">
            <v>6.7500000000000004E-2</v>
          </cell>
          <cell r="EK31">
            <v>6.7500000000000004E-2</v>
          </cell>
          <cell r="EL31">
            <v>6.7500000000000004E-2</v>
          </cell>
          <cell r="EM31">
            <v>6.7500000000000004E-2</v>
          </cell>
          <cell r="EN31">
            <v>6.7500000000000004E-2</v>
          </cell>
          <cell r="EO31">
            <v>6.7500000000000004E-2</v>
          </cell>
          <cell r="EP31">
            <v>6.7500000000000004E-2</v>
          </cell>
          <cell r="EQ31">
            <v>6.7500000000000004E-2</v>
          </cell>
          <cell r="ER31">
            <v>6.7500000000000004E-2</v>
          </cell>
          <cell r="ES31">
            <v>6.7500000000000004E-2</v>
          </cell>
          <cell r="EU31">
            <v>0.1</v>
          </cell>
          <cell r="EV31">
            <v>0.11</v>
          </cell>
          <cell r="EW31">
            <v>0.11</v>
          </cell>
          <cell r="EX31">
            <v>0.11</v>
          </cell>
          <cell r="EY31">
            <v>0.11</v>
          </cell>
          <cell r="EZ31">
            <v>0.11</v>
          </cell>
          <cell r="FA31">
            <v>0.11</v>
          </cell>
          <cell r="FB31">
            <v>0.11</v>
          </cell>
          <cell r="FC31">
            <v>0.11</v>
          </cell>
          <cell r="FD31">
            <v>0.11</v>
          </cell>
          <cell r="FE31">
            <v>0.11</v>
          </cell>
          <cell r="FF31">
            <v>0.11</v>
          </cell>
          <cell r="FG31">
            <v>0.11</v>
          </cell>
        </row>
        <row r="32">
          <cell r="C32" t="str">
            <v>3008 ACTIVE PACK PURETECH 130</v>
          </cell>
          <cell r="D32" t="str">
            <v>3008 Active Pack Gasolina 130hp MT</v>
          </cell>
          <cell r="G32">
            <v>0.05</v>
          </cell>
          <cell r="H32">
            <v>0.05</v>
          </cell>
          <cell r="I32">
            <v>0.05</v>
          </cell>
          <cell r="J32">
            <v>0.05</v>
          </cell>
          <cell r="K32">
            <v>0.05</v>
          </cell>
          <cell r="L32">
            <v>0.05</v>
          </cell>
          <cell r="M32">
            <v>0.05</v>
          </cell>
          <cell r="N32">
            <v>0.05</v>
          </cell>
          <cell r="O32">
            <v>0.05</v>
          </cell>
          <cell r="P32">
            <v>0.05</v>
          </cell>
          <cell r="Q32">
            <v>0.05</v>
          </cell>
          <cell r="R32">
            <v>0.05</v>
          </cell>
          <cell r="U32">
            <v>0.5</v>
          </cell>
          <cell r="V32">
            <v>0</v>
          </cell>
          <cell r="W32">
            <v>0.5</v>
          </cell>
          <cell r="X32">
            <v>0.5</v>
          </cell>
          <cell r="Y32">
            <v>0</v>
          </cell>
          <cell r="Z32">
            <v>0.5</v>
          </cell>
          <cell r="AA32">
            <v>0.5</v>
          </cell>
          <cell r="AB32">
            <v>0</v>
          </cell>
          <cell r="AC32">
            <v>0.5</v>
          </cell>
          <cell r="AD32">
            <v>0.5</v>
          </cell>
          <cell r="AE32">
            <v>0</v>
          </cell>
          <cell r="AF32">
            <v>0.5</v>
          </cell>
          <cell r="AG32">
            <v>0.5</v>
          </cell>
          <cell r="AH32">
            <v>0</v>
          </cell>
          <cell r="AI32">
            <v>0.5</v>
          </cell>
          <cell r="AJ32">
            <v>0.5</v>
          </cell>
          <cell r="AK32">
            <v>0</v>
          </cell>
          <cell r="AL32">
            <v>0.5</v>
          </cell>
          <cell r="AM32">
            <v>0.5</v>
          </cell>
          <cell r="AN32">
            <v>0</v>
          </cell>
          <cell r="AO32">
            <v>0.5</v>
          </cell>
          <cell r="AP32">
            <v>0.5</v>
          </cell>
          <cell r="AQ32">
            <v>0</v>
          </cell>
          <cell r="AR32">
            <v>0.5</v>
          </cell>
          <cell r="AS32">
            <v>0.5</v>
          </cell>
          <cell r="AT32">
            <v>0</v>
          </cell>
          <cell r="AU32">
            <v>0.5</v>
          </cell>
          <cell r="AV32">
            <v>0.5</v>
          </cell>
          <cell r="AW32">
            <v>0</v>
          </cell>
          <cell r="AX32">
            <v>0.5</v>
          </cell>
          <cell r="AY32">
            <v>0.5</v>
          </cell>
          <cell r="AZ32">
            <v>0</v>
          </cell>
          <cell r="BA32">
            <v>0.5</v>
          </cell>
          <cell r="BB32">
            <v>0.5</v>
          </cell>
          <cell r="BC32">
            <v>0</v>
          </cell>
          <cell r="BD32">
            <v>0.5</v>
          </cell>
          <cell r="BG32">
            <v>7.9999999999999988E-2</v>
          </cell>
          <cell r="BH32">
            <v>9.9999999999999992E-2</v>
          </cell>
          <cell r="BI32">
            <v>0.12000000000000001</v>
          </cell>
          <cell r="BJ32">
            <v>7.9999999999999988E-2</v>
          </cell>
          <cell r="BK32">
            <v>9.9999999999999992E-2</v>
          </cell>
          <cell r="BL32">
            <v>0.14000000000000001</v>
          </cell>
          <cell r="BM32">
            <v>7.9999999999999988E-2</v>
          </cell>
          <cell r="BN32">
            <v>9.9999999999999992E-2</v>
          </cell>
          <cell r="BO32">
            <v>0.14000000000000001</v>
          </cell>
          <cell r="BP32">
            <v>7.9999999999999988E-2</v>
          </cell>
          <cell r="BQ32">
            <v>9.9999999999999992E-2</v>
          </cell>
          <cell r="BR32">
            <v>0.14000000000000001</v>
          </cell>
          <cell r="BS32">
            <v>7.9999999999999988E-2</v>
          </cell>
          <cell r="BT32">
            <v>9.9999999999999992E-2</v>
          </cell>
          <cell r="BU32">
            <v>0.14000000000000001</v>
          </cell>
          <cell r="BV32">
            <v>7.9999999999999988E-2</v>
          </cell>
          <cell r="BW32">
            <v>9.9999999999999992E-2</v>
          </cell>
          <cell r="BX32">
            <v>0.14000000000000001</v>
          </cell>
          <cell r="BY32">
            <v>7.9999999999999988E-2</v>
          </cell>
          <cell r="BZ32">
            <v>9.9999999999999992E-2</v>
          </cell>
          <cell r="CA32">
            <v>0.14000000000000001</v>
          </cell>
          <cell r="CB32">
            <v>7.9999999999999988E-2</v>
          </cell>
          <cell r="CC32">
            <v>9.9999999999999992E-2</v>
          </cell>
          <cell r="CD32">
            <v>0.14000000000000001</v>
          </cell>
          <cell r="CE32">
            <v>7.9999999999999988E-2</v>
          </cell>
          <cell r="CF32">
            <v>9.9999999999999992E-2</v>
          </cell>
          <cell r="CG32">
            <v>0.14000000000000001</v>
          </cell>
          <cell r="CH32">
            <v>7.9999999999999988E-2</v>
          </cell>
          <cell r="CI32">
            <v>9.9999999999999992E-2</v>
          </cell>
          <cell r="CJ32">
            <v>0.14000000000000001</v>
          </cell>
          <cell r="CK32">
            <v>7.9999999999999988E-2</v>
          </cell>
          <cell r="CL32">
            <v>9.9999999999999992E-2</v>
          </cell>
          <cell r="CM32">
            <v>0.14000000000000001</v>
          </cell>
          <cell r="CN32">
            <v>7.9999999999999988E-2</v>
          </cell>
          <cell r="CO32">
            <v>9.9999999999999992E-2</v>
          </cell>
          <cell r="CP32">
            <v>0.14000000000000001</v>
          </cell>
          <cell r="CQ32">
            <v>7.9999999999999988E-2</v>
          </cell>
          <cell r="CR32">
            <v>9.9999999999999992E-2</v>
          </cell>
          <cell r="CS32">
            <v>0.14000000000000001</v>
          </cell>
          <cell r="CV32">
            <v>5.5E-2</v>
          </cell>
          <cell r="CW32">
            <v>4.4999999999999998E-2</v>
          </cell>
          <cell r="CX32">
            <v>0.03</v>
          </cell>
          <cell r="CY32">
            <v>5.5E-2</v>
          </cell>
          <cell r="CZ32">
            <v>4.4999999999999998E-2</v>
          </cell>
          <cell r="DA32">
            <v>0.03</v>
          </cell>
          <cell r="DB32">
            <v>5.5E-2</v>
          </cell>
          <cell r="DC32">
            <v>4.4999999999999998E-2</v>
          </cell>
          <cell r="DD32">
            <v>0.03</v>
          </cell>
          <cell r="DE32">
            <v>5.5E-2</v>
          </cell>
          <cell r="DF32">
            <v>4.4999999999999998E-2</v>
          </cell>
          <cell r="DG32">
            <v>0.03</v>
          </cell>
          <cell r="DH32">
            <v>5.5E-2</v>
          </cell>
          <cell r="DI32">
            <v>4.4999999999999998E-2</v>
          </cell>
          <cell r="DJ32">
            <v>0.03</v>
          </cell>
          <cell r="DK32">
            <v>5.5E-2</v>
          </cell>
          <cell r="DL32">
            <v>4.4999999999999998E-2</v>
          </cell>
          <cell r="DM32">
            <v>0.03</v>
          </cell>
          <cell r="DN32">
            <v>5.5E-2</v>
          </cell>
          <cell r="DO32">
            <v>4.4999999999999998E-2</v>
          </cell>
          <cell r="DP32">
            <v>0.03</v>
          </cell>
          <cell r="DQ32">
            <v>5.5E-2</v>
          </cell>
          <cell r="DR32">
            <v>4.4999999999999998E-2</v>
          </cell>
          <cell r="DS32">
            <v>0.03</v>
          </cell>
          <cell r="DT32">
            <v>5.5E-2</v>
          </cell>
          <cell r="DU32">
            <v>4.4999999999999998E-2</v>
          </cell>
          <cell r="DV32">
            <v>0.03</v>
          </cell>
          <cell r="DW32">
            <v>5.5E-2</v>
          </cell>
          <cell r="DX32">
            <v>4.4999999999999998E-2</v>
          </cell>
          <cell r="DY32">
            <v>0.03</v>
          </cell>
          <cell r="DZ32">
            <v>5.5E-2</v>
          </cell>
          <cell r="EA32">
            <v>4.4999999999999998E-2</v>
          </cell>
          <cell r="EB32">
            <v>0.03</v>
          </cell>
          <cell r="EC32">
            <v>5.5E-2</v>
          </cell>
          <cell r="ED32">
            <v>4.4999999999999998E-2</v>
          </cell>
          <cell r="EE32">
            <v>0.03</v>
          </cell>
          <cell r="EG32">
            <v>5.2500000000000005E-2</v>
          </cell>
          <cell r="EH32">
            <v>6.25E-2</v>
          </cell>
          <cell r="EI32">
            <v>6.25E-2</v>
          </cell>
          <cell r="EJ32">
            <v>6.25E-2</v>
          </cell>
          <cell r="EK32">
            <v>6.25E-2</v>
          </cell>
          <cell r="EL32">
            <v>6.25E-2</v>
          </cell>
          <cell r="EM32">
            <v>6.25E-2</v>
          </cell>
          <cell r="EN32">
            <v>6.25E-2</v>
          </cell>
          <cell r="EO32">
            <v>6.25E-2</v>
          </cell>
          <cell r="EP32">
            <v>6.25E-2</v>
          </cell>
          <cell r="EQ32">
            <v>6.25E-2</v>
          </cell>
          <cell r="ER32">
            <v>6.25E-2</v>
          </cell>
          <cell r="ES32">
            <v>6.25E-2</v>
          </cell>
          <cell r="EU32">
            <v>0.1</v>
          </cell>
          <cell r="EV32">
            <v>0.11</v>
          </cell>
          <cell r="EW32">
            <v>0.11</v>
          </cell>
          <cell r="EX32">
            <v>0.11</v>
          </cell>
          <cell r="EY32">
            <v>0.11</v>
          </cell>
          <cell r="EZ32">
            <v>0.11</v>
          </cell>
          <cell r="FA32">
            <v>0.11</v>
          </cell>
          <cell r="FB32">
            <v>0.11</v>
          </cell>
          <cell r="FC32">
            <v>0.11</v>
          </cell>
          <cell r="FD32">
            <v>0.11</v>
          </cell>
          <cell r="FE32">
            <v>0.11</v>
          </cell>
          <cell r="FF32">
            <v>0.11</v>
          </cell>
          <cell r="FG32">
            <v>0.11</v>
          </cell>
        </row>
        <row r="33">
          <cell r="C33" t="str">
            <v>New 3008 Allure MHEV 136 eDCT6</v>
          </cell>
          <cell r="D33" t="str">
            <v>3008 Allure Hybrid 136hp AT</v>
          </cell>
          <cell r="G33">
            <v>0.05</v>
          </cell>
          <cell r="H33">
            <v>0.05</v>
          </cell>
          <cell r="I33">
            <v>0.05</v>
          </cell>
          <cell r="J33">
            <v>0.05</v>
          </cell>
          <cell r="K33">
            <v>0.05</v>
          </cell>
          <cell r="L33">
            <v>0.05</v>
          </cell>
          <cell r="M33">
            <v>0.05</v>
          </cell>
          <cell r="N33">
            <v>0.05</v>
          </cell>
          <cell r="O33">
            <v>0.05</v>
          </cell>
          <cell r="P33">
            <v>0.05</v>
          </cell>
          <cell r="Q33">
            <v>0.05</v>
          </cell>
          <cell r="R33">
            <v>0.05</v>
          </cell>
          <cell r="U33">
            <v>0.5</v>
          </cell>
          <cell r="V33">
            <v>0</v>
          </cell>
          <cell r="W33">
            <v>0.5</v>
          </cell>
          <cell r="X33">
            <v>0.5</v>
          </cell>
          <cell r="Y33">
            <v>0</v>
          </cell>
          <cell r="Z33">
            <v>0.5</v>
          </cell>
          <cell r="AA33">
            <v>0.5</v>
          </cell>
          <cell r="AB33">
            <v>0</v>
          </cell>
          <cell r="AC33">
            <v>0.5</v>
          </cell>
          <cell r="AD33">
            <v>0.5</v>
          </cell>
          <cell r="AE33">
            <v>0</v>
          </cell>
          <cell r="AF33">
            <v>0.5</v>
          </cell>
          <cell r="AG33">
            <v>0.5</v>
          </cell>
          <cell r="AH33">
            <v>0</v>
          </cell>
          <cell r="AI33">
            <v>0.5</v>
          </cell>
          <cell r="AJ33">
            <v>0.5</v>
          </cell>
          <cell r="AK33">
            <v>0</v>
          </cell>
          <cell r="AL33">
            <v>0.5</v>
          </cell>
          <cell r="AM33">
            <v>0.5</v>
          </cell>
          <cell r="AN33">
            <v>0</v>
          </cell>
          <cell r="AO33">
            <v>0.5</v>
          </cell>
          <cell r="AP33">
            <v>0.5</v>
          </cell>
          <cell r="AQ33">
            <v>0</v>
          </cell>
          <cell r="AR33">
            <v>0.5</v>
          </cell>
          <cell r="AS33">
            <v>0.5</v>
          </cell>
          <cell r="AT33">
            <v>0</v>
          </cell>
          <cell r="AU33">
            <v>0.5</v>
          </cell>
          <cell r="AV33">
            <v>0.5</v>
          </cell>
          <cell r="AW33">
            <v>0</v>
          </cell>
          <cell r="AX33">
            <v>0.5</v>
          </cell>
          <cell r="AY33">
            <v>0.5</v>
          </cell>
          <cell r="AZ33">
            <v>0</v>
          </cell>
          <cell r="BA33">
            <v>0.5</v>
          </cell>
          <cell r="BB33">
            <v>0.5</v>
          </cell>
          <cell r="BC33">
            <v>0</v>
          </cell>
          <cell r="BD33">
            <v>0.5</v>
          </cell>
          <cell r="BG33">
            <v>7.9999999999999988E-2</v>
          </cell>
          <cell r="BH33">
            <v>9.9999999999999992E-2</v>
          </cell>
          <cell r="BI33">
            <v>0.12000000000000001</v>
          </cell>
          <cell r="BJ33">
            <v>7.9999999999999988E-2</v>
          </cell>
          <cell r="BK33">
            <v>9.9999999999999992E-2</v>
          </cell>
          <cell r="BL33">
            <v>0.14000000000000001</v>
          </cell>
          <cell r="BM33">
            <v>7.9999999999999988E-2</v>
          </cell>
          <cell r="BN33">
            <v>9.9999999999999992E-2</v>
          </cell>
          <cell r="BO33">
            <v>0.14000000000000001</v>
          </cell>
          <cell r="BP33">
            <v>7.9999999999999988E-2</v>
          </cell>
          <cell r="BQ33">
            <v>9.9999999999999992E-2</v>
          </cell>
          <cell r="BR33">
            <v>0.14000000000000001</v>
          </cell>
          <cell r="BS33">
            <v>7.9999999999999988E-2</v>
          </cell>
          <cell r="BT33">
            <v>9.9999999999999992E-2</v>
          </cell>
          <cell r="BU33">
            <v>0.14000000000000001</v>
          </cell>
          <cell r="BV33">
            <v>7.9999999999999988E-2</v>
          </cell>
          <cell r="BW33">
            <v>9.9999999999999992E-2</v>
          </cell>
          <cell r="BX33">
            <v>0.14000000000000001</v>
          </cell>
          <cell r="BY33">
            <v>7.9999999999999988E-2</v>
          </cell>
          <cell r="BZ33">
            <v>9.9999999999999992E-2</v>
          </cell>
          <cell r="CA33">
            <v>0.14000000000000001</v>
          </cell>
          <cell r="CB33">
            <v>7.9999999999999988E-2</v>
          </cell>
          <cell r="CC33">
            <v>9.9999999999999992E-2</v>
          </cell>
          <cell r="CD33">
            <v>0.14000000000000001</v>
          </cell>
          <cell r="CE33">
            <v>7.9999999999999988E-2</v>
          </cell>
          <cell r="CF33">
            <v>9.9999999999999992E-2</v>
          </cell>
          <cell r="CG33">
            <v>0.14000000000000001</v>
          </cell>
          <cell r="CH33">
            <v>7.9999999999999988E-2</v>
          </cell>
          <cell r="CI33">
            <v>9.9999999999999992E-2</v>
          </cell>
          <cell r="CJ33">
            <v>0.14000000000000001</v>
          </cell>
          <cell r="CK33">
            <v>7.9999999999999988E-2</v>
          </cell>
          <cell r="CL33">
            <v>9.9999999999999992E-2</v>
          </cell>
          <cell r="CM33">
            <v>0.14000000000000001</v>
          </cell>
          <cell r="CN33">
            <v>7.9999999999999988E-2</v>
          </cell>
          <cell r="CO33">
            <v>9.9999999999999992E-2</v>
          </cell>
          <cell r="CP33">
            <v>0.14000000000000001</v>
          </cell>
          <cell r="CQ33">
            <v>7.9999999999999988E-2</v>
          </cell>
          <cell r="CR33">
            <v>9.9999999999999992E-2</v>
          </cell>
          <cell r="CS33">
            <v>0.14000000000000001</v>
          </cell>
          <cell r="CV33">
            <v>5.5E-2</v>
          </cell>
          <cell r="CW33">
            <v>4.4999999999999998E-2</v>
          </cell>
          <cell r="CX33">
            <v>0.03</v>
          </cell>
          <cell r="CY33">
            <v>5.5E-2</v>
          </cell>
          <cell r="CZ33">
            <v>4.4999999999999998E-2</v>
          </cell>
          <cell r="DA33">
            <v>0.03</v>
          </cell>
          <cell r="DB33">
            <v>5.5E-2</v>
          </cell>
          <cell r="DC33">
            <v>4.4999999999999998E-2</v>
          </cell>
          <cell r="DD33">
            <v>0.03</v>
          </cell>
          <cell r="DE33">
            <v>5.5E-2</v>
          </cell>
          <cell r="DF33">
            <v>4.4999999999999998E-2</v>
          </cell>
          <cell r="DG33">
            <v>0.03</v>
          </cell>
          <cell r="DH33">
            <v>5.5E-2</v>
          </cell>
          <cell r="DI33">
            <v>4.4999999999999998E-2</v>
          </cell>
          <cell r="DJ33">
            <v>0.03</v>
          </cell>
          <cell r="DK33">
            <v>5.5E-2</v>
          </cell>
          <cell r="DL33">
            <v>4.4999999999999998E-2</v>
          </cell>
          <cell r="DM33">
            <v>0.03</v>
          </cell>
          <cell r="DN33">
            <v>5.5E-2</v>
          </cell>
          <cell r="DO33">
            <v>4.4999999999999998E-2</v>
          </cell>
          <cell r="DP33">
            <v>0.03</v>
          </cell>
          <cell r="DQ33">
            <v>5.5E-2</v>
          </cell>
          <cell r="DR33">
            <v>4.4999999999999998E-2</v>
          </cell>
          <cell r="DS33">
            <v>0.03</v>
          </cell>
          <cell r="DT33">
            <v>5.5E-2</v>
          </cell>
          <cell r="DU33">
            <v>4.4999999999999998E-2</v>
          </cell>
          <cell r="DV33">
            <v>0.03</v>
          </cell>
          <cell r="DW33">
            <v>5.5E-2</v>
          </cell>
          <cell r="DX33">
            <v>4.4999999999999998E-2</v>
          </cell>
          <cell r="DY33">
            <v>0.03</v>
          </cell>
          <cell r="DZ33">
            <v>5.5E-2</v>
          </cell>
          <cell r="EA33">
            <v>4.4999999999999998E-2</v>
          </cell>
          <cell r="EB33">
            <v>0.03</v>
          </cell>
          <cell r="EC33">
            <v>5.5E-2</v>
          </cell>
          <cell r="ED33">
            <v>4.4999999999999998E-2</v>
          </cell>
          <cell r="EE33">
            <v>0.03</v>
          </cell>
          <cell r="EG33">
            <v>5.2500000000000005E-2</v>
          </cell>
          <cell r="EH33">
            <v>6.25E-2</v>
          </cell>
          <cell r="EI33">
            <v>6.25E-2</v>
          </cell>
          <cell r="EJ33">
            <v>6.25E-2</v>
          </cell>
          <cell r="EK33">
            <v>6.25E-2</v>
          </cell>
          <cell r="EL33">
            <v>6.25E-2</v>
          </cell>
          <cell r="EM33">
            <v>6.25E-2</v>
          </cell>
          <cell r="EN33">
            <v>6.25E-2</v>
          </cell>
          <cell r="EO33">
            <v>6.25E-2</v>
          </cell>
          <cell r="EP33">
            <v>6.25E-2</v>
          </cell>
          <cell r="EQ33">
            <v>6.25E-2</v>
          </cell>
          <cell r="ER33">
            <v>6.25E-2</v>
          </cell>
          <cell r="ES33">
            <v>6.25E-2</v>
          </cell>
          <cell r="EU33">
            <v>0.1</v>
          </cell>
          <cell r="EV33">
            <v>0.11</v>
          </cell>
          <cell r="EW33">
            <v>0.11</v>
          </cell>
          <cell r="EX33">
            <v>0.11</v>
          </cell>
          <cell r="EY33">
            <v>0.11</v>
          </cell>
          <cell r="EZ33">
            <v>0.11</v>
          </cell>
          <cell r="FA33">
            <v>0.11</v>
          </cell>
          <cell r="FB33">
            <v>0.11</v>
          </cell>
          <cell r="FC33">
            <v>0.11</v>
          </cell>
          <cell r="FD33">
            <v>0.11</v>
          </cell>
          <cell r="FE33">
            <v>0.11</v>
          </cell>
          <cell r="FF33">
            <v>0.11</v>
          </cell>
          <cell r="FG33">
            <v>0.11</v>
          </cell>
        </row>
        <row r="34">
          <cell r="C34" t="str">
            <v>New 3008 GT MHEV 136 EDCT6</v>
          </cell>
          <cell r="D34" t="str">
            <v>3008 GT Hybrid 136hp AT</v>
          </cell>
          <cell r="G34">
            <v>0.05</v>
          </cell>
          <cell r="H34">
            <v>0.05</v>
          </cell>
          <cell r="I34">
            <v>0.05</v>
          </cell>
          <cell r="J34">
            <v>0.05</v>
          </cell>
          <cell r="K34">
            <v>0.05</v>
          </cell>
          <cell r="L34">
            <v>0.05</v>
          </cell>
          <cell r="M34">
            <v>0.05</v>
          </cell>
          <cell r="N34">
            <v>0.05</v>
          </cell>
          <cell r="O34">
            <v>0.05</v>
          </cell>
          <cell r="P34">
            <v>0.05</v>
          </cell>
          <cell r="Q34">
            <v>0.05</v>
          </cell>
          <cell r="R34">
            <v>0.05</v>
          </cell>
          <cell r="U34">
            <v>0.5</v>
          </cell>
          <cell r="V34">
            <v>0</v>
          </cell>
          <cell r="W34">
            <v>0.5</v>
          </cell>
          <cell r="X34">
            <v>0.5</v>
          </cell>
          <cell r="Y34">
            <v>0</v>
          </cell>
          <cell r="Z34">
            <v>0.5</v>
          </cell>
          <cell r="AA34">
            <v>0.5</v>
          </cell>
          <cell r="AB34">
            <v>0</v>
          </cell>
          <cell r="AC34">
            <v>0.5</v>
          </cell>
          <cell r="AD34">
            <v>0.5</v>
          </cell>
          <cell r="AE34">
            <v>0</v>
          </cell>
          <cell r="AF34">
            <v>0.5</v>
          </cell>
          <cell r="AG34">
            <v>0.5</v>
          </cell>
          <cell r="AH34">
            <v>0</v>
          </cell>
          <cell r="AI34">
            <v>0.5</v>
          </cell>
          <cell r="AJ34">
            <v>0.5</v>
          </cell>
          <cell r="AK34">
            <v>0</v>
          </cell>
          <cell r="AL34">
            <v>0.5</v>
          </cell>
          <cell r="AM34">
            <v>0.5</v>
          </cell>
          <cell r="AN34">
            <v>0</v>
          </cell>
          <cell r="AO34">
            <v>0.5</v>
          </cell>
          <cell r="AP34">
            <v>0.5</v>
          </cell>
          <cell r="AQ34">
            <v>0</v>
          </cell>
          <cell r="AR34">
            <v>0.5</v>
          </cell>
          <cell r="AS34">
            <v>0.5</v>
          </cell>
          <cell r="AT34">
            <v>0</v>
          </cell>
          <cell r="AU34">
            <v>0.5</v>
          </cell>
          <cell r="AV34">
            <v>0.5</v>
          </cell>
          <cell r="AW34">
            <v>0</v>
          </cell>
          <cell r="AX34">
            <v>0.5</v>
          </cell>
          <cell r="AY34">
            <v>0.5</v>
          </cell>
          <cell r="AZ34">
            <v>0</v>
          </cell>
          <cell r="BA34">
            <v>0.5</v>
          </cell>
          <cell r="BB34">
            <v>0.5</v>
          </cell>
          <cell r="BC34">
            <v>0</v>
          </cell>
          <cell r="BD34">
            <v>0.5</v>
          </cell>
          <cell r="BG34">
            <v>7.9999999999999988E-2</v>
          </cell>
          <cell r="BH34">
            <v>9.9999999999999992E-2</v>
          </cell>
          <cell r="BI34">
            <v>0.12000000000000001</v>
          </cell>
          <cell r="BJ34">
            <v>7.9999999999999988E-2</v>
          </cell>
          <cell r="BK34">
            <v>9.9999999999999992E-2</v>
          </cell>
          <cell r="BL34">
            <v>0.14000000000000001</v>
          </cell>
          <cell r="BM34">
            <v>7.9999999999999988E-2</v>
          </cell>
          <cell r="BN34">
            <v>9.9999999999999992E-2</v>
          </cell>
          <cell r="BO34">
            <v>0.14000000000000001</v>
          </cell>
          <cell r="BP34">
            <v>7.9999999999999988E-2</v>
          </cell>
          <cell r="BQ34">
            <v>9.9999999999999992E-2</v>
          </cell>
          <cell r="BR34">
            <v>0.14000000000000001</v>
          </cell>
          <cell r="BS34">
            <v>7.9999999999999988E-2</v>
          </cell>
          <cell r="BT34">
            <v>9.9999999999999992E-2</v>
          </cell>
          <cell r="BU34">
            <v>0.14000000000000001</v>
          </cell>
          <cell r="BV34">
            <v>7.9999999999999988E-2</v>
          </cell>
          <cell r="BW34">
            <v>9.9999999999999992E-2</v>
          </cell>
          <cell r="BX34">
            <v>0.14000000000000001</v>
          </cell>
          <cell r="BY34">
            <v>7.9999999999999988E-2</v>
          </cell>
          <cell r="BZ34">
            <v>9.9999999999999992E-2</v>
          </cell>
          <cell r="CA34">
            <v>0.14000000000000001</v>
          </cell>
          <cell r="CB34">
            <v>7.9999999999999988E-2</v>
          </cell>
          <cell r="CC34">
            <v>9.9999999999999992E-2</v>
          </cell>
          <cell r="CD34">
            <v>0.14000000000000001</v>
          </cell>
          <cell r="CE34">
            <v>7.9999999999999988E-2</v>
          </cell>
          <cell r="CF34">
            <v>9.9999999999999992E-2</v>
          </cell>
          <cell r="CG34">
            <v>0.14000000000000001</v>
          </cell>
          <cell r="CH34">
            <v>7.9999999999999988E-2</v>
          </cell>
          <cell r="CI34">
            <v>9.9999999999999992E-2</v>
          </cell>
          <cell r="CJ34">
            <v>0.14000000000000001</v>
          </cell>
          <cell r="CK34">
            <v>7.9999999999999988E-2</v>
          </cell>
          <cell r="CL34">
            <v>9.9999999999999992E-2</v>
          </cell>
          <cell r="CM34">
            <v>0.14000000000000001</v>
          </cell>
          <cell r="CN34">
            <v>7.9999999999999988E-2</v>
          </cell>
          <cell r="CO34">
            <v>9.9999999999999992E-2</v>
          </cell>
          <cell r="CP34">
            <v>0.14000000000000001</v>
          </cell>
          <cell r="CQ34">
            <v>7.9999999999999988E-2</v>
          </cell>
          <cell r="CR34">
            <v>9.9999999999999992E-2</v>
          </cell>
          <cell r="CS34">
            <v>0.14000000000000001</v>
          </cell>
          <cell r="CV34">
            <v>5.5E-2</v>
          </cell>
          <cell r="CW34">
            <v>4.4999999999999998E-2</v>
          </cell>
          <cell r="CX34">
            <v>0.03</v>
          </cell>
          <cell r="CY34">
            <v>5.5E-2</v>
          </cell>
          <cell r="CZ34">
            <v>4.4999999999999998E-2</v>
          </cell>
          <cell r="DA34">
            <v>0.03</v>
          </cell>
          <cell r="DB34">
            <v>5.5E-2</v>
          </cell>
          <cell r="DC34">
            <v>4.4999999999999998E-2</v>
          </cell>
          <cell r="DD34">
            <v>0.03</v>
          </cell>
          <cell r="DE34">
            <v>5.5E-2</v>
          </cell>
          <cell r="DF34">
            <v>4.4999999999999998E-2</v>
          </cell>
          <cell r="DG34">
            <v>0.03</v>
          </cell>
          <cell r="DH34">
            <v>5.5E-2</v>
          </cell>
          <cell r="DI34">
            <v>4.4999999999999998E-2</v>
          </cell>
          <cell r="DJ34">
            <v>0.03</v>
          </cell>
          <cell r="DK34">
            <v>5.5E-2</v>
          </cell>
          <cell r="DL34">
            <v>4.4999999999999998E-2</v>
          </cell>
          <cell r="DM34">
            <v>0.03</v>
          </cell>
          <cell r="DN34">
            <v>5.5E-2</v>
          </cell>
          <cell r="DO34">
            <v>4.4999999999999998E-2</v>
          </cell>
          <cell r="DP34">
            <v>0.03</v>
          </cell>
          <cell r="DQ34">
            <v>5.5E-2</v>
          </cell>
          <cell r="DR34">
            <v>4.4999999999999998E-2</v>
          </cell>
          <cell r="DS34">
            <v>0.03</v>
          </cell>
          <cell r="DT34">
            <v>5.5E-2</v>
          </cell>
          <cell r="DU34">
            <v>4.4999999999999998E-2</v>
          </cell>
          <cell r="DV34">
            <v>0.03</v>
          </cell>
          <cell r="DW34">
            <v>5.5E-2</v>
          </cell>
          <cell r="DX34">
            <v>4.4999999999999998E-2</v>
          </cell>
          <cell r="DY34">
            <v>0.03</v>
          </cell>
          <cell r="DZ34">
            <v>5.5E-2</v>
          </cell>
          <cell r="EA34">
            <v>4.4999999999999998E-2</v>
          </cell>
          <cell r="EB34">
            <v>0.03</v>
          </cell>
          <cell r="EC34">
            <v>5.5E-2</v>
          </cell>
          <cell r="ED34">
            <v>4.4999999999999998E-2</v>
          </cell>
          <cell r="EE34">
            <v>0.03</v>
          </cell>
          <cell r="EG34">
            <v>5.2500000000000005E-2</v>
          </cell>
          <cell r="EH34">
            <v>6.25E-2</v>
          </cell>
          <cell r="EI34">
            <v>6.25E-2</v>
          </cell>
          <cell r="EJ34">
            <v>6.25E-2</v>
          </cell>
          <cell r="EK34">
            <v>6.25E-2</v>
          </cell>
          <cell r="EL34">
            <v>6.25E-2</v>
          </cell>
          <cell r="EM34">
            <v>6.25E-2</v>
          </cell>
          <cell r="EN34">
            <v>6.25E-2</v>
          </cell>
          <cell r="EO34">
            <v>6.25E-2</v>
          </cell>
          <cell r="EP34">
            <v>6.25E-2</v>
          </cell>
          <cell r="EQ34">
            <v>6.25E-2</v>
          </cell>
          <cell r="ER34">
            <v>6.25E-2</v>
          </cell>
          <cell r="ES34">
            <v>6.25E-2</v>
          </cell>
          <cell r="EU34">
            <v>0.1</v>
          </cell>
          <cell r="EV34">
            <v>0.11</v>
          </cell>
          <cell r="EW34">
            <v>0.11</v>
          </cell>
          <cell r="EX34">
            <v>0.11</v>
          </cell>
          <cell r="EY34">
            <v>0.11</v>
          </cell>
          <cell r="EZ34">
            <v>0.11</v>
          </cell>
          <cell r="FA34">
            <v>0.11</v>
          </cell>
          <cell r="FB34">
            <v>0.11</v>
          </cell>
          <cell r="FC34">
            <v>0.11</v>
          </cell>
          <cell r="FD34">
            <v>0.11</v>
          </cell>
          <cell r="FE34">
            <v>0.11</v>
          </cell>
          <cell r="FF34">
            <v>0.11</v>
          </cell>
          <cell r="FG34">
            <v>0.11</v>
          </cell>
        </row>
        <row r="35">
          <cell r="C35" t="str">
            <v>New 3008 GT Gasolina 180hp</v>
          </cell>
          <cell r="D35" t="str">
            <v>New 3008 GT Gasolina 180hp</v>
          </cell>
          <cell r="G35">
            <v>0.05</v>
          </cell>
          <cell r="H35">
            <v>0.05</v>
          </cell>
          <cell r="I35">
            <v>0.05</v>
          </cell>
          <cell r="J35">
            <v>0.05</v>
          </cell>
          <cell r="K35">
            <v>0.05</v>
          </cell>
          <cell r="L35">
            <v>0.05</v>
          </cell>
          <cell r="M35">
            <v>0.05</v>
          </cell>
          <cell r="N35">
            <v>0.05</v>
          </cell>
          <cell r="O35">
            <v>0.05</v>
          </cell>
          <cell r="P35">
            <v>0.05</v>
          </cell>
          <cell r="Q35">
            <v>0.05</v>
          </cell>
          <cell r="R35">
            <v>0.05</v>
          </cell>
          <cell r="U35">
            <v>0.5</v>
          </cell>
          <cell r="V35">
            <v>0</v>
          </cell>
          <cell r="W35">
            <v>0.5</v>
          </cell>
          <cell r="X35">
            <v>0.5</v>
          </cell>
          <cell r="Y35">
            <v>0</v>
          </cell>
          <cell r="Z35">
            <v>0.5</v>
          </cell>
          <cell r="AA35">
            <v>0.5</v>
          </cell>
          <cell r="AB35">
            <v>0</v>
          </cell>
          <cell r="AC35">
            <v>0.5</v>
          </cell>
          <cell r="AD35">
            <v>0.5</v>
          </cell>
          <cell r="AE35">
            <v>0</v>
          </cell>
          <cell r="AF35">
            <v>0.5</v>
          </cell>
          <cell r="AG35">
            <v>0.5</v>
          </cell>
          <cell r="AH35">
            <v>0</v>
          </cell>
          <cell r="AI35">
            <v>0.5</v>
          </cell>
          <cell r="AJ35">
            <v>0.5</v>
          </cell>
          <cell r="AK35">
            <v>0</v>
          </cell>
          <cell r="AL35">
            <v>0.5</v>
          </cell>
          <cell r="AM35">
            <v>0.5</v>
          </cell>
          <cell r="AN35">
            <v>0</v>
          </cell>
          <cell r="AO35">
            <v>0.5</v>
          </cell>
          <cell r="AP35">
            <v>0.5</v>
          </cell>
          <cell r="AQ35">
            <v>0</v>
          </cell>
          <cell r="AR35">
            <v>0.5</v>
          </cell>
          <cell r="AS35">
            <v>0.5</v>
          </cell>
          <cell r="AT35">
            <v>0</v>
          </cell>
          <cell r="AU35">
            <v>0.5</v>
          </cell>
          <cell r="AV35">
            <v>0.5</v>
          </cell>
          <cell r="AW35">
            <v>0</v>
          </cell>
          <cell r="AX35">
            <v>0.5</v>
          </cell>
          <cell r="AY35">
            <v>0.5</v>
          </cell>
          <cell r="AZ35">
            <v>0</v>
          </cell>
          <cell r="BA35">
            <v>0.5</v>
          </cell>
          <cell r="BB35">
            <v>0.5</v>
          </cell>
          <cell r="BC35">
            <v>0</v>
          </cell>
          <cell r="BD35">
            <v>0.5</v>
          </cell>
          <cell r="BG35">
            <v>7.9999999999999988E-2</v>
          </cell>
          <cell r="BH35">
            <v>9.9999999999999992E-2</v>
          </cell>
          <cell r="BI35">
            <v>0.12000000000000001</v>
          </cell>
          <cell r="BJ35">
            <v>7.9999999999999988E-2</v>
          </cell>
          <cell r="BK35">
            <v>9.9999999999999992E-2</v>
          </cell>
          <cell r="BL35">
            <v>0.14000000000000001</v>
          </cell>
          <cell r="BM35">
            <v>7.9999999999999988E-2</v>
          </cell>
          <cell r="BN35">
            <v>9.9999999999999992E-2</v>
          </cell>
          <cell r="BO35">
            <v>0.14000000000000001</v>
          </cell>
          <cell r="BP35">
            <v>7.9999999999999988E-2</v>
          </cell>
          <cell r="BQ35">
            <v>9.9999999999999992E-2</v>
          </cell>
          <cell r="BR35">
            <v>0.14000000000000001</v>
          </cell>
          <cell r="BS35">
            <v>7.9999999999999988E-2</v>
          </cell>
          <cell r="BT35">
            <v>9.9999999999999992E-2</v>
          </cell>
          <cell r="BU35">
            <v>0.14000000000000001</v>
          </cell>
          <cell r="BV35">
            <v>7.9999999999999988E-2</v>
          </cell>
          <cell r="BW35">
            <v>9.9999999999999992E-2</v>
          </cell>
          <cell r="BX35">
            <v>0.14000000000000001</v>
          </cell>
          <cell r="BY35">
            <v>7.9999999999999988E-2</v>
          </cell>
          <cell r="BZ35">
            <v>9.9999999999999992E-2</v>
          </cell>
          <cell r="CA35">
            <v>0.14000000000000001</v>
          </cell>
          <cell r="CB35">
            <v>7.9999999999999988E-2</v>
          </cell>
          <cell r="CC35">
            <v>9.9999999999999992E-2</v>
          </cell>
          <cell r="CD35">
            <v>0.14000000000000001</v>
          </cell>
          <cell r="CE35">
            <v>7.9999999999999988E-2</v>
          </cell>
          <cell r="CF35">
            <v>9.9999999999999992E-2</v>
          </cell>
          <cell r="CG35">
            <v>0.14000000000000001</v>
          </cell>
          <cell r="CH35">
            <v>7.9999999999999988E-2</v>
          </cell>
          <cell r="CI35">
            <v>9.9999999999999992E-2</v>
          </cell>
          <cell r="CJ35">
            <v>0.14000000000000001</v>
          </cell>
          <cell r="CK35">
            <v>7.9999999999999988E-2</v>
          </cell>
          <cell r="CL35">
            <v>9.9999999999999992E-2</v>
          </cell>
          <cell r="CM35">
            <v>0.14000000000000001</v>
          </cell>
          <cell r="CN35">
            <v>7.9999999999999988E-2</v>
          </cell>
          <cell r="CO35">
            <v>9.9999999999999992E-2</v>
          </cell>
          <cell r="CP35">
            <v>0.14000000000000001</v>
          </cell>
          <cell r="CQ35">
            <v>7.9999999999999988E-2</v>
          </cell>
          <cell r="CR35">
            <v>9.9999999999999992E-2</v>
          </cell>
          <cell r="CS35">
            <v>0.14000000000000001</v>
          </cell>
          <cell r="CV35">
            <v>5.5E-2</v>
          </cell>
          <cell r="CW35">
            <v>4.4999999999999998E-2</v>
          </cell>
          <cell r="CX35">
            <v>0.03</v>
          </cell>
          <cell r="CY35">
            <v>5.5E-2</v>
          </cell>
          <cell r="CZ35">
            <v>4.4999999999999998E-2</v>
          </cell>
          <cell r="DA35">
            <v>0.03</v>
          </cell>
          <cell r="DB35">
            <v>5.5E-2</v>
          </cell>
          <cell r="DC35">
            <v>4.4999999999999998E-2</v>
          </cell>
          <cell r="DD35">
            <v>0.03</v>
          </cell>
          <cell r="DE35">
            <v>5.5E-2</v>
          </cell>
          <cell r="DF35">
            <v>4.4999999999999998E-2</v>
          </cell>
          <cell r="DG35">
            <v>0.03</v>
          </cell>
          <cell r="DH35">
            <v>5.5E-2</v>
          </cell>
          <cell r="DI35">
            <v>4.4999999999999998E-2</v>
          </cell>
          <cell r="DJ35">
            <v>0.03</v>
          </cell>
          <cell r="DK35">
            <v>5.5E-2</v>
          </cell>
          <cell r="DL35">
            <v>4.4999999999999998E-2</v>
          </cell>
          <cell r="DM35">
            <v>0.03</v>
          </cell>
          <cell r="DN35">
            <v>5.5E-2</v>
          </cell>
          <cell r="DO35">
            <v>4.4999999999999998E-2</v>
          </cell>
          <cell r="DP35">
            <v>0.03</v>
          </cell>
          <cell r="DQ35">
            <v>5.5E-2</v>
          </cell>
          <cell r="DR35">
            <v>4.4999999999999998E-2</v>
          </cell>
          <cell r="DS35">
            <v>0.03</v>
          </cell>
          <cell r="DT35">
            <v>5.5E-2</v>
          </cell>
          <cell r="DU35">
            <v>4.4999999999999998E-2</v>
          </cell>
          <cell r="DV35">
            <v>0.03</v>
          </cell>
          <cell r="DW35">
            <v>5.5E-2</v>
          </cell>
          <cell r="DX35">
            <v>4.4999999999999998E-2</v>
          </cell>
          <cell r="DY35">
            <v>0.03</v>
          </cell>
          <cell r="DZ35">
            <v>5.5E-2</v>
          </cell>
          <cell r="EA35">
            <v>4.4999999999999998E-2</v>
          </cell>
          <cell r="EB35">
            <v>0.03</v>
          </cell>
          <cell r="EC35">
            <v>5.5E-2</v>
          </cell>
          <cell r="ED35">
            <v>4.4999999999999998E-2</v>
          </cell>
          <cell r="EE35">
            <v>0.03</v>
          </cell>
          <cell r="EG35">
            <v>5.2500000000000005E-2</v>
          </cell>
          <cell r="EH35">
            <v>6.25E-2</v>
          </cell>
          <cell r="EI35">
            <v>6.25E-2</v>
          </cell>
          <cell r="EJ35">
            <v>6.25E-2</v>
          </cell>
          <cell r="EK35">
            <v>6.25E-2</v>
          </cell>
          <cell r="EL35">
            <v>6.25E-2</v>
          </cell>
          <cell r="EM35">
            <v>6.25E-2</v>
          </cell>
          <cell r="EN35">
            <v>6.25E-2</v>
          </cell>
          <cell r="EO35">
            <v>6.25E-2</v>
          </cell>
          <cell r="EP35">
            <v>6.25E-2</v>
          </cell>
          <cell r="EQ35">
            <v>6.25E-2</v>
          </cell>
          <cell r="ER35">
            <v>6.25E-2</v>
          </cell>
          <cell r="ES35">
            <v>6.25E-2</v>
          </cell>
          <cell r="EU35">
            <v>0.1</v>
          </cell>
          <cell r="EV35">
            <v>0.11</v>
          </cell>
          <cell r="EW35">
            <v>0.11</v>
          </cell>
          <cell r="EX35">
            <v>0.11</v>
          </cell>
          <cell r="EY35">
            <v>0.11</v>
          </cell>
          <cell r="EZ35">
            <v>0.11</v>
          </cell>
          <cell r="FA35">
            <v>0.11</v>
          </cell>
          <cell r="FB35">
            <v>0.11</v>
          </cell>
          <cell r="FC35">
            <v>0.11</v>
          </cell>
          <cell r="FD35">
            <v>0.11</v>
          </cell>
          <cell r="FE35">
            <v>0.11</v>
          </cell>
          <cell r="FF35">
            <v>0.11</v>
          </cell>
          <cell r="FG35">
            <v>0.11</v>
          </cell>
        </row>
        <row r="36">
          <cell r="D36"/>
          <cell r="G36">
            <v>0.05</v>
          </cell>
          <cell r="H36">
            <v>0.05</v>
          </cell>
          <cell r="I36">
            <v>0.05</v>
          </cell>
          <cell r="J36">
            <v>0.05</v>
          </cell>
          <cell r="K36">
            <v>0.05</v>
          </cell>
          <cell r="L36">
            <v>0.05</v>
          </cell>
          <cell r="M36">
            <v>0.05</v>
          </cell>
          <cell r="N36">
            <v>0.05</v>
          </cell>
          <cell r="O36">
            <v>0.05</v>
          </cell>
          <cell r="P36">
            <v>0.05</v>
          </cell>
          <cell r="Q36">
            <v>0.05</v>
          </cell>
          <cell r="R36">
            <v>0.05</v>
          </cell>
          <cell r="U36">
            <v>0.5</v>
          </cell>
          <cell r="V36">
            <v>0</v>
          </cell>
          <cell r="W36">
            <v>0.5</v>
          </cell>
          <cell r="X36">
            <v>0.5</v>
          </cell>
          <cell r="Y36">
            <v>0</v>
          </cell>
          <cell r="Z36">
            <v>0.5</v>
          </cell>
          <cell r="AA36">
            <v>0.5</v>
          </cell>
          <cell r="AB36">
            <v>0</v>
          </cell>
          <cell r="AC36">
            <v>0.5</v>
          </cell>
          <cell r="AD36">
            <v>0.5</v>
          </cell>
          <cell r="AE36">
            <v>0</v>
          </cell>
          <cell r="AF36">
            <v>0.5</v>
          </cell>
          <cell r="AG36">
            <v>0.5</v>
          </cell>
          <cell r="AH36">
            <v>0</v>
          </cell>
          <cell r="AI36">
            <v>0.5</v>
          </cell>
          <cell r="AJ36">
            <v>0.5</v>
          </cell>
          <cell r="AK36">
            <v>0</v>
          </cell>
          <cell r="AL36">
            <v>0.5</v>
          </cell>
          <cell r="AM36">
            <v>0.5</v>
          </cell>
          <cell r="AN36">
            <v>0</v>
          </cell>
          <cell r="AO36">
            <v>0.5</v>
          </cell>
          <cell r="AP36">
            <v>0.5</v>
          </cell>
          <cell r="AQ36">
            <v>0</v>
          </cell>
          <cell r="AR36">
            <v>0.5</v>
          </cell>
          <cell r="AS36">
            <v>0.5</v>
          </cell>
          <cell r="AT36">
            <v>0</v>
          </cell>
          <cell r="AU36">
            <v>0.5</v>
          </cell>
          <cell r="AV36">
            <v>0.5</v>
          </cell>
          <cell r="AW36">
            <v>0</v>
          </cell>
          <cell r="AX36">
            <v>0.5</v>
          </cell>
          <cell r="AY36">
            <v>0.5</v>
          </cell>
          <cell r="AZ36">
            <v>0</v>
          </cell>
          <cell r="BA36">
            <v>0.5</v>
          </cell>
          <cell r="BB36">
            <v>0.5</v>
          </cell>
          <cell r="BC36">
            <v>0</v>
          </cell>
          <cell r="BD36">
            <v>0.5</v>
          </cell>
          <cell r="BG36">
            <v>7.9999999999999988E-2</v>
          </cell>
          <cell r="BH36">
            <v>9.9999999999999992E-2</v>
          </cell>
          <cell r="BI36">
            <v>0.12000000000000001</v>
          </cell>
          <cell r="BJ36">
            <v>7.9999999999999988E-2</v>
          </cell>
          <cell r="BK36">
            <v>9.9999999999999992E-2</v>
          </cell>
          <cell r="BL36">
            <v>0.14000000000000001</v>
          </cell>
          <cell r="BM36">
            <v>7.9999999999999988E-2</v>
          </cell>
          <cell r="BN36">
            <v>9.9999999999999992E-2</v>
          </cell>
          <cell r="BO36">
            <v>0.14000000000000001</v>
          </cell>
          <cell r="BP36">
            <v>7.9999999999999988E-2</v>
          </cell>
          <cell r="BQ36">
            <v>9.9999999999999992E-2</v>
          </cell>
          <cell r="BR36">
            <v>0.14000000000000001</v>
          </cell>
          <cell r="BS36">
            <v>7.9999999999999988E-2</v>
          </cell>
          <cell r="BT36">
            <v>9.9999999999999992E-2</v>
          </cell>
          <cell r="BU36">
            <v>0.14000000000000001</v>
          </cell>
          <cell r="BV36">
            <v>7.9999999999999988E-2</v>
          </cell>
          <cell r="BW36">
            <v>9.9999999999999992E-2</v>
          </cell>
          <cell r="BX36">
            <v>0.14000000000000001</v>
          </cell>
          <cell r="BY36">
            <v>7.9999999999999988E-2</v>
          </cell>
          <cell r="BZ36">
            <v>9.9999999999999992E-2</v>
          </cell>
          <cell r="CA36">
            <v>0.14000000000000001</v>
          </cell>
          <cell r="CB36">
            <v>7.9999999999999988E-2</v>
          </cell>
          <cell r="CC36">
            <v>9.9999999999999992E-2</v>
          </cell>
          <cell r="CD36">
            <v>0.14000000000000001</v>
          </cell>
          <cell r="CE36">
            <v>7.9999999999999988E-2</v>
          </cell>
          <cell r="CF36">
            <v>9.9999999999999992E-2</v>
          </cell>
          <cell r="CG36">
            <v>0.14000000000000001</v>
          </cell>
          <cell r="CH36">
            <v>7.9999999999999988E-2</v>
          </cell>
          <cell r="CI36">
            <v>9.9999999999999992E-2</v>
          </cell>
          <cell r="CJ36">
            <v>0.14000000000000001</v>
          </cell>
          <cell r="CK36">
            <v>7.9999999999999988E-2</v>
          </cell>
          <cell r="CL36">
            <v>9.9999999999999992E-2</v>
          </cell>
          <cell r="CM36">
            <v>0.14000000000000001</v>
          </cell>
          <cell r="CN36">
            <v>7.9999999999999988E-2</v>
          </cell>
          <cell r="CO36">
            <v>9.9999999999999992E-2</v>
          </cell>
          <cell r="CP36">
            <v>0.14000000000000001</v>
          </cell>
          <cell r="CQ36">
            <v>7.9999999999999988E-2</v>
          </cell>
          <cell r="CR36">
            <v>9.9999999999999992E-2</v>
          </cell>
          <cell r="CS36">
            <v>0.14000000000000001</v>
          </cell>
          <cell r="CV36">
            <v>5.5E-2</v>
          </cell>
          <cell r="CW36">
            <v>4.4999999999999998E-2</v>
          </cell>
          <cell r="CX36">
            <v>0.03</v>
          </cell>
          <cell r="CY36">
            <v>5.5E-2</v>
          </cell>
          <cell r="CZ36">
            <v>4.4999999999999998E-2</v>
          </cell>
          <cell r="DA36">
            <v>0.03</v>
          </cell>
          <cell r="DB36">
            <v>5.5E-2</v>
          </cell>
          <cell r="DC36">
            <v>4.4999999999999998E-2</v>
          </cell>
          <cell r="DD36">
            <v>0.03</v>
          </cell>
          <cell r="DE36">
            <v>5.5E-2</v>
          </cell>
          <cell r="DF36">
            <v>4.4999999999999998E-2</v>
          </cell>
          <cell r="DG36">
            <v>0.03</v>
          </cell>
          <cell r="DH36">
            <v>5.5E-2</v>
          </cell>
          <cell r="DI36">
            <v>4.4999999999999998E-2</v>
          </cell>
          <cell r="DJ36">
            <v>0.03</v>
          </cell>
          <cell r="DK36">
            <v>5.5E-2</v>
          </cell>
          <cell r="DL36">
            <v>4.4999999999999998E-2</v>
          </cell>
          <cell r="DM36">
            <v>0.03</v>
          </cell>
          <cell r="DN36">
            <v>5.5E-2</v>
          </cell>
          <cell r="DO36">
            <v>4.4999999999999998E-2</v>
          </cell>
          <cell r="DP36">
            <v>0.03</v>
          </cell>
          <cell r="DQ36">
            <v>5.5E-2</v>
          </cell>
          <cell r="DR36">
            <v>4.4999999999999998E-2</v>
          </cell>
          <cell r="DS36">
            <v>0.03</v>
          </cell>
          <cell r="DT36">
            <v>5.5E-2</v>
          </cell>
          <cell r="DU36">
            <v>4.4999999999999998E-2</v>
          </cell>
          <cell r="DV36">
            <v>0.03</v>
          </cell>
          <cell r="DW36">
            <v>5.5E-2</v>
          </cell>
          <cell r="DX36">
            <v>4.4999999999999998E-2</v>
          </cell>
          <cell r="DY36">
            <v>0.03</v>
          </cell>
          <cell r="DZ36">
            <v>5.5E-2</v>
          </cell>
          <cell r="EA36">
            <v>4.4999999999999998E-2</v>
          </cell>
          <cell r="EB36">
            <v>0.03</v>
          </cell>
          <cell r="EC36">
            <v>5.5E-2</v>
          </cell>
          <cell r="ED36">
            <v>4.4999999999999998E-2</v>
          </cell>
          <cell r="EE36">
            <v>0.03</v>
          </cell>
          <cell r="EG36">
            <v>5.2500000000000005E-2</v>
          </cell>
          <cell r="EH36">
            <v>6.25E-2</v>
          </cell>
          <cell r="EI36">
            <v>6.25E-2</v>
          </cell>
          <cell r="EJ36">
            <v>6.25E-2</v>
          </cell>
          <cell r="EK36">
            <v>6.25E-2</v>
          </cell>
          <cell r="EL36">
            <v>6.25E-2</v>
          </cell>
          <cell r="EM36">
            <v>6.25E-2</v>
          </cell>
          <cell r="EN36">
            <v>6.25E-2</v>
          </cell>
          <cell r="EO36">
            <v>6.25E-2</v>
          </cell>
          <cell r="EP36">
            <v>6.25E-2</v>
          </cell>
          <cell r="EQ36">
            <v>6.25E-2</v>
          </cell>
          <cell r="ER36">
            <v>6.25E-2</v>
          </cell>
          <cell r="ES36">
            <v>6.25E-2</v>
          </cell>
          <cell r="EU36">
            <v>0.1</v>
          </cell>
          <cell r="EV36">
            <v>0.11</v>
          </cell>
          <cell r="EW36">
            <v>0.11</v>
          </cell>
          <cell r="EX36">
            <v>0.11</v>
          </cell>
          <cell r="EY36">
            <v>0.11</v>
          </cell>
          <cell r="EZ36">
            <v>0.11</v>
          </cell>
          <cell r="FA36">
            <v>0.11</v>
          </cell>
          <cell r="FB36">
            <v>0.11</v>
          </cell>
          <cell r="FC36">
            <v>0.11</v>
          </cell>
          <cell r="FD36">
            <v>0.11</v>
          </cell>
          <cell r="FE36">
            <v>0.11</v>
          </cell>
          <cell r="FF36">
            <v>0.11</v>
          </cell>
          <cell r="FG36">
            <v>0.11</v>
          </cell>
        </row>
        <row r="37">
          <cell r="C37" t="str">
            <v>New 3008 GT BEV</v>
          </cell>
          <cell r="D37" t="str">
            <v>3008 GT Electric</v>
          </cell>
          <cell r="G37">
            <v>0.05</v>
          </cell>
          <cell r="H37">
            <v>0.05</v>
          </cell>
          <cell r="I37">
            <v>0.05</v>
          </cell>
          <cell r="J37">
            <v>0.05</v>
          </cell>
          <cell r="K37">
            <v>0.05</v>
          </cell>
          <cell r="L37">
            <v>0.05</v>
          </cell>
          <cell r="M37">
            <v>0.05</v>
          </cell>
          <cell r="N37">
            <v>0.05</v>
          </cell>
          <cell r="O37">
            <v>0.05</v>
          </cell>
          <cell r="P37">
            <v>0.05</v>
          </cell>
          <cell r="Q37">
            <v>0.05</v>
          </cell>
          <cell r="R37">
            <v>0.05</v>
          </cell>
          <cell r="U37">
            <v>0.5</v>
          </cell>
          <cell r="V37">
            <v>0</v>
          </cell>
          <cell r="W37">
            <v>0.5</v>
          </cell>
          <cell r="X37">
            <v>0.5</v>
          </cell>
          <cell r="Y37">
            <v>0</v>
          </cell>
          <cell r="Z37">
            <v>0.5</v>
          </cell>
          <cell r="AA37">
            <v>0.5</v>
          </cell>
          <cell r="AB37">
            <v>0</v>
          </cell>
          <cell r="AC37">
            <v>0.5</v>
          </cell>
          <cell r="AD37">
            <v>0.5</v>
          </cell>
          <cell r="AE37">
            <v>0</v>
          </cell>
          <cell r="AF37">
            <v>0.5</v>
          </cell>
          <cell r="AG37">
            <v>0.5</v>
          </cell>
          <cell r="AH37">
            <v>0</v>
          </cell>
          <cell r="AI37">
            <v>0.5</v>
          </cell>
          <cell r="AJ37">
            <v>0.5</v>
          </cell>
          <cell r="AK37">
            <v>0</v>
          </cell>
          <cell r="AL37">
            <v>0.5</v>
          </cell>
          <cell r="AM37">
            <v>0.5</v>
          </cell>
          <cell r="AN37">
            <v>0</v>
          </cell>
          <cell r="AO37">
            <v>0.5</v>
          </cell>
          <cell r="AP37">
            <v>0.5</v>
          </cell>
          <cell r="AQ37">
            <v>0</v>
          </cell>
          <cell r="AR37">
            <v>0.5</v>
          </cell>
          <cell r="AS37">
            <v>0.5</v>
          </cell>
          <cell r="AT37">
            <v>0</v>
          </cell>
          <cell r="AU37">
            <v>0.5</v>
          </cell>
          <cell r="AV37">
            <v>0.5</v>
          </cell>
          <cell r="AW37">
            <v>0</v>
          </cell>
          <cell r="AX37">
            <v>0.5</v>
          </cell>
          <cell r="AY37">
            <v>0.5</v>
          </cell>
          <cell r="AZ37">
            <v>0</v>
          </cell>
          <cell r="BA37">
            <v>0.5</v>
          </cell>
          <cell r="BB37">
            <v>0.5</v>
          </cell>
          <cell r="BC37">
            <v>0</v>
          </cell>
          <cell r="BD37">
            <v>0.5</v>
          </cell>
          <cell r="BG37">
            <v>5.9999999999999984E-2</v>
          </cell>
          <cell r="BH37">
            <v>7.9999999999999988E-2</v>
          </cell>
          <cell r="BI37">
            <v>9.9999999999999992E-2</v>
          </cell>
          <cell r="BJ37">
            <v>5.9999999999999984E-2</v>
          </cell>
          <cell r="BK37">
            <v>7.9999999999999988E-2</v>
          </cell>
          <cell r="BL37">
            <v>0.14000000000000001</v>
          </cell>
          <cell r="BM37">
            <v>5.9999999999999984E-2</v>
          </cell>
          <cell r="BN37">
            <v>7.9999999999999988E-2</v>
          </cell>
          <cell r="BO37">
            <v>0.14000000000000001</v>
          </cell>
          <cell r="BP37">
            <v>5.9999999999999984E-2</v>
          </cell>
          <cell r="BQ37">
            <v>7.9999999999999988E-2</v>
          </cell>
          <cell r="BR37">
            <v>0.14000000000000001</v>
          </cell>
          <cell r="BS37">
            <v>5.9999999999999984E-2</v>
          </cell>
          <cell r="BT37">
            <v>7.9999999999999988E-2</v>
          </cell>
          <cell r="BU37">
            <v>0.14000000000000001</v>
          </cell>
          <cell r="BV37">
            <v>5.9999999999999984E-2</v>
          </cell>
          <cell r="BW37">
            <v>7.9999999999999988E-2</v>
          </cell>
          <cell r="BX37">
            <v>0.14000000000000001</v>
          </cell>
          <cell r="BY37">
            <v>5.9999999999999984E-2</v>
          </cell>
          <cell r="BZ37">
            <v>7.9999999999999988E-2</v>
          </cell>
          <cell r="CA37">
            <v>0.14000000000000001</v>
          </cell>
          <cell r="CB37">
            <v>5.9999999999999984E-2</v>
          </cell>
          <cell r="CC37">
            <v>7.9999999999999988E-2</v>
          </cell>
          <cell r="CD37">
            <v>0.14000000000000001</v>
          </cell>
          <cell r="CE37">
            <v>5.9999999999999984E-2</v>
          </cell>
          <cell r="CF37">
            <v>7.9999999999999988E-2</v>
          </cell>
          <cell r="CG37">
            <v>0.14000000000000001</v>
          </cell>
          <cell r="CH37">
            <v>5.9999999999999984E-2</v>
          </cell>
          <cell r="CI37">
            <v>7.9999999999999988E-2</v>
          </cell>
          <cell r="CJ37">
            <v>0.14000000000000001</v>
          </cell>
          <cell r="CK37">
            <v>5.9999999999999984E-2</v>
          </cell>
          <cell r="CL37">
            <v>7.9999999999999988E-2</v>
          </cell>
          <cell r="CM37">
            <v>0.14000000000000001</v>
          </cell>
          <cell r="CN37">
            <v>5.9999999999999984E-2</v>
          </cell>
          <cell r="CO37">
            <v>7.9999999999999988E-2</v>
          </cell>
          <cell r="CP37">
            <v>0.14000000000000001</v>
          </cell>
          <cell r="CQ37">
            <v>5.9999999999999984E-2</v>
          </cell>
          <cell r="CR37">
            <v>7.9999999999999988E-2</v>
          </cell>
          <cell r="CS37">
            <v>0.14000000000000001</v>
          </cell>
          <cell r="CV37">
            <v>5.5E-2</v>
          </cell>
          <cell r="CW37">
            <v>4.4999999999999998E-2</v>
          </cell>
          <cell r="CX37">
            <v>0.04</v>
          </cell>
          <cell r="CY37">
            <v>5.5E-2</v>
          </cell>
          <cell r="CZ37">
            <v>4.4999999999999998E-2</v>
          </cell>
          <cell r="DA37">
            <v>0.04</v>
          </cell>
          <cell r="DB37">
            <v>5.5E-2</v>
          </cell>
          <cell r="DC37">
            <v>4.4999999999999998E-2</v>
          </cell>
          <cell r="DD37">
            <v>0.04</v>
          </cell>
          <cell r="DE37">
            <v>5.5E-2</v>
          </cell>
          <cell r="DF37">
            <v>4.4999999999999998E-2</v>
          </cell>
          <cell r="DG37">
            <v>0.04</v>
          </cell>
          <cell r="DH37">
            <v>5.5E-2</v>
          </cell>
          <cell r="DI37">
            <v>4.4999999999999998E-2</v>
          </cell>
          <cell r="DJ37">
            <v>0.04</v>
          </cell>
          <cell r="DK37">
            <v>5.5E-2</v>
          </cell>
          <cell r="DL37">
            <v>4.4999999999999998E-2</v>
          </cell>
          <cell r="DM37">
            <v>0.04</v>
          </cell>
          <cell r="DN37">
            <v>5.5E-2</v>
          </cell>
          <cell r="DO37">
            <v>4.4999999999999998E-2</v>
          </cell>
          <cell r="DP37">
            <v>0.04</v>
          </cell>
          <cell r="DQ37">
            <v>5.5E-2</v>
          </cell>
          <cell r="DR37">
            <v>4.4999999999999998E-2</v>
          </cell>
          <cell r="DS37">
            <v>0.04</v>
          </cell>
          <cell r="DT37">
            <v>5.5E-2</v>
          </cell>
          <cell r="DU37">
            <v>4.4999999999999998E-2</v>
          </cell>
          <cell r="DV37">
            <v>0.04</v>
          </cell>
          <cell r="DW37">
            <v>5.5E-2</v>
          </cell>
          <cell r="DX37">
            <v>4.4999999999999998E-2</v>
          </cell>
          <cell r="DY37">
            <v>0.04</v>
          </cell>
          <cell r="DZ37">
            <v>5.5E-2</v>
          </cell>
          <cell r="EA37">
            <v>4.4999999999999998E-2</v>
          </cell>
          <cell r="EB37">
            <v>0.04</v>
          </cell>
          <cell r="EC37">
            <v>5.5E-2</v>
          </cell>
          <cell r="ED37">
            <v>4.4999999999999998E-2</v>
          </cell>
          <cell r="EE37">
            <v>0.04</v>
          </cell>
          <cell r="EG37">
            <v>3.7499999999999992E-2</v>
          </cell>
          <cell r="EH37">
            <v>5.7500000000000009E-2</v>
          </cell>
          <cell r="EI37">
            <v>5.7500000000000009E-2</v>
          </cell>
          <cell r="EJ37">
            <v>5.7500000000000009E-2</v>
          </cell>
          <cell r="EK37">
            <v>5.7500000000000009E-2</v>
          </cell>
          <cell r="EL37">
            <v>5.7500000000000009E-2</v>
          </cell>
          <cell r="EM37">
            <v>5.7500000000000009E-2</v>
          </cell>
          <cell r="EN37">
            <v>5.7500000000000009E-2</v>
          </cell>
          <cell r="EO37">
            <v>5.7500000000000009E-2</v>
          </cell>
          <cell r="EP37">
            <v>5.7500000000000009E-2</v>
          </cell>
          <cell r="EQ37">
            <v>5.7500000000000009E-2</v>
          </cell>
          <cell r="ER37">
            <v>5.7500000000000009E-2</v>
          </cell>
          <cell r="ES37">
            <v>5.7500000000000009E-2</v>
          </cell>
          <cell r="EU37">
            <v>7.9999999999999988E-2</v>
          </cell>
          <cell r="EV37">
            <v>0.1</v>
          </cell>
          <cell r="EW37">
            <v>0.1</v>
          </cell>
          <cell r="EX37">
            <v>0.1</v>
          </cell>
          <cell r="EY37">
            <v>0.1</v>
          </cell>
          <cell r="EZ37">
            <v>0.1</v>
          </cell>
          <cell r="FA37">
            <v>0.1</v>
          </cell>
          <cell r="FB37">
            <v>0.1</v>
          </cell>
          <cell r="FC37">
            <v>0.1</v>
          </cell>
          <cell r="FD37">
            <v>0.1</v>
          </cell>
          <cell r="FE37">
            <v>0.1</v>
          </cell>
          <cell r="FF37">
            <v>0.1</v>
          </cell>
          <cell r="FG37">
            <v>0.1</v>
          </cell>
        </row>
        <row r="38">
          <cell r="D38"/>
          <cell r="G38">
            <v>0.05</v>
          </cell>
          <cell r="H38">
            <v>0.05</v>
          </cell>
          <cell r="I38">
            <v>0.05</v>
          </cell>
          <cell r="J38">
            <v>0.05</v>
          </cell>
          <cell r="K38">
            <v>0.05</v>
          </cell>
          <cell r="L38">
            <v>0.05</v>
          </cell>
          <cell r="M38">
            <v>0.05</v>
          </cell>
          <cell r="N38">
            <v>0.05</v>
          </cell>
          <cell r="O38">
            <v>0.05</v>
          </cell>
          <cell r="P38">
            <v>0.05</v>
          </cell>
          <cell r="Q38">
            <v>0.05</v>
          </cell>
          <cell r="R38">
            <v>0.05</v>
          </cell>
          <cell r="U38">
            <v>0.5</v>
          </cell>
          <cell r="V38">
            <v>0</v>
          </cell>
          <cell r="W38">
            <v>0.5</v>
          </cell>
          <cell r="X38">
            <v>0.5</v>
          </cell>
          <cell r="Y38">
            <v>0</v>
          </cell>
          <cell r="Z38">
            <v>0.5</v>
          </cell>
          <cell r="AA38">
            <v>0.5</v>
          </cell>
          <cell r="AB38">
            <v>0</v>
          </cell>
          <cell r="AC38">
            <v>0.5</v>
          </cell>
          <cell r="AD38">
            <v>0.5</v>
          </cell>
          <cell r="AE38">
            <v>0</v>
          </cell>
          <cell r="AF38">
            <v>0.5</v>
          </cell>
          <cell r="AG38">
            <v>0.5</v>
          </cell>
          <cell r="AH38">
            <v>0</v>
          </cell>
          <cell r="AI38">
            <v>0.5</v>
          </cell>
          <cell r="AJ38">
            <v>0.5</v>
          </cell>
          <cell r="AK38">
            <v>0</v>
          </cell>
          <cell r="AL38">
            <v>0.5</v>
          </cell>
          <cell r="AM38">
            <v>0.5</v>
          </cell>
          <cell r="AN38">
            <v>0</v>
          </cell>
          <cell r="AO38">
            <v>0.5</v>
          </cell>
          <cell r="AP38">
            <v>0.5</v>
          </cell>
          <cell r="AQ38">
            <v>0</v>
          </cell>
          <cell r="AR38">
            <v>0.5</v>
          </cell>
          <cell r="AS38">
            <v>0.5</v>
          </cell>
          <cell r="AT38">
            <v>0</v>
          </cell>
          <cell r="AU38">
            <v>0.5</v>
          </cell>
          <cell r="AV38">
            <v>0.5</v>
          </cell>
          <cell r="AW38">
            <v>0</v>
          </cell>
          <cell r="AX38">
            <v>0.5</v>
          </cell>
          <cell r="AY38">
            <v>0.5</v>
          </cell>
          <cell r="AZ38">
            <v>0</v>
          </cell>
          <cell r="BA38">
            <v>0.5</v>
          </cell>
          <cell r="BB38">
            <v>0.5</v>
          </cell>
          <cell r="BC38">
            <v>0</v>
          </cell>
          <cell r="BD38">
            <v>0.5</v>
          </cell>
          <cell r="BG38">
            <v>5.9999999999999984E-2</v>
          </cell>
          <cell r="BH38">
            <v>7.9999999999999988E-2</v>
          </cell>
          <cell r="BI38">
            <v>9.9999999999999992E-2</v>
          </cell>
          <cell r="BJ38">
            <v>5.9999999999999984E-2</v>
          </cell>
          <cell r="BK38">
            <v>7.9999999999999988E-2</v>
          </cell>
          <cell r="BL38">
            <v>0.14000000000000001</v>
          </cell>
          <cell r="BM38">
            <v>5.9999999999999984E-2</v>
          </cell>
          <cell r="BN38">
            <v>7.9999999999999988E-2</v>
          </cell>
          <cell r="BO38">
            <v>0.14000000000000001</v>
          </cell>
          <cell r="BP38">
            <v>5.9999999999999984E-2</v>
          </cell>
          <cell r="BQ38">
            <v>7.9999999999999988E-2</v>
          </cell>
          <cell r="BR38">
            <v>0.14000000000000001</v>
          </cell>
          <cell r="BS38">
            <v>5.9999999999999984E-2</v>
          </cell>
          <cell r="BT38">
            <v>7.9999999999999988E-2</v>
          </cell>
          <cell r="BU38">
            <v>0.14000000000000001</v>
          </cell>
          <cell r="BV38">
            <v>5.9999999999999984E-2</v>
          </cell>
          <cell r="BW38">
            <v>7.9999999999999988E-2</v>
          </cell>
          <cell r="BX38">
            <v>0.14000000000000001</v>
          </cell>
          <cell r="BY38">
            <v>5.9999999999999984E-2</v>
          </cell>
          <cell r="BZ38">
            <v>7.9999999999999988E-2</v>
          </cell>
          <cell r="CA38">
            <v>0.14000000000000001</v>
          </cell>
          <cell r="CB38">
            <v>5.9999999999999984E-2</v>
          </cell>
          <cell r="CC38">
            <v>7.9999999999999988E-2</v>
          </cell>
          <cell r="CD38">
            <v>0.14000000000000001</v>
          </cell>
          <cell r="CE38">
            <v>5.9999999999999984E-2</v>
          </cell>
          <cell r="CF38">
            <v>7.9999999999999988E-2</v>
          </cell>
          <cell r="CG38">
            <v>0.14000000000000001</v>
          </cell>
          <cell r="CH38">
            <v>5.9999999999999984E-2</v>
          </cell>
          <cell r="CI38">
            <v>7.9999999999999988E-2</v>
          </cell>
          <cell r="CJ38">
            <v>0.14000000000000001</v>
          </cell>
          <cell r="CK38">
            <v>5.9999999999999984E-2</v>
          </cell>
          <cell r="CL38">
            <v>7.9999999999999988E-2</v>
          </cell>
          <cell r="CM38">
            <v>0.14000000000000001</v>
          </cell>
          <cell r="CN38">
            <v>5.9999999999999984E-2</v>
          </cell>
          <cell r="CO38">
            <v>7.9999999999999988E-2</v>
          </cell>
          <cell r="CP38">
            <v>0.14000000000000001</v>
          </cell>
          <cell r="CQ38">
            <v>5.9999999999999984E-2</v>
          </cell>
          <cell r="CR38">
            <v>7.9999999999999988E-2</v>
          </cell>
          <cell r="CS38">
            <v>0.14000000000000001</v>
          </cell>
          <cell r="CV38">
            <v>5.5E-2</v>
          </cell>
          <cell r="CW38">
            <v>4.4999999999999998E-2</v>
          </cell>
          <cell r="CX38">
            <v>0.04</v>
          </cell>
          <cell r="CY38">
            <v>5.5E-2</v>
          </cell>
          <cell r="CZ38">
            <v>4.4999999999999998E-2</v>
          </cell>
          <cell r="DA38">
            <v>0.04</v>
          </cell>
          <cell r="DB38">
            <v>5.5E-2</v>
          </cell>
          <cell r="DC38">
            <v>4.4999999999999998E-2</v>
          </cell>
          <cell r="DD38">
            <v>0.04</v>
          </cell>
          <cell r="DE38">
            <v>5.5E-2</v>
          </cell>
          <cell r="DF38">
            <v>4.4999999999999998E-2</v>
          </cell>
          <cell r="DG38">
            <v>0.04</v>
          </cell>
          <cell r="DH38">
            <v>5.5E-2</v>
          </cell>
          <cell r="DI38">
            <v>4.4999999999999998E-2</v>
          </cell>
          <cell r="DJ38">
            <v>0.04</v>
          </cell>
          <cell r="DK38">
            <v>5.5E-2</v>
          </cell>
          <cell r="DL38">
            <v>4.4999999999999998E-2</v>
          </cell>
          <cell r="DM38">
            <v>0.04</v>
          </cell>
          <cell r="DN38">
            <v>5.5E-2</v>
          </cell>
          <cell r="DO38">
            <v>4.4999999999999998E-2</v>
          </cell>
          <cell r="DP38">
            <v>0.04</v>
          </cell>
          <cell r="DQ38">
            <v>5.5E-2</v>
          </cell>
          <cell r="DR38">
            <v>4.4999999999999998E-2</v>
          </cell>
          <cell r="DS38">
            <v>0.04</v>
          </cell>
          <cell r="DT38">
            <v>5.5E-2</v>
          </cell>
          <cell r="DU38">
            <v>4.4999999999999998E-2</v>
          </cell>
          <cell r="DV38">
            <v>0.04</v>
          </cell>
          <cell r="DW38">
            <v>5.5E-2</v>
          </cell>
          <cell r="DX38">
            <v>4.4999999999999998E-2</v>
          </cell>
          <cell r="DY38">
            <v>0.04</v>
          </cell>
          <cell r="DZ38">
            <v>5.5E-2</v>
          </cell>
          <cell r="EA38">
            <v>4.4999999999999998E-2</v>
          </cell>
          <cell r="EB38">
            <v>0.04</v>
          </cell>
          <cell r="EC38">
            <v>5.5E-2</v>
          </cell>
          <cell r="ED38">
            <v>4.4999999999999998E-2</v>
          </cell>
          <cell r="EE38">
            <v>0.04</v>
          </cell>
          <cell r="EG38">
            <v>3.7499999999999992E-2</v>
          </cell>
          <cell r="EH38">
            <v>5.7500000000000009E-2</v>
          </cell>
          <cell r="EI38">
            <v>5.7500000000000009E-2</v>
          </cell>
          <cell r="EJ38">
            <v>5.7500000000000009E-2</v>
          </cell>
          <cell r="EK38">
            <v>5.7500000000000009E-2</v>
          </cell>
          <cell r="EL38">
            <v>5.7500000000000009E-2</v>
          </cell>
          <cell r="EM38">
            <v>5.7500000000000009E-2</v>
          </cell>
          <cell r="EN38">
            <v>5.7500000000000009E-2</v>
          </cell>
          <cell r="EO38">
            <v>5.7500000000000009E-2</v>
          </cell>
          <cell r="EP38">
            <v>5.7500000000000009E-2</v>
          </cell>
          <cell r="EQ38">
            <v>5.7500000000000009E-2</v>
          </cell>
          <cell r="ER38">
            <v>5.7500000000000009E-2</v>
          </cell>
          <cell r="ES38">
            <v>5.7500000000000009E-2</v>
          </cell>
          <cell r="EU38">
            <v>7.9999999999999988E-2</v>
          </cell>
          <cell r="EV38">
            <v>0.1</v>
          </cell>
          <cell r="EW38">
            <v>0.1</v>
          </cell>
          <cell r="EX38">
            <v>0.1</v>
          </cell>
          <cell r="EY38">
            <v>0.1</v>
          </cell>
          <cell r="EZ38">
            <v>0.1</v>
          </cell>
          <cell r="FA38">
            <v>0.1</v>
          </cell>
          <cell r="FB38">
            <v>0.1</v>
          </cell>
          <cell r="FC38">
            <v>0.1</v>
          </cell>
          <cell r="FD38">
            <v>0.1</v>
          </cell>
          <cell r="FE38">
            <v>0.1</v>
          </cell>
          <cell r="FF38">
            <v>0.1</v>
          </cell>
          <cell r="FG38">
            <v>0.1</v>
          </cell>
        </row>
        <row r="39">
          <cell r="C39" t="str">
            <v>New 5008 Allure MHEV 136 EDCT6</v>
          </cell>
          <cell r="D39" t="str">
            <v>5008 Allure Hybrid 136hp AT</v>
          </cell>
          <cell r="G39">
            <v>0.05</v>
          </cell>
          <cell r="H39">
            <v>0.05</v>
          </cell>
          <cell r="I39">
            <v>0.05</v>
          </cell>
          <cell r="J39">
            <v>0.05</v>
          </cell>
          <cell r="K39">
            <v>0.05</v>
          </cell>
          <cell r="L39">
            <v>0.05</v>
          </cell>
          <cell r="M39">
            <v>0.05</v>
          </cell>
          <cell r="N39">
            <v>0.05</v>
          </cell>
          <cell r="O39">
            <v>0.05</v>
          </cell>
          <cell r="P39">
            <v>0.05</v>
          </cell>
          <cell r="Q39">
            <v>0.05</v>
          </cell>
          <cell r="R39">
            <v>0.05</v>
          </cell>
          <cell r="U39">
            <v>0.5</v>
          </cell>
          <cell r="V39">
            <v>0</v>
          </cell>
          <cell r="W39">
            <v>0.5</v>
          </cell>
          <cell r="X39">
            <v>0.5</v>
          </cell>
          <cell r="Y39">
            <v>0</v>
          </cell>
          <cell r="Z39">
            <v>0.5</v>
          </cell>
          <cell r="AA39">
            <v>0.5</v>
          </cell>
          <cell r="AB39">
            <v>0</v>
          </cell>
          <cell r="AC39">
            <v>0.5</v>
          </cell>
          <cell r="AD39">
            <v>0.5</v>
          </cell>
          <cell r="AE39">
            <v>0</v>
          </cell>
          <cell r="AF39">
            <v>0.5</v>
          </cell>
          <cell r="AG39">
            <v>0.5</v>
          </cell>
          <cell r="AH39">
            <v>0</v>
          </cell>
          <cell r="AI39">
            <v>0.5</v>
          </cell>
          <cell r="AJ39">
            <v>0.5</v>
          </cell>
          <cell r="AK39">
            <v>0</v>
          </cell>
          <cell r="AL39">
            <v>0.5</v>
          </cell>
          <cell r="AM39">
            <v>0.5</v>
          </cell>
          <cell r="AN39">
            <v>0</v>
          </cell>
          <cell r="AO39">
            <v>0.5</v>
          </cell>
          <cell r="AP39">
            <v>0.5</v>
          </cell>
          <cell r="AQ39">
            <v>0</v>
          </cell>
          <cell r="AR39">
            <v>0.5</v>
          </cell>
          <cell r="AS39">
            <v>0.5</v>
          </cell>
          <cell r="AT39">
            <v>0</v>
          </cell>
          <cell r="AU39">
            <v>0.5</v>
          </cell>
          <cell r="AV39">
            <v>0.5</v>
          </cell>
          <cell r="AW39">
            <v>0</v>
          </cell>
          <cell r="AX39">
            <v>0.5</v>
          </cell>
          <cell r="AY39">
            <v>0.5</v>
          </cell>
          <cell r="AZ39">
            <v>0</v>
          </cell>
          <cell r="BA39">
            <v>0.5</v>
          </cell>
          <cell r="BB39">
            <v>0.5</v>
          </cell>
          <cell r="BC39">
            <v>0</v>
          </cell>
          <cell r="BD39">
            <v>0.5</v>
          </cell>
          <cell r="BG39">
            <v>7.9999999999999988E-2</v>
          </cell>
          <cell r="BH39">
            <v>9.9999999999999992E-2</v>
          </cell>
          <cell r="BI39">
            <v>0.12000000000000001</v>
          </cell>
          <cell r="BJ39">
            <v>7.9999999999999988E-2</v>
          </cell>
          <cell r="BK39">
            <v>9.9999999999999992E-2</v>
          </cell>
          <cell r="BL39">
            <v>0.14000000000000001</v>
          </cell>
          <cell r="BM39">
            <v>7.9999999999999988E-2</v>
          </cell>
          <cell r="BN39">
            <v>9.9999999999999992E-2</v>
          </cell>
          <cell r="BO39">
            <v>0.14000000000000001</v>
          </cell>
          <cell r="BP39">
            <v>7.9999999999999988E-2</v>
          </cell>
          <cell r="BQ39">
            <v>9.9999999999999992E-2</v>
          </cell>
          <cell r="BR39">
            <v>0.14000000000000001</v>
          </cell>
          <cell r="BS39">
            <v>7.9999999999999988E-2</v>
          </cell>
          <cell r="BT39">
            <v>9.9999999999999992E-2</v>
          </cell>
          <cell r="BU39">
            <v>0.14000000000000001</v>
          </cell>
          <cell r="BV39">
            <v>7.9999999999999988E-2</v>
          </cell>
          <cell r="BW39">
            <v>9.9999999999999992E-2</v>
          </cell>
          <cell r="BX39">
            <v>0.14000000000000001</v>
          </cell>
          <cell r="BY39">
            <v>7.9999999999999988E-2</v>
          </cell>
          <cell r="BZ39">
            <v>9.9999999999999992E-2</v>
          </cell>
          <cell r="CA39">
            <v>0.14000000000000001</v>
          </cell>
          <cell r="CB39">
            <v>7.9999999999999988E-2</v>
          </cell>
          <cell r="CC39">
            <v>9.9999999999999992E-2</v>
          </cell>
          <cell r="CD39">
            <v>0.14000000000000001</v>
          </cell>
          <cell r="CE39">
            <v>7.9999999999999988E-2</v>
          </cell>
          <cell r="CF39">
            <v>9.9999999999999992E-2</v>
          </cell>
          <cell r="CG39">
            <v>0.14000000000000001</v>
          </cell>
          <cell r="CH39">
            <v>7.9999999999999988E-2</v>
          </cell>
          <cell r="CI39">
            <v>9.9999999999999992E-2</v>
          </cell>
          <cell r="CJ39">
            <v>0.14000000000000001</v>
          </cell>
          <cell r="CK39">
            <v>7.9999999999999988E-2</v>
          </cell>
          <cell r="CL39">
            <v>9.9999999999999992E-2</v>
          </cell>
          <cell r="CM39">
            <v>0.14000000000000001</v>
          </cell>
          <cell r="CN39">
            <v>7.9999999999999988E-2</v>
          </cell>
          <cell r="CO39">
            <v>9.9999999999999992E-2</v>
          </cell>
          <cell r="CP39">
            <v>0.14000000000000001</v>
          </cell>
          <cell r="CQ39">
            <v>7.9999999999999988E-2</v>
          </cell>
          <cell r="CR39">
            <v>9.9999999999999992E-2</v>
          </cell>
          <cell r="CS39">
            <v>0.14000000000000001</v>
          </cell>
          <cell r="CV39">
            <v>5.5E-2</v>
          </cell>
          <cell r="CW39">
            <v>4.4999999999999998E-2</v>
          </cell>
          <cell r="CX39">
            <v>0.03</v>
          </cell>
          <cell r="CY39">
            <v>5.5E-2</v>
          </cell>
          <cell r="CZ39">
            <v>4.4999999999999998E-2</v>
          </cell>
          <cell r="DA39">
            <v>0.03</v>
          </cell>
          <cell r="DB39">
            <v>5.5E-2</v>
          </cell>
          <cell r="DC39">
            <v>4.4999999999999998E-2</v>
          </cell>
          <cell r="DD39">
            <v>0.03</v>
          </cell>
          <cell r="DE39">
            <v>5.5E-2</v>
          </cell>
          <cell r="DF39">
            <v>4.4999999999999998E-2</v>
          </cell>
          <cell r="DG39">
            <v>0.03</v>
          </cell>
          <cell r="DH39">
            <v>5.5E-2</v>
          </cell>
          <cell r="DI39">
            <v>4.4999999999999998E-2</v>
          </cell>
          <cell r="DJ39">
            <v>0.03</v>
          </cell>
          <cell r="DK39">
            <v>5.5E-2</v>
          </cell>
          <cell r="DL39">
            <v>4.4999999999999998E-2</v>
          </cell>
          <cell r="DM39">
            <v>0.03</v>
          </cell>
          <cell r="DN39">
            <v>5.5E-2</v>
          </cell>
          <cell r="DO39">
            <v>4.4999999999999998E-2</v>
          </cell>
          <cell r="DP39">
            <v>0.03</v>
          </cell>
          <cell r="DQ39">
            <v>5.5E-2</v>
          </cell>
          <cell r="DR39">
            <v>4.4999999999999998E-2</v>
          </cell>
          <cell r="DS39">
            <v>0.03</v>
          </cell>
          <cell r="DT39">
            <v>5.5E-2</v>
          </cell>
          <cell r="DU39">
            <v>4.4999999999999998E-2</v>
          </cell>
          <cell r="DV39">
            <v>0.03</v>
          </cell>
          <cell r="DW39">
            <v>5.5E-2</v>
          </cell>
          <cell r="DX39">
            <v>4.4999999999999998E-2</v>
          </cell>
          <cell r="DY39">
            <v>0.03</v>
          </cell>
          <cell r="DZ39">
            <v>5.5E-2</v>
          </cell>
          <cell r="EA39">
            <v>4.4999999999999998E-2</v>
          </cell>
          <cell r="EB39">
            <v>0.03</v>
          </cell>
          <cell r="EC39">
            <v>5.5E-2</v>
          </cell>
          <cell r="ED39">
            <v>4.4999999999999998E-2</v>
          </cell>
          <cell r="EE39">
            <v>0.03</v>
          </cell>
          <cell r="EG39">
            <v>5.2500000000000005E-2</v>
          </cell>
          <cell r="EH39">
            <v>6.25E-2</v>
          </cell>
          <cell r="EI39">
            <v>6.25E-2</v>
          </cell>
          <cell r="EJ39">
            <v>6.25E-2</v>
          </cell>
          <cell r="EK39">
            <v>6.25E-2</v>
          </cell>
          <cell r="EL39">
            <v>6.25E-2</v>
          </cell>
          <cell r="EM39">
            <v>6.25E-2</v>
          </cell>
          <cell r="EN39">
            <v>6.25E-2</v>
          </cell>
          <cell r="EO39">
            <v>6.25E-2</v>
          </cell>
          <cell r="EP39">
            <v>6.25E-2</v>
          </cell>
          <cell r="EQ39">
            <v>6.25E-2</v>
          </cell>
          <cell r="ER39">
            <v>6.25E-2</v>
          </cell>
          <cell r="ES39">
            <v>6.25E-2</v>
          </cell>
          <cell r="EU39">
            <v>0.1</v>
          </cell>
          <cell r="EV39">
            <v>0.11</v>
          </cell>
          <cell r="EW39">
            <v>0.11</v>
          </cell>
          <cell r="EX39">
            <v>0.11</v>
          </cell>
          <cell r="EY39">
            <v>0.11</v>
          </cell>
          <cell r="EZ39">
            <v>0.11</v>
          </cell>
          <cell r="FA39">
            <v>0.11</v>
          </cell>
          <cell r="FB39">
            <v>0.11</v>
          </cell>
          <cell r="FC39">
            <v>0.11</v>
          </cell>
          <cell r="FD39">
            <v>0.11</v>
          </cell>
          <cell r="FE39">
            <v>0.11</v>
          </cell>
          <cell r="FF39">
            <v>0.11</v>
          </cell>
          <cell r="FG39">
            <v>0.11</v>
          </cell>
        </row>
        <row r="40">
          <cell r="C40" t="str">
            <v>New 5008 GT MHEV 136 EDCT6</v>
          </cell>
          <cell r="D40" t="str">
            <v>5008 GT Hybrid 136hp AT</v>
          </cell>
          <cell r="G40">
            <v>0.05</v>
          </cell>
          <cell r="H40">
            <v>0.05</v>
          </cell>
          <cell r="I40">
            <v>0.05</v>
          </cell>
          <cell r="J40">
            <v>0.05</v>
          </cell>
          <cell r="K40">
            <v>0.05</v>
          </cell>
          <cell r="L40">
            <v>0.05</v>
          </cell>
          <cell r="M40">
            <v>0.05</v>
          </cell>
          <cell r="N40">
            <v>0.05</v>
          </cell>
          <cell r="O40">
            <v>0.05</v>
          </cell>
          <cell r="P40">
            <v>0.05</v>
          </cell>
          <cell r="Q40">
            <v>0.05</v>
          </cell>
          <cell r="R40">
            <v>0.05</v>
          </cell>
          <cell r="U40">
            <v>0.5</v>
          </cell>
          <cell r="V40">
            <v>0</v>
          </cell>
          <cell r="W40">
            <v>0.5</v>
          </cell>
          <cell r="X40">
            <v>0.5</v>
          </cell>
          <cell r="Y40">
            <v>0</v>
          </cell>
          <cell r="Z40">
            <v>0.5</v>
          </cell>
          <cell r="AA40">
            <v>0.5</v>
          </cell>
          <cell r="AB40">
            <v>0</v>
          </cell>
          <cell r="AC40">
            <v>0.5</v>
          </cell>
          <cell r="AD40">
            <v>0.5</v>
          </cell>
          <cell r="AE40">
            <v>0</v>
          </cell>
          <cell r="AF40">
            <v>0.5</v>
          </cell>
          <cell r="AG40">
            <v>0.5</v>
          </cell>
          <cell r="AH40">
            <v>0</v>
          </cell>
          <cell r="AI40">
            <v>0.5</v>
          </cell>
          <cell r="AJ40">
            <v>0.5</v>
          </cell>
          <cell r="AK40">
            <v>0</v>
          </cell>
          <cell r="AL40">
            <v>0.5</v>
          </cell>
          <cell r="AM40">
            <v>0.5</v>
          </cell>
          <cell r="AN40">
            <v>0</v>
          </cell>
          <cell r="AO40">
            <v>0.5</v>
          </cell>
          <cell r="AP40">
            <v>0.5</v>
          </cell>
          <cell r="AQ40">
            <v>0</v>
          </cell>
          <cell r="AR40">
            <v>0.5</v>
          </cell>
          <cell r="AS40">
            <v>0.5</v>
          </cell>
          <cell r="AT40">
            <v>0</v>
          </cell>
          <cell r="AU40">
            <v>0.5</v>
          </cell>
          <cell r="AV40">
            <v>0.5</v>
          </cell>
          <cell r="AW40">
            <v>0</v>
          </cell>
          <cell r="AX40">
            <v>0.5</v>
          </cell>
          <cell r="AY40">
            <v>0.5</v>
          </cell>
          <cell r="AZ40">
            <v>0</v>
          </cell>
          <cell r="BA40">
            <v>0.5</v>
          </cell>
          <cell r="BB40">
            <v>0.5</v>
          </cell>
          <cell r="BC40">
            <v>0</v>
          </cell>
          <cell r="BD40">
            <v>0.5</v>
          </cell>
          <cell r="BG40">
            <v>7.9999999999999988E-2</v>
          </cell>
          <cell r="BH40">
            <v>9.9999999999999992E-2</v>
          </cell>
          <cell r="BI40">
            <v>0.12000000000000001</v>
          </cell>
          <cell r="BJ40">
            <v>7.9999999999999988E-2</v>
          </cell>
          <cell r="BK40">
            <v>9.9999999999999992E-2</v>
          </cell>
          <cell r="BL40">
            <v>0.14000000000000001</v>
          </cell>
          <cell r="BM40">
            <v>7.9999999999999988E-2</v>
          </cell>
          <cell r="BN40">
            <v>9.9999999999999992E-2</v>
          </cell>
          <cell r="BO40">
            <v>0.14000000000000001</v>
          </cell>
          <cell r="BP40">
            <v>7.9999999999999988E-2</v>
          </cell>
          <cell r="BQ40">
            <v>9.9999999999999992E-2</v>
          </cell>
          <cell r="BR40">
            <v>0.14000000000000001</v>
          </cell>
          <cell r="BS40">
            <v>7.9999999999999988E-2</v>
          </cell>
          <cell r="BT40">
            <v>9.9999999999999992E-2</v>
          </cell>
          <cell r="BU40">
            <v>0.14000000000000001</v>
          </cell>
          <cell r="BV40">
            <v>7.9999999999999988E-2</v>
          </cell>
          <cell r="BW40">
            <v>9.9999999999999992E-2</v>
          </cell>
          <cell r="BX40">
            <v>0.14000000000000001</v>
          </cell>
          <cell r="BY40">
            <v>7.9999999999999988E-2</v>
          </cell>
          <cell r="BZ40">
            <v>9.9999999999999992E-2</v>
          </cell>
          <cell r="CA40">
            <v>0.14000000000000001</v>
          </cell>
          <cell r="CB40">
            <v>7.9999999999999988E-2</v>
          </cell>
          <cell r="CC40">
            <v>9.9999999999999992E-2</v>
          </cell>
          <cell r="CD40">
            <v>0.14000000000000001</v>
          </cell>
          <cell r="CE40">
            <v>7.9999999999999988E-2</v>
          </cell>
          <cell r="CF40">
            <v>9.9999999999999992E-2</v>
          </cell>
          <cell r="CG40">
            <v>0.14000000000000001</v>
          </cell>
          <cell r="CH40">
            <v>7.9999999999999988E-2</v>
          </cell>
          <cell r="CI40">
            <v>9.9999999999999992E-2</v>
          </cell>
          <cell r="CJ40">
            <v>0.14000000000000001</v>
          </cell>
          <cell r="CK40">
            <v>7.9999999999999988E-2</v>
          </cell>
          <cell r="CL40">
            <v>9.9999999999999992E-2</v>
          </cell>
          <cell r="CM40">
            <v>0.14000000000000001</v>
          </cell>
          <cell r="CN40">
            <v>7.9999999999999988E-2</v>
          </cell>
          <cell r="CO40">
            <v>9.9999999999999992E-2</v>
          </cell>
          <cell r="CP40">
            <v>0.14000000000000001</v>
          </cell>
          <cell r="CQ40">
            <v>7.9999999999999988E-2</v>
          </cell>
          <cell r="CR40">
            <v>9.9999999999999992E-2</v>
          </cell>
          <cell r="CS40">
            <v>0.14000000000000001</v>
          </cell>
          <cell r="CV40">
            <v>5.5E-2</v>
          </cell>
          <cell r="CW40">
            <v>4.4999999999999998E-2</v>
          </cell>
          <cell r="CX40">
            <v>0.03</v>
          </cell>
          <cell r="CY40">
            <v>5.5E-2</v>
          </cell>
          <cell r="CZ40">
            <v>4.4999999999999998E-2</v>
          </cell>
          <cell r="DA40">
            <v>0.03</v>
          </cell>
          <cell r="DB40">
            <v>5.5E-2</v>
          </cell>
          <cell r="DC40">
            <v>4.4999999999999998E-2</v>
          </cell>
          <cell r="DD40">
            <v>0.03</v>
          </cell>
          <cell r="DE40">
            <v>5.5E-2</v>
          </cell>
          <cell r="DF40">
            <v>4.4999999999999998E-2</v>
          </cell>
          <cell r="DG40">
            <v>0.03</v>
          </cell>
          <cell r="DH40">
            <v>5.5E-2</v>
          </cell>
          <cell r="DI40">
            <v>4.4999999999999998E-2</v>
          </cell>
          <cell r="DJ40">
            <v>0.03</v>
          </cell>
          <cell r="DK40">
            <v>5.5E-2</v>
          </cell>
          <cell r="DL40">
            <v>4.4999999999999998E-2</v>
          </cell>
          <cell r="DM40">
            <v>0.03</v>
          </cell>
          <cell r="DN40">
            <v>5.5E-2</v>
          </cell>
          <cell r="DO40">
            <v>4.4999999999999998E-2</v>
          </cell>
          <cell r="DP40">
            <v>0.03</v>
          </cell>
          <cell r="DQ40">
            <v>5.5E-2</v>
          </cell>
          <cell r="DR40">
            <v>4.4999999999999998E-2</v>
          </cell>
          <cell r="DS40">
            <v>0.03</v>
          </cell>
          <cell r="DT40">
            <v>5.5E-2</v>
          </cell>
          <cell r="DU40">
            <v>4.4999999999999998E-2</v>
          </cell>
          <cell r="DV40">
            <v>0.03</v>
          </cell>
          <cell r="DW40">
            <v>5.5E-2</v>
          </cell>
          <cell r="DX40">
            <v>4.4999999999999998E-2</v>
          </cell>
          <cell r="DY40">
            <v>0.03</v>
          </cell>
          <cell r="DZ40">
            <v>5.5E-2</v>
          </cell>
          <cell r="EA40">
            <v>4.4999999999999998E-2</v>
          </cell>
          <cell r="EB40">
            <v>0.03</v>
          </cell>
          <cell r="EC40">
            <v>5.5E-2</v>
          </cell>
          <cell r="ED40">
            <v>4.4999999999999998E-2</v>
          </cell>
          <cell r="EE40">
            <v>0.03</v>
          </cell>
          <cell r="EG40">
            <v>5.2500000000000005E-2</v>
          </cell>
          <cell r="EH40">
            <v>6.25E-2</v>
          </cell>
          <cell r="EI40">
            <v>6.25E-2</v>
          </cell>
          <cell r="EJ40">
            <v>6.25E-2</v>
          </cell>
          <cell r="EK40">
            <v>6.25E-2</v>
          </cell>
          <cell r="EL40">
            <v>6.25E-2</v>
          </cell>
          <cell r="EM40">
            <v>6.25E-2</v>
          </cell>
          <cell r="EN40">
            <v>6.25E-2</v>
          </cell>
          <cell r="EO40">
            <v>6.25E-2</v>
          </cell>
          <cell r="EP40">
            <v>6.25E-2</v>
          </cell>
          <cell r="EQ40">
            <v>6.25E-2</v>
          </cell>
          <cell r="ER40">
            <v>6.25E-2</v>
          </cell>
          <cell r="ES40">
            <v>6.25E-2</v>
          </cell>
          <cell r="EU40">
            <v>0.1</v>
          </cell>
          <cell r="EV40">
            <v>0.11</v>
          </cell>
          <cell r="EW40">
            <v>0.11</v>
          </cell>
          <cell r="EX40">
            <v>0.11</v>
          </cell>
          <cell r="EY40">
            <v>0.11</v>
          </cell>
          <cell r="EZ40">
            <v>0.11</v>
          </cell>
          <cell r="FA40">
            <v>0.11</v>
          </cell>
          <cell r="FB40">
            <v>0.11</v>
          </cell>
          <cell r="FC40">
            <v>0.11</v>
          </cell>
          <cell r="FD40">
            <v>0.11</v>
          </cell>
          <cell r="FE40">
            <v>0.11</v>
          </cell>
          <cell r="FF40">
            <v>0.11</v>
          </cell>
          <cell r="FG40">
            <v>0.11</v>
          </cell>
        </row>
        <row r="41">
          <cell r="D41"/>
          <cell r="G41">
            <v>0.05</v>
          </cell>
          <cell r="H41">
            <v>0.05</v>
          </cell>
          <cell r="I41">
            <v>0.05</v>
          </cell>
          <cell r="J41">
            <v>0.05</v>
          </cell>
          <cell r="K41">
            <v>0.05</v>
          </cell>
          <cell r="L41">
            <v>0.05</v>
          </cell>
          <cell r="M41">
            <v>0.05</v>
          </cell>
          <cell r="N41">
            <v>0.05</v>
          </cell>
          <cell r="O41">
            <v>0.05</v>
          </cell>
          <cell r="P41">
            <v>0.05</v>
          </cell>
          <cell r="Q41">
            <v>0.05</v>
          </cell>
          <cell r="R41">
            <v>0.05</v>
          </cell>
          <cell r="U41">
            <v>0.5</v>
          </cell>
          <cell r="V41">
            <v>0</v>
          </cell>
          <cell r="W41">
            <v>0.5</v>
          </cell>
          <cell r="X41">
            <v>0.5</v>
          </cell>
          <cell r="Y41">
            <v>0</v>
          </cell>
          <cell r="Z41">
            <v>0.5</v>
          </cell>
          <cell r="AA41">
            <v>0.5</v>
          </cell>
          <cell r="AB41">
            <v>0</v>
          </cell>
          <cell r="AC41">
            <v>0.5</v>
          </cell>
          <cell r="AD41">
            <v>0.5</v>
          </cell>
          <cell r="AE41">
            <v>0</v>
          </cell>
          <cell r="AF41">
            <v>0.5</v>
          </cell>
          <cell r="AG41">
            <v>0.5</v>
          </cell>
          <cell r="AH41">
            <v>0</v>
          </cell>
          <cell r="AI41">
            <v>0.5</v>
          </cell>
          <cell r="AJ41">
            <v>0.5</v>
          </cell>
          <cell r="AK41">
            <v>0</v>
          </cell>
          <cell r="AL41">
            <v>0.5</v>
          </cell>
          <cell r="AM41">
            <v>0.5</v>
          </cell>
          <cell r="AN41">
            <v>0</v>
          </cell>
          <cell r="AO41">
            <v>0.5</v>
          </cell>
          <cell r="AP41">
            <v>0.5</v>
          </cell>
          <cell r="AQ41">
            <v>0</v>
          </cell>
          <cell r="AR41">
            <v>0.5</v>
          </cell>
          <cell r="AS41">
            <v>0.5</v>
          </cell>
          <cell r="AT41">
            <v>0</v>
          </cell>
          <cell r="AU41">
            <v>0.5</v>
          </cell>
          <cell r="AV41">
            <v>0.5</v>
          </cell>
          <cell r="AW41">
            <v>0</v>
          </cell>
          <cell r="AX41">
            <v>0.5</v>
          </cell>
          <cell r="AY41">
            <v>0.5</v>
          </cell>
          <cell r="AZ41">
            <v>0</v>
          </cell>
          <cell r="BA41">
            <v>0.5</v>
          </cell>
          <cell r="BB41">
            <v>0.5</v>
          </cell>
          <cell r="BC41">
            <v>0</v>
          </cell>
          <cell r="BD41">
            <v>0.5</v>
          </cell>
          <cell r="BG41">
            <v>7.9999999999999988E-2</v>
          </cell>
          <cell r="BH41">
            <v>9.9999999999999992E-2</v>
          </cell>
          <cell r="BI41">
            <v>0.12000000000000001</v>
          </cell>
          <cell r="BJ41">
            <v>7.9999999999999988E-2</v>
          </cell>
          <cell r="BK41">
            <v>9.9999999999999992E-2</v>
          </cell>
          <cell r="BL41">
            <v>0.14000000000000001</v>
          </cell>
          <cell r="BM41">
            <v>7.9999999999999988E-2</v>
          </cell>
          <cell r="BN41">
            <v>9.9999999999999992E-2</v>
          </cell>
          <cell r="BO41">
            <v>0.14000000000000001</v>
          </cell>
          <cell r="BP41">
            <v>7.9999999999999988E-2</v>
          </cell>
          <cell r="BQ41">
            <v>9.9999999999999992E-2</v>
          </cell>
          <cell r="BR41">
            <v>0.14000000000000001</v>
          </cell>
          <cell r="BS41">
            <v>7.9999999999999988E-2</v>
          </cell>
          <cell r="BT41">
            <v>9.9999999999999992E-2</v>
          </cell>
          <cell r="BU41">
            <v>0.14000000000000001</v>
          </cell>
          <cell r="BV41">
            <v>7.9999999999999988E-2</v>
          </cell>
          <cell r="BW41">
            <v>9.9999999999999992E-2</v>
          </cell>
          <cell r="BX41">
            <v>0.14000000000000001</v>
          </cell>
          <cell r="BY41">
            <v>7.9999999999999988E-2</v>
          </cell>
          <cell r="BZ41">
            <v>9.9999999999999992E-2</v>
          </cell>
          <cell r="CA41">
            <v>0.14000000000000001</v>
          </cell>
          <cell r="CB41">
            <v>7.9999999999999988E-2</v>
          </cell>
          <cell r="CC41">
            <v>9.9999999999999992E-2</v>
          </cell>
          <cell r="CD41">
            <v>0.14000000000000001</v>
          </cell>
          <cell r="CE41">
            <v>7.9999999999999988E-2</v>
          </cell>
          <cell r="CF41">
            <v>9.9999999999999992E-2</v>
          </cell>
          <cell r="CG41">
            <v>0.14000000000000001</v>
          </cell>
          <cell r="CH41">
            <v>7.9999999999999988E-2</v>
          </cell>
          <cell r="CI41">
            <v>9.9999999999999992E-2</v>
          </cell>
          <cell r="CJ41">
            <v>0.14000000000000001</v>
          </cell>
          <cell r="CK41">
            <v>7.9999999999999988E-2</v>
          </cell>
          <cell r="CL41">
            <v>9.9999999999999992E-2</v>
          </cell>
          <cell r="CM41">
            <v>0.14000000000000001</v>
          </cell>
          <cell r="CN41">
            <v>7.9999999999999988E-2</v>
          </cell>
          <cell r="CO41">
            <v>9.9999999999999992E-2</v>
          </cell>
          <cell r="CP41">
            <v>0.14000000000000001</v>
          </cell>
          <cell r="CQ41">
            <v>7.9999999999999988E-2</v>
          </cell>
          <cell r="CR41">
            <v>9.9999999999999992E-2</v>
          </cell>
          <cell r="CS41">
            <v>0.14000000000000001</v>
          </cell>
          <cell r="CV41">
            <v>5.5E-2</v>
          </cell>
          <cell r="CW41">
            <v>4.4999999999999998E-2</v>
          </cell>
          <cell r="CX41">
            <v>0.03</v>
          </cell>
          <cell r="CY41">
            <v>5.5E-2</v>
          </cell>
          <cell r="CZ41">
            <v>4.4999999999999998E-2</v>
          </cell>
          <cell r="DA41">
            <v>0.03</v>
          </cell>
          <cell r="DB41">
            <v>5.5E-2</v>
          </cell>
          <cell r="DC41">
            <v>4.4999999999999998E-2</v>
          </cell>
          <cell r="DD41">
            <v>0.03</v>
          </cell>
          <cell r="DE41">
            <v>5.5E-2</v>
          </cell>
          <cell r="DF41">
            <v>4.4999999999999998E-2</v>
          </cell>
          <cell r="DG41">
            <v>0.03</v>
          </cell>
          <cell r="DH41">
            <v>5.5E-2</v>
          </cell>
          <cell r="DI41">
            <v>4.4999999999999998E-2</v>
          </cell>
          <cell r="DJ41">
            <v>0.03</v>
          </cell>
          <cell r="DK41">
            <v>5.5E-2</v>
          </cell>
          <cell r="DL41">
            <v>4.4999999999999998E-2</v>
          </cell>
          <cell r="DM41">
            <v>0.03</v>
          </cell>
          <cell r="DN41">
            <v>5.5E-2</v>
          </cell>
          <cell r="DO41">
            <v>4.4999999999999998E-2</v>
          </cell>
          <cell r="DP41">
            <v>0.03</v>
          </cell>
          <cell r="DQ41">
            <v>5.5E-2</v>
          </cell>
          <cell r="DR41">
            <v>4.4999999999999998E-2</v>
          </cell>
          <cell r="DS41">
            <v>0.03</v>
          </cell>
          <cell r="DT41">
            <v>5.5E-2</v>
          </cell>
          <cell r="DU41">
            <v>4.4999999999999998E-2</v>
          </cell>
          <cell r="DV41">
            <v>0.03</v>
          </cell>
          <cell r="DW41">
            <v>5.5E-2</v>
          </cell>
          <cell r="DX41">
            <v>4.4999999999999998E-2</v>
          </cell>
          <cell r="DY41">
            <v>0.03</v>
          </cell>
          <cell r="DZ41">
            <v>5.5E-2</v>
          </cell>
          <cell r="EA41">
            <v>4.4999999999999998E-2</v>
          </cell>
          <cell r="EB41">
            <v>0.03</v>
          </cell>
          <cell r="EC41">
            <v>5.5E-2</v>
          </cell>
          <cell r="ED41">
            <v>4.4999999999999998E-2</v>
          </cell>
          <cell r="EE41">
            <v>0.03</v>
          </cell>
          <cell r="EG41">
            <v>5.2500000000000005E-2</v>
          </cell>
          <cell r="EH41">
            <v>6.25E-2</v>
          </cell>
          <cell r="EI41">
            <v>6.25E-2</v>
          </cell>
          <cell r="EJ41">
            <v>6.25E-2</v>
          </cell>
          <cell r="EK41">
            <v>6.25E-2</v>
          </cell>
          <cell r="EL41">
            <v>6.25E-2</v>
          </cell>
          <cell r="EM41">
            <v>6.25E-2</v>
          </cell>
          <cell r="EN41">
            <v>6.25E-2</v>
          </cell>
          <cell r="EO41">
            <v>6.25E-2</v>
          </cell>
          <cell r="EP41">
            <v>6.25E-2</v>
          </cell>
          <cell r="EQ41">
            <v>6.25E-2</v>
          </cell>
          <cell r="ER41">
            <v>6.25E-2</v>
          </cell>
          <cell r="ES41">
            <v>6.25E-2</v>
          </cell>
          <cell r="EU41">
            <v>0.1</v>
          </cell>
          <cell r="EV41">
            <v>0.11</v>
          </cell>
          <cell r="EW41">
            <v>0.11</v>
          </cell>
          <cell r="EX41">
            <v>0.11</v>
          </cell>
          <cell r="EY41">
            <v>0.11</v>
          </cell>
          <cell r="EZ41">
            <v>0.11</v>
          </cell>
          <cell r="FA41">
            <v>0.11</v>
          </cell>
          <cell r="FB41">
            <v>0.11</v>
          </cell>
          <cell r="FC41">
            <v>0.11</v>
          </cell>
          <cell r="FD41">
            <v>0.11</v>
          </cell>
          <cell r="FE41">
            <v>0.11</v>
          </cell>
          <cell r="FF41">
            <v>0.11</v>
          </cell>
          <cell r="FG41">
            <v>0.11</v>
          </cell>
        </row>
        <row r="42">
          <cell r="C42" t="str">
            <v>Rifter MCA Allure BlueHDi 100 5P</v>
          </cell>
          <cell r="D42" t="str">
            <v>Rifter MCA Allure Diesel 100hp MT 5P</v>
          </cell>
          <cell r="G42">
            <v>0.5</v>
          </cell>
          <cell r="H42">
            <v>0.5</v>
          </cell>
          <cell r="I42">
            <v>0.5</v>
          </cell>
          <cell r="J42">
            <v>0.5</v>
          </cell>
          <cell r="K42">
            <v>0.5</v>
          </cell>
          <cell r="L42">
            <v>0.5</v>
          </cell>
          <cell r="M42">
            <v>0.5</v>
          </cell>
          <cell r="N42">
            <v>0.5</v>
          </cell>
          <cell r="O42">
            <v>0.5</v>
          </cell>
          <cell r="P42">
            <v>0.5</v>
          </cell>
          <cell r="Q42">
            <v>0.5</v>
          </cell>
          <cell r="R42">
            <v>0.5</v>
          </cell>
          <cell r="U42">
            <v>0.5</v>
          </cell>
          <cell r="V42">
            <v>0</v>
          </cell>
          <cell r="W42">
            <v>0.5</v>
          </cell>
          <cell r="X42">
            <v>0.5</v>
          </cell>
          <cell r="Y42">
            <v>0</v>
          </cell>
          <cell r="Z42">
            <v>0.5</v>
          </cell>
          <cell r="AA42">
            <v>0.5</v>
          </cell>
          <cell r="AB42">
            <v>0</v>
          </cell>
          <cell r="AC42">
            <v>0.5</v>
          </cell>
          <cell r="AD42">
            <v>0.5</v>
          </cell>
          <cell r="AE42">
            <v>0</v>
          </cell>
          <cell r="AF42">
            <v>0.5</v>
          </cell>
          <cell r="AG42">
            <v>0.5</v>
          </cell>
          <cell r="AH42">
            <v>0</v>
          </cell>
          <cell r="AI42">
            <v>0.5</v>
          </cell>
          <cell r="AJ42">
            <v>0.5</v>
          </cell>
          <cell r="AK42">
            <v>0</v>
          </cell>
          <cell r="AL42">
            <v>0.5</v>
          </cell>
          <cell r="AM42">
            <v>0.5</v>
          </cell>
          <cell r="AN42">
            <v>0</v>
          </cell>
          <cell r="AO42">
            <v>0.5</v>
          </cell>
          <cell r="AP42">
            <v>0.5</v>
          </cell>
          <cell r="AQ42">
            <v>0</v>
          </cell>
          <cell r="AR42">
            <v>0.5</v>
          </cell>
          <cell r="AS42">
            <v>0.5</v>
          </cell>
          <cell r="AT42">
            <v>0</v>
          </cell>
          <cell r="AU42">
            <v>0.5</v>
          </cell>
          <cell r="AV42">
            <v>0.5</v>
          </cell>
          <cell r="AW42">
            <v>0</v>
          </cell>
          <cell r="AX42">
            <v>0.5</v>
          </cell>
          <cell r="AY42">
            <v>0.5</v>
          </cell>
          <cell r="AZ42">
            <v>0</v>
          </cell>
          <cell r="BA42">
            <v>0.5</v>
          </cell>
          <cell r="BB42">
            <v>0.5</v>
          </cell>
          <cell r="BC42">
            <v>0</v>
          </cell>
          <cell r="BD42">
            <v>0.5</v>
          </cell>
          <cell r="BG42">
            <v>9.9999999999999992E-2</v>
          </cell>
          <cell r="BH42">
            <v>9.9999999999999992E-2</v>
          </cell>
          <cell r="BI42">
            <v>0.12000000000000001</v>
          </cell>
          <cell r="BJ42">
            <v>9.9999999999999992E-2</v>
          </cell>
          <cell r="BK42">
            <v>9.9999999999999992E-2</v>
          </cell>
          <cell r="BL42">
            <v>0.14000000000000001</v>
          </cell>
          <cell r="BM42">
            <v>9.9999999999999992E-2</v>
          </cell>
          <cell r="BN42">
            <v>9.9999999999999992E-2</v>
          </cell>
          <cell r="BO42">
            <v>0.14000000000000001</v>
          </cell>
          <cell r="BP42">
            <v>9.9999999999999992E-2</v>
          </cell>
          <cell r="BQ42">
            <v>9.9999999999999992E-2</v>
          </cell>
          <cell r="BR42">
            <v>0.14000000000000001</v>
          </cell>
          <cell r="BS42">
            <v>9.9999999999999992E-2</v>
          </cell>
          <cell r="BT42">
            <v>9.9999999999999992E-2</v>
          </cell>
          <cell r="BU42">
            <v>0.14000000000000001</v>
          </cell>
          <cell r="BV42">
            <v>9.9999999999999992E-2</v>
          </cell>
          <cell r="BW42">
            <v>9.9999999999999992E-2</v>
          </cell>
          <cell r="BX42">
            <v>0.14000000000000001</v>
          </cell>
          <cell r="BY42">
            <v>9.9999999999999992E-2</v>
          </cell>
          <cell r="BZ42">
            <v>9.9999999999999992E-2</v>
          </cell>
          <cell r="CA42">
            <v>0.14000000000000001</v>
          </cell>
          <cell r="CB42">
            <v>9.9999999999999992E-2</v>
          </cell>
          <cell r="CC42">
            <v>9.9999999999999992E-2</v>
          </cell>
          <cell r="CD42">
            <v>0.14000000000000001</v>
          </cell>
          <cell r="CE42">
            <v>9.9999999999999992E-2</v>
          </cell>
          <cell r="CF42">
            <v>9.9999999999999992E-2</v>
          </cell>
          <cell r="CG42">
            <v>0.14000000000000001</v>
          </cell>
          <cell r="CH42">
            <v>9.9999999999999992E-2</v>
          </cell>
          <cell r="CI42">
            <v>9.9999999999999992E-2</v>
          </cell>
          <cell r="CJ42">
            <v>0.14000000000000001</v>
          </cell>
          <cell r="CK42">
            <v>9.9999999999999992E-2</v>
          </cell>
          <cell r="CL42">
            <v>9.9999999999999992E-2</v>
          </cell>
          <cell r="CM42">
            <v>0.14000000000000001</v>
          </cell>
          <cell r="CN42">
            <v>9.9999999999999992E-2</v>
          </cell>
          <cell r="CO42">
            <v>9.9999999999999992E-2</v>
          </cell>
          <cell r="CP42">
            <v>0.14000000000000001</v>
          </cell>
          <cell r="CQ42">
            <v>9.9999999999999992E-2</v>
          </cell>
          <cell r="CR42">
            <v>9.9999999999999992E-2</v>
          </cell>
          <cell r="CS42">
            <v>0.14000000000000001</v>
          </cell>
          <cell r="CV42">
            <v>4.4999999999999998E-2</v>
          </cell>
          <cell r="CW42">
            <v>4.4999999999999998E-2</v>
          </cell>
          <cell r="CX42">
            <v>0.03</v>
          </cell>
          <cell r="CY42">
            <v>4.4999999999999998E-2</v>
          </cell>
          <cell r="CZ42">
            <v>4.4999999999999998E-2</v>
          </cell>
          <cell r="DA42">
            <v>0.03</v>
          </cell>
          <cell r="DB42">
            <v>4.4999999999999998E-2</v>
          </cell>
          <cell r="DC42">
            <v>4.4999999999999998E-2</v>
          </cell>
          <cell r="DD42">
            <v>0.03</v>
          </cell>
          <cell r="DE42">
            <v>4.4999999999999998E-2</v>
          </cell>
          <cell r="DF42">
            <v>4.4999999999999998E-2</v>
          </cell>
          <cell r="DG42">
            <v>0.03</v>
          </cell>
          <cell r="DH42">
            <v>4.4999999999999998E-2</v>
          </cell>
          <cell r="DI42">
            <v>4.4999999999999998E-2</v>
          </cell>
          <cell r="DJ42">
            <v>0.03</v>
          </cell>
          <cell r="DK42">
            <v>4.4999999999999998E-2</v>
          </cell>
          <cell r="DL42">
            <v>4.4999999999999998E-2</v>
          </cell>
          <cell r="DM42">
            <v>0.03</v>
          </cell>
          <cell r="DN42">
            <v>4.4999999999999998E-2</v>
          </cell>
          <cell r="DO42">
            <v>4.4999999999999998E-2</v>
          </cell>
          <cell r="DP42">
            <v>0.03</v>
          </cell>
          <cell r="DQ42">
            <v>4.4999999999999998E-2</v>
          </cell>
          <cell r="DR42">
            <v>4.4999999999999998E-2</v>
          </cell>
          <cell r="DS42">
            <v>0.03</v>
          </cell>
          <cell r="DT42">
            <v>4.4999999999999998E-2</v>
          </cell>
          <cell r="DU42">
            <v>4.4999999999999998E-2</v>
          </cell>
          <cell r="DV42">
            <v>0.03</v>
          </cell>
          <cell r="DW42">
            <v>4.4999999999999998E-2</v>
          </cell>
          <cell r="DX42">
            <v>4.4999999999999998E-2</v>
          </cell>
          <cell r="DY42">
            <v>0.03</v>
          </cell>
          <cell r="DZ42">
            <v>4.4999999999999998E-2</v>
          </cell>
          <cell r="EA42">
            <v>4.4999999999999998E-2</v>
          </cell>
          <cell r="EB42">
            <v>0.03</v>
          </cell>
          <cell r="EC42">
            <v>4.4999999999999998E-2</v>
          </cell>
          <cell r="ED42">
            <v>4.4999999999999998E-2</v>
          </cell>
          <cell r="EE42">
            <v>0.03</v>
          </cell>
          <cell r="EG42">
            <v>5.7500000000000002E-2</v>
          </cell>
          <cell r="EH42">
            <v>6.7500000000000004E-2</v>
          </cell>
          <cell r="EI42">
            <v>6.7500000000000004E-2</v>
          </cell>
          <cell r="EJ42">
            <v>6.7500000000000004E-2</v>
          </cell>
          <cell r="EK42">
            <v>6.7500000000000004E-2</v>
          </cell>
          <cell r="EL42">
            <v>6.7500000000000004E-2</v>
          </cell>
          <cell r="EM42">
            <v>6.7500000000000004E-2</v>
          </cell>
          <cell r="EN42">
            <v>6.7500000000000004E-2</v>
          </cell>
          <cell r="EO42">
            <v>6.7500000000000004E-2</v>
          </cell>
          <cell r="EP42">
            <v>6.7500000000000004E-2</v>
          </cell>
          <cell r="EQ42">
            <v>6.7500000000000004E-2</v>
          </cell>
          <cell r="ER42">
            <v>6.7500000000000004E-2</v>
          </cell>
          <cell r="ES42">
            <v>6.7500000000000004E-2</v>
          </cell>
          <cell r="EU42">
            <v>0.11</v>
          </cell>
          <cell r="EV42">
            <v>0.12</v>
          </cell>
          <cell r="EW42">
            <v>0.12</v>
          </cell>
          <cell r="EX42">
            <v>0.12</v>
          </cell>
          <cell r="EY42">
            <v>0.12</v>
          </cell>
          <cell r="EZ42">
            <v>0.12</v>
          </cell>
          <cell r="FA42">
            <v>0.12</v>
          </cell>
          <cell r="FB42">
            <v>0.12</v>
          </cell>
          <cell r="FC42">
            <v>0.12</v>
          </cell>
          <cell r="FD42">
            <v>0.12</v>
          </cell>
          <cell r="FE42">
            <v>0.12</v>
          </cell>
          <cell r="FF42">
            <v>0.12</v>
          </cell>
          <cell r="FG42">
            <v>0.12</v>
          </cell>
        </row>
        <row r="43">
          <cell r="C43" t="str">
            <v>RIFTER MCA ALLURE BLUEHDI 100</v>
          </cell>
          <cell r="D43" t="str">
            <v>Rifter MCA Allure Diesel 100hp MT</v>
          </cell>
          <cell r="G43">
            <v>0.5</v>
          </cell>
          <cell r="H43">
            <v>0.5</v>
          </cell>
          <cell r="I43">
            <v>0.5</v>
          </cell>
          <cell r="J43">
            <v>0.5</v>
          </cell>
          <cell r="K43">
            <v>0.5</v>
          </cell>
          <cell r="L43">
            <v>0.5</v>
          </cell>
          <cell r="M43">
            <v>0.5</v>
          </cell>
          <cell r="N43">
            <v>0.5</v>
          </cell>
          <cell r="O43">
            <v>0.5</v>
          </cell>
          <cell r="P43">
            <v>0.5</v>
          </cell>
          <cell r="Q43">
            <v>0.5</v>
          </cell>
          <cell r="R43">
            <v>0.5</v>
          </cell>
          <cell r="U43">
            <v>0.5</v>
          </cell>
          <cell r="V43">
            <v>0</v>
          </cell>
          <cell r="W43">
            <v>0.5</v>
          </cell>
          <cell r="X43">
            <v>0.5</v>
          </cell>
          <cell r="Y43">
            <v>0</v>
          </cell>
          <cell r="Z43">
            <v>0.5</v>
          </cell>
          <cell r="AA43">
            <v>0.5</v>
          </cell>
          <cell r="AB43">
            <v>0</v>
          </cell>
          <cell r="AC43">
            <v>0.5</v>
          </cell>
          <cell r="AD43">
            <v>0.5</v>
          </cell>
          <cell r="AE43">
            <v>0</v>
          </cell>
          <cell r="AF43">
            <v>0.5</v>
          </cell>
          <cell r="AG43">
            <v>0.5</v>
          </cell>
          <cell r="AH43">
            <v>0</v>
          </cell>
          <cell r="AI43">
            <v>0.5</v>
          </cell>
          <cell r="AJ43">
            <v>0.5</v>
          </cell>
          <cell r="AK43">
            <v>0</v>
          </cell>
          <cell r="AL43">
            <v>0.5</v>
          </cell>
          <cell r="AM43">
            <v>0.5</v>
          </cell>
          <cell r="AN43">
            <v>0</v>
          </cell>
          <cell r="AO43">
            <v>0.5</v>
          </cell>
          <cell r="AP43">
            <v>0.5</v>
          </cell>
          <cell r="AQ43">
            <v>0</v>
          </cell>
          <cell r="AR43">
            <v>0.5</v>
          </cell>
          <cell r="AS43">
            <v>0.5</v>
          </cell>
          <cell r="AT43">
            <v>0</v>
          </cell>
          <cell r="AU43">
            <v>0.5</v>
          </cell>
          <cell r="AV43">
            <v>0.5</v>
          </cell>
          <cell r="AW43">
            <v>0</v>
          </cell>
          <cell r="AX43">
            <v>0.5</v>
          </cell>
          <cell r="AY43">
            <v>0.5</v>
          </cell>
          <cell r="AZ43">
            <v>0</v>
          </cell>
          <cell r="BA43">
            <v>0.5</v>
          </cell>
          <cell r="BB43">
            <v>0.5</v>
          </cell>
          <cell r="BC43">
            <v>0</v>
          </cell>
          <cell r="BD43">
            <v>0.5</v>
          </cell>
          <cell r="BG43">
            <v>9.9999999999999992E-2</v>
          </cell>
          <cell r="BH43">
            <v>9.9999999999999992E-2</v>
          </cell>
          <cell r="BI43">
            <v>0.12000000000000001</v>
          </cell>
          <cell r="BJ43">
            <v>9.9999999999999992E-2</v>
          </cell>
          <cell r="BK43">
            <v>9.9999999999999992E-2</v>
          </cell>
          <cell r="BL43">
            <v>0.14000000000000001</v>
          </cell>
          <cell r="BM43">
            <v>9.9999999999999992E-2</v>
          </cell>
          <cell r="BN43">
            <v>9.9999999999999992E-2</v>
          </cell>
          <cell r="BO43">
            <v>0.14000000000000001</v>
          </cell>
          <cell r="BP43">
            <v>9.9999999999999992E-2</v>
          </cell>
          <cell r="BQ43">
            <v>9.9999999999999992E-2</v>
          </cell>
          <cell r="BR43">
            <v>0.14000000000000001</v>
          </cell>
          <cell r="BS43">
            <v>9.9999999999999992E-2</v>
          </cell>
          <cell r="BT43">
            <v>9.9999999999999992E-2</v>
          </cell>
          <cell r="BU43">
            <v>0.14000000000000001</v>
          </cell>
          <cell r="BV43">
            <v>9.9999999999999992E-2</v>
          </cell>
          <cell r="BW43">
            <v>9.9999999999999992E-2</v>
          </cell>
          <cell r="BX43">
            <v>0.14000000000000001</v>
          </cell>
          <cell r="BY43">
            <v>9.9999999999999992E-2</v>
          </cell>
          <cell r="BZ43">
            <v>9.9999999999999992E-2</v>
          </cell>
          <cell r="CA43">
            <v>0.14000000000000001</v>
          </cell>
          <cell r="CB43">
            <v>9.9999999999999992E-2</v>
          </cell>
          <cell r="CC43">
            <v>9.9999999999999992E-2</v>
          </cell>
          <cell r="CD43">
            <v>0.14000000000000001</v>
          </cell>
          <cell r="CE43">
            <v>9.9999999999999992E-2</v>
          </cell>
          <cell r="CF43">
            <v>9.9999999999999992E-2</v>
          </cell>
          <cell r="CG43">
            <v>0.14000000000000001</v>
          </cell>
          <cell r="CH43">
            <v>9.9999999999999992E-2</v>
          </cell>
          <cell r="CI43">
            <v>9.9999999999999992E-2</v>
          </cell>
          <cell r="CJ43">
            <v>0.14000000000000001</v>
          </cell>
          <cell r="CK43">
            <v>9.9999999999999992E-2</v>
          </cell>
          <cell r="CL43">
            <v>9.9999999999999992E-2</v>
          </cell>
          <cell r="CM43">
            <v>0.14000000000000001</v>
          </cell>
          <cell r="CN43">
            <v>9.9999999999999992E-2</v>
          </cell>
          <cell r="CO43">
            <v>9.9999999999999992E-2</v>
          </cell>
          <cell r="CP43">
            <v>0.14000000000000001</v>
          </cell>
          <cell r="CQ43">
            <v>9.9999999999999992E-2</v>
          </cell>
          <cell r="CR43">
            <v>9.9999999999999992E-2</v>
          </cell>
          <cell r="CS43">
            <v>0.14000000000000001</v>
          </cell>
          <cell r="CV43">
            <v>4.4999999999999998E-2</v>
          </cell>
          <cell r="CW43">
            <v>4.4999999999999998E-2</v>
          </cell>
          <cell r="CX43">
            <v>0.03</v>
          </cell>
          <cell r="CY43">
            <v>4.4999999999999998E-2</v>
          </cell>
          <cell r="CZ43">
            <v>4.4999999999999998E-2</v>
          </cell>
          <cell r="DA43">
            <v>0.03</v>
          </cell>
          <cell r="DB43">
            <v>4.4999999999999998E-2</v>
          </cell>
          <cell r="DC43">
            <v>4.4999999999999998E-2</v>
          </cell>
          <cell r="DD43">
            <v>0.03</v>
          </cell>
          <cell r="DE43">
            <v>4.4999999999999998E-2</v>
          </cell>
          <cell r="DF43">
            <v>4.4999999999999998E-2</v>
          </cell>
          <cell r="DG43">
            <v>0.03</v>
          </cell>
          <cell r="DH43">
            <v>4.4999999999999998E-2</v>
          </cell>
          <cell r="DI43">
            <v>4.4999999999999998E-2</v>
          </cell>
          <cell r="DJ43">
            <v>0.03</v>
          </cell>
          <cell r="DK43">
            <v>4.4999999999999998E-2</v>
          </cell>
          <cell r="DL43">
            <v>4.4999999999999998E-2</v>
          </cell>
          <cell r="DM43">
            <v>0.03</v>
          </cell>
          <cell r="DN43">
            <v>4.4999999999999998E-2</v>
          </cell>
          <cell r="DO43">
            <v>4.4999999999999998E-2</v>
          </cell>
          <cell r="DP43">
            <v>0.03</v>
          </cell>
          <cell r="DQ43">
            <v>4.4999999999999998E-2</v>
          </cell>
          <cell r="DR43">
            <v>4.4999999999999998E-2</v>
          </cell>
          <cell r="DS43">
            <v>0.03</v>
          </cell>
          <cell r="DT43">
            <v>4.4999999999999998E-2</v>
          </cell>
          <cell r="DU43">
            <v>4.4999999999999998E-2</v>
          </cell>
          <cell r="DV43">
            <v>0.03</v>
          </cell>
          <cell r="DW43">
            <v>4.4999999999999998E-2</v>
          </cell>
          <cell r="DX43">
            <v>4.4999999999999998E-2</v>
          </cell>
          <cell r="DY43">
            <v>0.03</v>
          </cell>
          <cell r="DZ43">
            <v>4.4999999999999998E-2</v>
          </cell>
          <cell r="EA43">
            <v>4.4999999999999998E-2</v>
          </cell>
          <cell r="EB43">
            <v>0.03</v>
          </cell>
          <cell r="EC43">
            <v>4.4999999999999998E-2</v>
          </cell>
          <cell r="ED43">
            <v>4.4999999999999998E-2</v>
          </cell>
          <cell r="EE43">
            <v>0.03</v>
          </cell>
          <cell r="EG43">
            <v>5.7500000000000002E-2</v>
          </cell>
          <cell r="EH43">
            <v>6.7500000000000004E-2</v>
          </cell>
          <cell r="EI43">
            <v>6.7500000000000004E-2</v>
          </cell>
          <cell r="EJ43">
            <v>6.7500000000000004E-2</v>
          </cell>
          <cell r="EK43">
            <v>6.7500000000000004E-2</v>
          </cell>
          <cell r="EL43">
            <v>6.7500000000000004E-2</v>
          </cell>
          <cell r="EM43">
            <v>6.7500000000000004E-2</v>
          </cell>
          <cell r="EN43">
            <v>6.7500000000000004E-2</v>
          </cell>
          <cell r="EO43">
            <v>6.7500000000000004E-2</v>
          </cell>
          <cell r="EP43">
            <v>6.7500000000000004E-2</v>
          </cell>
          <cell r="EQ43">
            <v>6.7500000000000004E-2</v>
          </cell>
          <cell r="ER43">
            <v>6.7500000000000004E-2</v>
          </cell>
          <cell r="ES43">
            <v>6.7500000000000004E-2</v>
          </cell>
          <cell r="EU43">
            <v>0.11</v>
          </cell>
          <cell r="EV43">
            <v>0.12</v>
          </cell>
          <cell r="EW43">
            <v>0.12</v>
          </cell>
          <cell r="EX43">
            <v>0.12</v>
          </cell>
          <cell r="EY43">
            <v>0.12</v>
          </cell>
          <cell r="EZ43">
            <v>0.12</v>
          </cell>
          <cell r="FA43">
            <v>0.12</v>
          </cell>
          <cell r="FB43">
            <v>0.12</v>
          </cell>
          <cell r="FC43">
            <v>0.12</v>
          </cell>
          <cell r="FD43">
            <v>0.12</v>
          </cell>
          <cell r="FE43">
            <v>0.12</v>
          </cell>
          <cell r="FF43">
            <v>0.12</v>
          </cell>
          <cell r="FG43">
            <v>0.12</v>
          </cell>
        </row>
        <row r="44">
          <cell r="C44" t="str">
            <v>Rifter MCA Allure Puretech 130 EAT8</v>
          </cell>
          <cell r="D44" t="str">
            <v>Rifter MCA Allure Gasolina 130hp AT</v>
          </cell>
          <cell r="G44">
            <v>0.5</v>
          </cell>
          <cell r="H44">
            <v>0.5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0.1</v>
          </cell>
          <cell r="N44">
            <v>0.1</v>
          </cell>
          <cell r="O44">
            <v>0.1</v>
          </cell>
          <cell r="P44">
            <v>0.1</v>
          </cell>
          <cell r="Q44">
            <v>0.1</v>
          </cell>
          <cell r="R44">
            <v>0.1</v>
          </cell>
          <cell r="U44">
            <v>0.5</v>
          </cell>
          <cell r="V44">
            <v>0</v>
          </cell>
          <cell r="W44">
            <v>0.5</v>
          </cell>
          <cell r="X44">
            <v>0.5</v>
          </cell>
          <cell r="Y44">
            <v>0</v>
          </cell>
          <cell r="Z44">
            <v>0.5</v>
          </cell>
          <cell r="AA44">
            <v>0.5</v>
          </cell>
          <cell r="AB44">
            <v>0</v>
          </cell>
          <cell r="AC44">
            <v>0.5</v>
          </cell>
          <cell r="AD44">
            <v>0.5</v>
          </cell>
          <cell r="AE44">
            <v>0</v>
          </cell>
          <cell r="AF44">
            <v>0.5</v>
          </cell>
          <cell r="AG44">
            <v>0.5</v>
          </cell>
          <cell r="AH44">
            <v>0</v>
          </cell>
          <cell r="AI44">
            <v>0.5</v>
          </cell>
          <cell r="AJ44">
            <v>0.5</v>
          </cell>
          <cell r="AK44">
            <v>0</v>
          </cell>
          <cell r="AL44">
            <v>0.5</v>
          </cell>
          <cell r="AM44">
            <v>0.5</v>
          </cell>
          <cell r="AN44">
            <v>0</v>
          </cell>
          <cell r="AO44">
            <v>0.5</v>
          </cell>
          <cell r="AP44">
            <v>0.5</v>
          </cell>
          <cell r="AQ44">
            <v>0</v>
          </cell>
          <cell r="AR44">
            <v>0.5</v>
          </cell>
          <cell r="AS44">
            <v>0.5</v>
          </cell>
          <cell r="AT44">
            <v>0</v>
          </cell>
          <cell r="AU44">
            <v>0.5</v>
          </cell>
          <cell r="AV44">
            <v>0.5</v>
          </cell>
          <cell r="AW44">
            <v>0</v>
          </cell>
          <cell r="AX44">
            <v>0.5</v>
          </cell>
          <cell r="AY44">
            <v>0.5</v>
          </cell>
          <cell r="AZ44">
            <v>0</v>
          </cell>
          <cell r="BA44">
            <v>0.5</v>
          </cell>
          <cell r="BB44">
            <v>0.5</v>
          </cell>
          <cell r="BC44">
            <v>0</v>
          </cell>
          <cell r="BD44">
            <v>0.5</v>
          </cell>
          <cell r="BG44">
            <v>9.9999999999999992E-2</v>
          </cell>
          <cell r="BH44">
            <v>9.9999999999999992E-2</v>
          </cell>
          <cell r="BI44">
            <v>0.12000000000000001</v>
          </cell>
          <cell r="BJ44">
            <v>9.9999999999999992E-2</v>
          </cell>
          <cell r="BK44">
            <v>9.9999999999999992E-2</v>
          </cell>
          <cell r="BL44">
            <v>0.14000000000000001</v>
          </cell>
          <cell r="BM44">
            <v>9.9999999999999992E-2</v>
          </cell>
          <cell r="BN44">
            <v>9.9999999999999992E-2</v>
          </cell>
          <cell r="BO44">
            <v>0.14000000000000001</v>
          </cell>
          <cell r="BP44">
            <v>9.9999999999999992E-2</v>
          </cell>
          <cell r="BQ44">
            <v>9.9999999999999992E-2</v>
          </cell>
          <cell r="BR44">
            <v>0.14000000000000001</v>
          </cell>
          <cell r="BS44">
            <v>9.9999999999999992E-2</v>
          </cell>
          <cell r="BT44">
            <v>9.9999999999999992E-2</v>
          </cell>
          <cell r="BU44">
            <v>0.14000000000000001</v>
          </cell>
          <cell r="BV44">
            <v>9.9999999999999992E-2</v>
          </cell>
          <cell r="BW44">
            <v>9.9999999999999992E-2</v>
          </cell>
          <cell r="BX44">
            <v>0.14000000000000001</v>
          </cell>
          <cell r="BY44">
            <v>9.9999999999999992E-2</v>
          </cell>
          <cell r="BZ44">
            <v>9.9999999999999992E-2</v>
          </cell>
          <cell r="CA44">
            <v>0.14000000000000001</v>
          </cell>
          <cell r="CB44">
            <v>9.9999999999999992E-2</v>
          </cell>
          <cell r="CC44">
            <v>9.9999999999999992E-2</v>
          </cell>
          <cell r="CD44">
            <v>0.14000000000000001</v>
          </cell>
          <cell r="CE44">
            <v>9.9999999999999992E-2</v>
          </cell>
          <cell r="CF44">
            <v>9.9999999999999992E-2</v>
          </cell>
          <cell r="CG44">
            <v>0.14000000000000001</v>
          </cell>
          <cell r="CH44">
            <v>9.9999999999999992E-2</v>
          </cell>
          <cell r="CI44">
            <v>9.9999999999999992E-2</v>
          </cell>
          <cell r="CJ44">
            <v>0.14000000000000001</v>
          </cell>
          <cell r="CK44">
            <v>9.9999999999999992E-2</v>
          </cell>
          <cell r="CL44">
            <v>9.9999999999999992E-2</v>
          </cell>
          <cell r="CM44">
            <v>0.14000000000000001</v>
          </cell>
          <cell r="CN44">
            <v>9.9999999999999992E-2</v>
          </cell>
          <cell r="CO44">
            <v>9.9999999999999992E-2</v>
          </cell>
          <cell r="CP44">
            <v>0.14000000000000001</v>
          </cell>
          <cell r="CQ44">
            <v>9.9999999999999992E-2</v>
          </cell>
          <cell r="CR44">
            <v>9.9999999999999992E-2</v>
          </cell>
          <cell r="CS44">
            <v>0.14000000000000001</v>
          </cell>
          <cell r="CV44">
            <v>4.4999999999999998E-2</v>
          </cell>
          <cell r="CW44">
            <v>4.4999999999999998E-2</v>
          </cell>
          <cell r="CX44">
            <v>0.03</v>
          </cell>
          <cell r="CY44">
            <v>4.4999999999999998E-2</v>
          </cell>
          <cell r="CZ44">
            <v>4.4999999999999998E-2</v>
          </cell>
          <cell r="DA44">
            <v>0.03</v>
          </cell>
          <cell r="DB44">
            <v>4.4999999999999998E-2</v>
          </cell>
          <cell r="DC44">
            <v>4.4999999999999998E-2</v>
          </cell>
          <cell r="DD44">
            <v>0.03</v>
          </cell>
          <cell r="DE44">
            <v>4.4999999999999998E-2</v>
          </cell>
          <cell r="DF44">
            <v>4.4999999999999998E-2</v>
          </cell>
          <cell r="DG44">
            <v>0.03</v>
          </cell>
          <cell r="DH44">
            <v>4.4999999999999998E-2</v>
          </cell>
          <cell r="DI44">
            <v>4.4999999999999998E-2</v>
          </cell>
          <cell r="DJ44">
            <v>0.03</v>
          </cell>
          <cell r="DK44">
            <v>4.4999999999999998E-2</v>
          </cell>
          <cell r="DL44">
            <v>4.4999999999999998E-2</v>
          </cell>
          <cell r="DM44">
            <v>0.03</v>
          </cell>
          <cell r="DN44">
            <v>4.4999999999999998E-2</v>
          </cell>
          <cell r="DO44">
            <v>4.4999999999999998E-2</v>
          </cell>
          <cell r="DP44">
            <v>0.03</v>
          </cell>
          <cell r="DQ44">
            <v>4.4999999999999998E-2</v>
          </cell>
          <cell r="DR44">
            <v>4.4999999999999998E-2</v>
          </cell>
          <cell r="DS44">
            <v>0.03</v>
          </cell>
          <cell r="DT44">
            <v>4.4999999999999998E-2</v>
          </cell>
          <cell r="DU44">
            <v>4.4999999999999998E-2</v>
          </cell>
          <cell r="DV44">
            <v>0.03</v>
          </cell>
          <cell r="DW44">
            <v>4.4999999999999998E-2</v>
          </cell>
          <cell r="DX44">
            <v>4.4999999999999998E-2</v>
          </cell>
          <cell r="DY44">
            <v>0.03</v>
          </cell>
          <cell r="DZ44">
            <v>4.4999999999999998E-2</v>
          </cell>
          <cell r="EA44">
            <v>4.4999999999999998E-2</v>
          </cell>
          <cell r="EB44">
            <v>0.03</v>
          </cell>
          <cell r="EC44">
            <v>4.4999999999999998E-2</v>
          </cell>
          <cell r="ED44">
            <v>4.4999999999999998E-2</v>
          </cell>
          <cell r="EE44">
            <v>0.03</v>
          </cell>
          <cell r="EG44">
            <v>5.7500000000000002E-2</v>
          </cell>
          <cell r="EH44">
            <v>6.7500000000000004E-2</v>
          </cell>
          <cell r="EI44">
            <v>6.7500000000000004E-2</v>
          </cell>
          <cell r="EJ44">
            <v>6.7500000000000004E-2</v>
          </cell>
          <cell r="EK44">
            <v>6.7500000000000004E-2</v>
          </cell>
          <cell r="EL44">
            <v>6.7500000000000004E-2</v>
          </cell>
          <cell r="EM44">
            <v>6.7500000000000004E-2</v>
          </cell>
          <cell r="EN44">
            <v>6.7500000000000004E-2</v>
          </cell>
          <cell r="EO44">
            <v>6.7500000000000004E-2</v>
          </cell>
          <cell r="EP44">
            <v>6.7500000000000004E-2</v>
          </cell>
          <cell r="EQ44">
            <v>6.7500000000000004E-2</v>
          </cell>
          <cell r="ER44">
            <v>6.7500000000000004E-2</v>
          </cell>
          <cell r="ES44">
            <v>6.7500000000000004E-2</v>
          </cell>
          <cell r="EU44">
            <v>0.11</v>
          </cell>
          <cell r="EV44">
            <v>0.12</v>
          </cell>
          <cell r="EW44">
            <v>0.12</v>
          </cell>
          <cell r="EX44">
            <v>0.12</v>
          </cell>
          <cell r="EY44">
            <v>0.12</v>
          </cell>
          <cell r="EZ44">
            <v>0.12</v>
          </cell>
          <cell r="FA44">
            <v>0.12</v>
          </cell>
          <cell r="FB44">
            <v>0.12</v>
          </cell>
          <cell r="FC44">
            <v>0.12</v>
          </cell>
          <cell r="FD44">
            <v>0.12</v>
          </cell>
          <cell r="FE44">
            <v>0.12</v>
          </cell>
          <cell r="FF44">
            <v>0.12</v>
          </cell>
          <cell r="FG44">
            <v>0.12</v>
          </cell>
        </row>
        <row r="45">
          <cell r="C45" t="str">
            <v>Rifter MCA Allure BlueHDi 130 EAT8 5P</v>
          </cell>
          <cell r="D45" t="str">
            <v>Rifter MCA Allure Diesel 130hp AT 5P</v>
          </cell>
          <cell r="G45">
            <v>0.5</v>
          </cell>
          <cell r="H45">
            <v>0.5</v>
          </cell>
          <cell r="I45">
            <v>0.5</v>
          </cell>
          <cell r="J45">
            <v>0.5</v>
          </cell>
          <cell r="K45">
            <v>0.5</v>
          </cell>
          <cell r="L45">
            <v>0.5</v>
          </cell>
          <cell r="M45">
            <v>0.5</v>
          </cell>
          <cell r="N45">
            <v>0.5</v>
          </cell>
          <cell r="O45">
            <v>0.5</v>
          </cell>
          <cell r="P45">
            <v>0.5</v>
          </cell>
          <cell r="Q45">
            <v>0.5</v>
          </cell>
          <cell r="R45">
            <v>0.5</v>
          </cell>
          <cell r="U45">
            <v>0.5</v>
          </cell>
          <cell r="V45">
            <v>0</v>
          </cell>
          <cell r="W45">
            <v>0.5</v>
          </cell>
          <cell r="X45">
            <v>0.5</v>
          </cell>
          <cell r="Y45">
            <v>0</v>
          </cell>
          <cell r="Z45">
            <v>0.5</v>
          </cell>
          <cell r="AA45">
            <v>0.5</v>
          </cell>
          <cell r="AB45">
            <v>0</v>
          </cell>
          <cell r="AC45">
            <v>0.5</v>
          </cell>
          <cell r="AD45">
            <v>0.5</v>
          </cell>
          <cell r="AE45">
            <v>0</v>
          </cell>
          <cell r="AF45">
            <v>0.5</v>
          </cell>
          <cell r="AG45">
            <v>0.5</v>
          </cell>
          <cell r="AH45">
            <v>0</v>
          </cell>
          <cell r="AI45">
            <v>0.5</v>
          </cell>
          <cell r="AJ45">
            <v>0.5</v>
          </cell>
          <cell r="AK45">
            <v>0</v>
          </cell>
          <cell r="AL45">
            <v>0.5</v>
          </cell>
          <cell r="AM45">
            <v>0.5</v>
          </cell>
          <cell r="AN45">
            <v>0</v>
          </cell>
          <cell r="AO45">
            <v>0.5</v>
          </cell>
          <cell r="AP45">
            <v>0.5</v>
          </cell>
          <cell r="AQ45">
            <v>0</v>
          </cell>
          <cell r="AR45">
            <v>0.5</v>
          </cell>
          <cell r="AS45">
            <v>0.5</v>
          </cell>
          <cell r="AT45">
            <v>0</v>
          </cell>
          <cell r="AU45">
            <v>0.5</v>
          </cell>
          <cell r="AV45">
            <v>0.5</v>
          </cell>
          <cell r="AW45">
            <v>0</v>
          </cell>
          <cell r="AX45">
            <v>0.5</v>
          </cell>
          <cell r="AY45">
            <v>0.5</v>
          </cell>
          <cell r="AZ45">
            <v>0</v>
          </cell>
          <cell r="BA45">
            <v>0.5</v>
          </cell>
          <cell r="BB45">
            <v>0.5</v>
          </cell>
          <cell r="BC45">
            <v>0</v>
          </cell>
          <cell r="BD45">
            <v>0.5</v>
          </cell>
          <cell r="BG45">
            <v>9.9999999999999992E-2</v>
          </cell>
          <cell r="BH45">
            <v>9.9999999999999992E-2</v>
          </cell>
          <cell r="BI45">
            <v>0.12000000000000001</v>
          </cell>
          <cell r="BJ45">
            <v>9.9999999999999992E-2</v>
          </cell>
          <cell r="BK45">
            <v>9.9999999999999992E-2</v>
          </cell>
          <cell r="BL45">
            <v>0.14000000000000001</v>
          </cell>
          <cell r="BM45">
            <v>9.9999999999999992E-2</v>
          </cell>
          <cell r="BN45">
            <v>9.9999999999999992E-2</v>
          </cell>
          <cell r="BO45">
            <v>0.14000000000000001</v>
          </cell>
          <cell r="BP45">
            <v>9.9999999999999992E-2</v>
          </cell>
          <cell r="BQ45">
            <v>9.9999999999999992E-2</v>
          </cell>
          <cell r="BR45">
            <v>0.14000000000000001</v>
          </cell>
          <cell r="BS45">
            <v>9.9999999999999992E-2</v>
          </cell>
          <cell r="BT45">
            <v>9.9999999999999992E-2</v>
          </cell>
          <cell r="BU45">
            <v>0.14000000000000001</v>
          </cell>
          <cell r="BV45">
            <v>9.9999999999999992E-2</v>
          </cell>
          <cell r="BW45">
            <v>9.9999999999999992E-2</v>
          </cell>
          <cell r="BX45">
            <v>0.14000000000000001</v>
          </cell>
          <cell r="BY45">
            <v>9.9999999999999992E-2</v>
          </cell>
          <cell r="BZ45">
            <v>9.9999999999999992E-2</v>
          </cell>
          <cell r="CA45">
            <v>0.14000000000000001</v>
          </cell>
          <cell r="CB45">
            <v>9.9999999999999992E-2</v>
          </cell>
          <cell r="CC45">
            <v>9.9999999999999992E-2</v>
          </cell>
          <cell r="CD45">
            <v>0.14000000000000001</v>
          </cell>
          <cell r="CE45">
            <v>9.9999999999999992E-2</v>
          </cell>
          <cell r="CF45">
            <v>9.9999999999999992E-2</v>
          </cell>
          <cell r="CG45">
            <v>0.14000000000000001</v>
          </cell>
          <cell r="CH45">
            <v>9.9999999999999992E-2</v>
          </cell>
          <cell r="CI45">
            <v>9.9999999999999992E-2</v>
          </cell>
          <cell r="CJ45">
            <v>0.14000000000000001</v>
          </cell>
          <cell r="CK45">
            <v>9.9999999999999992E-2</v>
          </cell>
          <cell r="CL45">
            <v>9.9999999999999992E-2</v>
          </cell>
          <cell r="CM45">
            <v>0.14000000000000001</v>
          </cell>
          <cell r="CN45">
            <v>9.9999999999999992E-2</v>
          </cell>
          <cell r="CO45">
            <v>9.9999999999999992E-2</v>
          </cell>
          <cell r="CP45">
            <v>0.14000000000000001</v>
          </cell>
          <cell r="CQ45">
            <v>9.9999999999999992E-2</v>
          </cell>
          <cell r="CR45">
            <v>9.9999999999999992E-2</v>
          </cell>
          <cell r="CS45">
            <v>0.14000000000000001</v>
          </cell>
          <cell r="CV45">
            <v>4.4999999999999998E-2</v>
          </cell>
          <cell r="CW45">
            <v>4.4999999999999998E-2</v>
          </cell>
          <cell r="CX45">
            <v>0.03</v>
          </cell>
          <cell r="CY45">
            <v>4.4999999999999998E-2</v>
          </cell>
          <cell r="CZ45">
            <v>4.4999999999999998E-2</v>
          </cell>
          <cell r="DA45">
            <v>0.03</v>
          </cell>
          <cell r="DB45">
            <v>4.4999999999999998E-2</v>
          </cell>
          <cell r="DC45">
            <v>4.4999999999999998E-2</v>
          </cell>
          <cell r="DD45">
            <v>0.03</v>
          </cell>
          <cell r="DE45">
            <v>4.4999999999999998E-2</v>
          </cell>
          <cell r="DF45">
            <v>4.4999999999999998E-2</v>
          </cell>
          <cell r="DG45">
            <v>0.03</v>
          </cell>
          <cell r="DH45">
            <v>4.4999999999999998E-2</v>
          </cell>
          <cell r="DI45">
            <v>4.4999999999999998E-2</v>
          </cell>
          <cell r="DJ45">
            <v>0.03</v>
          </cell>
          <cell r="DK45">
            <v>4.4999999999999998E-2</v>
          </cell>
          <cell r="DL45">
            <v>4.4999999999999998E-2</v>
          </cell>
          <cell r="DM45">
            <v>0.03</v>
          </cell>
          <cell r="DN45">
            <v>4.4999999999999998E-2</v>
          </cell>
          <cell r="DO45">
            <v>4.4999999999999998E-2</v>
          </cell>
          <cell r="DP45">
            <v>0.03</v>
          </cell>
          <cell r="DQ45">
            <v>4.4999999999999998E-2</v>
          </cell>
          <cell r="DR45">
            <v>4.4999999999999998E-2</v>
          </cell>
          <cell r="DS45">
            <v>0.03</v>
          </cell>
          <cell r="DT45">
            <v>4.4999999999999998E-2</v>
          </cell>
          <cell r="DU45">
            <v>4.4999999999999998E-2</v>
          </cell>
          <cell r="DV45">
            <v>0.03</v>
          </cell>
          <cell r="DW45">
            <v>4.4999999999999998E-2</v>
          </cell>
          <cell r="DX45">
            <v>4.4999999999999998E-2</v>
          </cell>
          <cell r="DY45">
            <v>0.03</v>
          </cell>
          <cell r="DZ45">
            <v>4.4999999999999998E-2</v>
          </cell>
          <cell r="EA45">
            <v>4.4999999999999998E-2</v>
          </cell>
          <cell r="EB45">
            <v>0.03</v>
          </cell>
          <cell r="EC45">
            <v>4.4999999999999998E-2</v>
          </cell>
          <cell r="ED45">
            <v>4.4999999999999998E-2</v>
          </cell>
          <cell r="EE45">
            <v>0.03</v>
          </cell>
          <cell r="EG45">
            <v>5.7500000000000002E-2</v>
          </cell>
          <cell r="EH45">
            <v>6.7500000000000004E-2</v>
          </cell>
          <cell r="EI45">
            <v>6.7500000000000004E-2</v>
          </cell>
          <cell r="EJ45">
            <v>6.7500000000000004E-2</v>
          </cell>
          <cell r="EK45">
            <v>6.7500000000000004E-2</v>
          </cell>
          <cell r="EL45">
            <v>6.7500000000000004E-2</v>
          </cell>
          <cell r="EM45">
            <v>6.7500000000000004E-2</v>
          </cell>
          <cell r="EN45">
            <v>6.7500000000000004E-2</v>
          </cell>
          <cell r="EO45">
            <v>6.7500000000000004E-2</v>
          </cell>
          <cell r="EP45">
            <v>6.7500000000000004E-2</v>
          </cell>
          <cell r="EQ45">
            <v>6.7500000000000004E-2</v>
          </cell>
          <cell r="ER45">
            <v>6.7500000000000004E-2</v>
          </cell>
          <cell r="ES45">
            <v>6.7500000000000004E-2</v>
          </cell>
          <cell r="EU45">
            <v>0.11</v>
          </cell>
          <cell r="EV45">
            <v>0.12</v>
          </cell>
          <cell r="EW45">
            <v>0.12</v>
          </cell>
          <cell r="EX45">
            <v>0.12</v>
          </cell>
          <cell r="EY45">
            <v>0.12</v>
          </cell>
          <cell r="EZ45">
            <v>0.12</v>
          </cell>
          <cell r="FA45">
            <v>0.12</v>
          </cell>
          <cell r="FB45">
            <v>0.12</v>
          </cell>
          <cell r="FC45">
            <v>0.12</v>
          </cell>
          <cell r="FD45">
            <v>0.12</v>
          </cell>
          <cell r="FE45">
            <v>0.12</v>
          </cell>
          <cell r="FF45">
            <v>0.12</v>
          </cell>
          <cell r="FG45">
            <v>0.12</v>
          </cell>
        </row>
        <row r="46">
          <cell r="C46" t="str">
            <v>Rifter MCA Allure BlueHDi 130 EAT8</v>
          </cell>
          <cell r="D46" t="str">
            <v>Rifter MCA Allure Diesel 130hp AT</v>
          </cell>
          <cell r="G46">
            <v>0.5</v>
          </cell>
          <cell r="H46">
            <v>0.5</v>
          </cell>
          <cell r="I46">
            <v>0.5</v>
          </cell>
          <cell r="J46">
            <v>0.5</v>
          </cell>
          <cell r="K46">
            <v>0.5</v>
          </cell>
          <cell r="L46">
            <v>0.5</v>
          </cell>
          <cell r="M46">
            <v>0.5</v>
          </cell>
          <cell r="N46">
            <v>0.5</v>
          </cell>
          <cell r="O46">
            <v>0.5</v>
          </cell>
          <cell r="P46">
            <v>0.5</v>
          </cell>
          <cell r="Q46">
            <v>0.5</v>
          </cell>
          <cell r="R46">
            <v>0.5</v>
          </cell>
          <cell r="U46">
            <v>0.5</v>
          </cell>
          <cell r="V46">
            <v>0</v>
          </cell>
          <cell r="W46">
            <v>0.5</v>
          </cell>
          <cell r="X46">
            <v>0.5</v>
          </cell>
          <cell r="Y46">
            <v>0</v>
          </cell>
          <cell r="Z46">
            <v>0.5</v>
          </cell>
          <cell r="AA46">
            <v>0.5</v>
          </cell>
          <cell r="AB46">
            <v>0</v>
          </cell>
          <cell r="AC46">
            <v>0.5</v>
          </cell>
          <cell r="AD46">
            <v>0.5</v>
          </cell>
          <cell r="AE46">
            <v>0</v>
          </cell>
          <cell r="AF46">
            <v>0.5</v>
          </cell>
          <cell r="AG46">
            <v>0.5</v>
          </cell>
          <cell r="AH46">
            <v>0</v>
          </cell>
          <cell r="AI46">
            <v>0.5</v>
          </cell>
          <cell r="AJ46">
            <v>0.5</v>
          </cell>
          <cell r="AK46">
            <v>0</v>
          </cell>
          <cell r="AL46">
            <v>0.5</v>
          </cell>
          <cell r="AM46">
            <v>0.5</v>
          </cell>
          <cell r="AN46">
            <v>0</v>
          </cell>
          <cell r="AO46">
            <v>0.5</v>
          </cell>
          <cell r="AP46">
            <v>0.5</v>
          </cell>
          <cell r="AQ46">
            <v>0</v>
          </cell>
          <cell r="AR46">
            <v>0.5</v>
          </cell>
          <cell r="AS46">
            <v>0.5</v>
          </cell>
          <cell r="AT46">
            <v>0</v>
          </cell>
          <cell r="AU46">
            <v>0.5</v>
          </cell>
          <cell r="AV46">
            <v>0.5</v>
          </cell>
          <cell r="AW46">
            <v>0</v>
          </cell>
          <cell r="AX46">
            <v>0.5</v>
          </cell>
          <cell r="AY46">
            <v>0.5</v>
          </cell>
          <cell r="AZ46">
            <v>0</v>
          </cell>
          <cell r="BA46">
            <v>0.5</v>
          </cell>
          <cell r="BB46">
            <v>0.5</v>
          </cell>
          <cell r="BC46">
            <v>0</v>
          </cell>
          <cell r="BD46">
            <v>0.5</v>
          </cell>
          <cell r="BG46">
            <v>9.9999999999999992E-2</v>
          </cell>
          <cell r="BH46">
            <v>9.9999999999999992E-2</v>
          </cell>
          <cell r="BI46">
            <v>0.12000000000000001</v>
          </cell>
          <cell r="BJ46">
            <v>9.9999999999999992E-2</v>
          </cell>
          <cell r="BK46">
            <v>9.9999999999999992E-2</v>
          </cell>
          <cell r="BL46">
            <v>0.14000000000000001</v>
          </cell>
          <cell r="BM46">
            <v>9.9999999999999992E-2</v>
          </cell>
          <cell r="BN46">
            <v>9.9999999999999992E-2</v>
          </cell>
          <cell r="BO46">
            <v>0.14000000000000001</v>
          </cell>
          <cell r="BP46">
            <v>9.9999999999999992E-2</v>
          </cell>
          <cell r="BQ46">
            <v>9.9999999999999992E-2</v>
          </cell>
          <cell r="BR46">
            <v>0.14000000000000001</v>
          </cell>
          <cell r="BS46">
            <v>9.9999999999999992E-2</v>
          </cell>
          <cell r="BT46">
            <v>9.9999999999999992E-2</v>
          </cell>
          <cell r="BU46">
            <v>0.14000000000000001</v>
          </cell>
          <cell r="BV46">
            <v>9.9999999999999992E-2</v>
          </cell>
          <cell r="BW46">
            <v>9.9999999999999992E-2</v>
          </cell>
          <cell r="BX46">
            <v>0.14000000000000001</v>
          </cell>
          <cell r="BY46">
            <v>9.9999999999999992E-2</v>
          </cell>
          <cell r="BZ46">
            <v>9.9999999999999992E-2</v>
          </cell>
          <cell r="CA46">
            <v>0.14000000000000001</v>
          </cell>
          <cell r="CB46">
            <v>9.9999999999999992E-2</v>
          </cell>
          <cell r="CC46">
            <v>9.9999999999999992E-2</v>
          </cell>
          <cell r="CD46">
            <v>0.14000000000000001</v>
          </cell>
          <cell r="CE46">
            <v>9.9999999999999992E-2</v>
          </cell>
          <cell r="CF46">
            <v>9.9999999999999992E-2</v>
          </cell>
          <cell r="CG46">
            <v>0.14000000000000001</v>
          </cell>
          <cell r="CH46">
            <v>9.9999999999999992E-2</v>
          </cell>
          <cell r="CI46">
            <v>9.9999999999999992E-2</v>
          </cell>
          <cell r="CJ46">
            <v>0.14000000000000001</v>
          </cell>
          <cell r="CK46">
            <v>9.9999999999999992E-2</v>
          </cell>
          <cell r="CL46">
            <v>9.9999999999999992E-2</v>
          </cell>
          <cell r="CM46">
            <v>0.14000000000000001</v>
          </cell>
          <cell r="CN46">
            <v>9.9999999999999992E-2</v>
          </cell>
          <cell r="CO46">
            <v>9.9999999999999992E-2</v>
          </cell>
          <cell r="CP46">
            <v>0.14000000000000001</v>
          </cell>
          <cell r="CQ46">
            <v>9.9999999999999992E-2</v>
          </cell>
          <cell r="CR46">
            <v>9.9999999999999992E-2</v>
          </cell>
          <cell r="CS46">
            <v>0.14000000000000001</v>
          </cell>
          <cell r="CV46">
            <v>4.4999999999999998E-2</v>
          </cell>
          <cell r="CW46">
            <v>4.4999999999999998E-2</v>
          </cell>
          <cell r="CX46">
            <v>0.03</v>
          </cell>
          <cell r="CY46">
            <v>4.4999999999999998E-2</v>
          </cell>
          <cell r="CZ46">
            <v>4.4999999999999998E-2</v>
          </cell>
          <cell r="DA46">
            <v>0.03</v>
          </cell>
          <cell r="DB46">
            <v>4.4999999999999998E-2</v>
          </cell>
          <cell r="DC46">
            <v>4.4999999999999998E-2</v>
          </cell>
          <cell r="DD46">
            <v>0.03</v>
          </cell>
          <cell r="DE46">
            <v>4.4999999999999998E-2</v>
          </cell>
          <cell r="DF46">
            <v>4.4999999999999998E-2</v>
          </cell>
          <cell r="DG46">
            <v>0.03</v>
          </cell>
          <cell r="DH46">
            <v>4.4999999999999998E-2</v>
          </cell>
          <cell r="DI46">
            <v>4.4999999999999998E-2</v>
          </cell>
          <cell r="DJ46">
            <v>0.03</v>
          </cell>
          <cell r="DK46">
            <v>4.4999999999999998E-2</v>
          </cell>
          <cell r="DL46">
            <v>4.4999999999999998E-2</v>
          </cell>
          <cell r="DM46">
            <v>0.03</v>
          </cell>
          <cell r="DN46">
            <v>4.4999999999999998E-2</v>
          </cell>
          <cell r="DO46">
            <v>4.4999999999999998E-2</v>
          </cell>
          <cell r="DP46">
            <v>0.03</v>
          </cell>
          <cell r="DQ46">
            <v>4.4999999999999998E-2</v>
          </cell>
          <cell r="DR46">
            <v>4.4999999999999998E-2</v>
          </cell>
          <cell r="DS46">
            <v>0.03</v>
          </cell>
          <cell r="DT46">
            <v>4.4999999999999998E-2</v>
          </cell>
          <cell r="DU46">
            <v>4.4999999999999998E-2</v>
          </cell>
          <cell r="DV46">
            <v>0.03</v>
          </cell>
          <cell r="DW46">
            <v>4.4999999999999998E-2</v>
          </cell>
          <cell r="DX46">
            <v>4.4999999999999998E-2</v>
          </cell>
          <cell r="DY46">
            <v>0.03</v>
          </cell>
          <cell r="DZ46">
            <v>4.4999999999999998E-2</v>
          </cell>
          <cell r="EA46">
            <v>4.4999999999999998E-2</v>
          </cell>
          <cell r="EB46">
            <v>0.03</v>
          </cell>
          <cell r="EC46">
            <v>4.4999999999999998E-2</v>
          </cell>
          <cell r="ED46">
            <v>4.4999999999999998E-2</v>
          </cell>
          <cell r="EE46">
            <v>0.03</v>
          </cell>
          <cell r="EG46">
            <v>5.7500000000000002E-2</v>
          </cell>
          <cell r="EH46">
            <v>6.7500000000000004E-2</v>
          </cell>
          <cell r="EI46">
            <v>6.7500000000000004E-2</v>
          </cell>
          <cell r="EJ46">
            <v>6.7500000000000004E-2</v>
          </cell>
          <cell r="EK46">
            <v>6.7500000000000004E-2</v>
          </cell>
          <cell r="EL46">
            <v>6.7500000000000004E-2</v>
          </cell>
          <cell r="EM46">
            <v>6.7500000000000004E-2</v>
          </cell>
          <cell r="EN46">
            <v>6.7500000000000004E-2</v>
          </cell>
          <cell r="EO46">
            <v>6.7500000000000004E-2</v>
          </cell>
          <cell r="EP46">
            <v>6.7500000000000004E-2</v>
          </cell>
          <cell r="EQ46">
            <v>6.7500000000000004E-2</v>
          </cell>
          <cell r="ER46">
            <v>6.7500000000000004E-2</v>
          </cell>
          <cell r="ES46">
            <v>6.7500000000000004E-2</v>
          </cell>
          <cell r="EU46">
            <v>0.11</v>
          </cell>
          <cell r="EV46">
            <v>0.12</v>
          </cell>
          <cell r="EW46">
            <v>0.12</v>
          </cell>
          <cell r="EX46">
            <v>0.12</v>
          </cell>
          <cell r="EY46">
            <v>0.12</v>
          </cell>
          <cell r="EZ46">
            <v>0.12</v>
          </cell>
          <cell r="FA46">
            <v>0.12</v>
          </cell>
          <cell r="FB46">
            <v>0.12</v>
          </cell>
          <cell r="FC46">
            <v>0.12</v>
          </cell>
          <cell r="FD46">
            <v>0.12</v>
          </cell>
          <cell r="FE46">
            <v>0.12</v>
          </cell>
          <cell r="FF46">
            <v>0.12</v>
          </cell>
          <cell r="FG46">
            <v>0.12</v>
          </cell>
        </row>
        <row r="47">
          <cell r="C47" t="str">
            <v>Rifter MCA GT Diesel 130hp AT</v>
          </cell>
          <cell r="D47" t="str">
            <v>Rifter MCA GT Diésel 130 EAT8 </v>
          </cell>
          <cell r="G47">
            <v>0.5</v>
          </cell>
          <cell r="H47">
            <v>0.5</v>
          </cell>
          <cell r="I47">
            <v>0.5</v>
          </cell>
          <cell r="J47">
            <v>0.5</v>
          </cell>
          <cell r="K47">
            <v>0.5</v>
          </cell>
          <cell r="L47">
            <v>0.5</v>
          </cell>
          <cell r="M47">
            <v>0.5</v>
          </cell>
          <cell r="N47">
            <v>0.5</v>
          </cell>
          <cell r="O47">
            <v>0.5</v>
          </cell>
          <cell r="P47">
            <v>0.5</v>
          </cell>
          <cell r="Q47">
            <v>0.5</v>
          </cell>
          <cell r="R47">
            <v>0.5</v>
          </cell>
          <cell r="U47">
            <v>0.5</v>
          </cell>
          <cell r="V47">
            <v>0</v>
          </cell>
          <cell r="W47">
            <v>0.5</v>
          </cell>
          <cell r="X47">
            <v>0.5</v>
          </cell>
          <cell r="Y47">
            <v>0</v>
          </cell>
          <cell r="Z47">
            <v>0.5</v>
          </cell>
          <cell r="AA47">
            <v>0.5</v>
          </cell>
          <cell r="AB47">
            <v>0</v>
          </cell>
          <cell r="AC47">
            <v>0.5</v>
          </cell>
          <cell r="AD47">
            <v>0.5</v>
          </cell>
          <cell r="AE47">
            <v>0</v>
          </cell>
          <cell r="AF47">
            <v>0.5</v>
          </cell>
          <cell r="AG47">
            <v>0.5</v>
          </cell>
          <cell r="AH47">
            <v>0</v>
          </cell>
          <cell r="AI47">
            <v>0.5</v>
          </cell>
          <cell r="AJ47">
            <v>0.5</v>
          </cell>
          <cell r="AK47">
            <v>0</v>
          </cell>
          <cell r="AL47">
            <v>0.5</v>
          </cell>
          <cell r="AM47">
            <v>0.5</v>
          </cell>
          <cell r="AN47">
            <v>0</v>
          </cell>
          <cell r="AO47">
            <v>0.5</v>
          </cell>
          <cell r="AP47">
            <v>0.5</v>
          </cell>
          <cell r="AQ47">
            <v>0</v>
          </cell>
          <cell r="AR47">
            <v>0.5</v>
          </cell>
          <cell r="AS47">
            <v>0.5</v>
          </cell>
          <cell r="AT47">
            <v>0</v>
          </cell>
          <cell r="AU47">
            <v>0.5</v>
          </cell>
          <cell r="AV47">
            <v>0.5</v>
          </cell>
          <cell r="AW47">
            <v>0</v>
          </cell>
          <cell r="AX47">
            <v>0.5</v>
          </cell>
          <cell r="AY47">
            <v>0.5</v>
          </cell>
          <cell r="AZ47">
            <v>0</v>
          </cell>
          <cell r="BA47">
            <v>0.5</v>
          </cell>
          <cell r="BB47">
            <v>0.5</v>
          </cell>
          <cell r="BC47">
            <v>0</v>
          </cell>
          <cell r="BD47">
            <v>0.5</v>
          </cell>
          <cell r="BG47">
            <v>9.9999999999999992E-2</v>
          </cell>
          <cell r="BH47">
            <v>9.9999999999999992E-2</v>
          </cell>
          <cell r="BI47">
            <v>0.12000000000000001</v>
          </cell>
          <cell r="BJ47">
            <v>9.9999999999999992E-2</v>
          </cell>
          <cell r="BK47">
            <v>9.9999999999999992E-2</v>
          </cell>
          <cell r="BL47">
            <v>0.14000000000000001</v>
          </cell>
          <cell r="BM47">
            <v>9.9999999999999992E-2</v>
          </cell>
          <cell r="BN47">
            <v>9.9999999999999992E-2</v>
          </cell>
          <cell r="BO47">
            <v>0.14000000000000001</v>
          </cell>
          <cell r="BP47">
            <v>9.9999999999999992E-2</v>
          </cell>
          <cell r="BQ47">
            <v>9.9999999999999992E-2</v>
          </cell>
          <cell r="BR47">
            <v>0.14000000000000001</v>
          </cell>
          <cell r="BS47">
            <v>9.9999999999999992E-2</v>
          </cell>
          <cell r="BT47">
            <v>9.9999999999999992E-2</v>
          </cell>
          <cell r="BU47">
            <v>0.14000000000000001</v>
          </cell>
          <cell r="BV47">
            <v>9.9999999999999992E-2</v>
          </cell>
          <cell r="BW47">
            <v>9.9999999999999992E-2</v>
          </cell>
          <cell r="BX47">
            <v>0.14000000000000001</v>
          </cell>
          <cell r="BY47">
            <v>9.9999999999999992E-2</v>
          </cell>
          <cell r="BZ47">
            <v>9.9999999999999992E-2</v>
          </cell>
          <cell r="CA47">
            <v>0.14000000000000001</v>
          </cell>
          <cell r="CB47">
            <v>9.9999999999999992E-2</v>
          </cell>
          <cell r="CC47">
            <v>9.9999999999999992E-2</v>
          </cell>
          <cell r="CD47">
            <v>0.14000000000000001</v>
          </cell>
          <cell r="CE47">
            <v>9.9999999999999992E-2</v>
          </cell>
          <cell r="CF47">
            <v>9.9999999999999992E-2</v>
          </cell>
          <cell r="CG47">
            <v>0.14000000000000001</v>
          </cell>
          <cell r="CH47">
            <v>9.9999999999999992E-2</v>
          </cell>
          <cell r="CI47">
            <v>9.9999999999999992E-2</v>
          </cell>
          <cell r="CJ47">
            <v>0.14000000000000001</v>
          </cell>
          <cell r="CK47">
            <v>9.9999999999999992E-2</v>
          </cell>
          <cell r="CL47">
            <v>9.9999999999999992E-2</v>
          </cell>
          <cell r="CM47">
            <v>0.14000000000000001</v>
          </cell>
          <cell r="CN47">
            <v>9.9999999999999992E-2</v>
          </cell>
          <cell r="CO47">
            <v>9.9999999999999992E-2</v>
          </cell>
          <cell r="CP47">
            <v>0.14000000000000001</v>
          </cell>
          <cell r="CQ47">
            <v>9.9999999999999992E-2</v>
          </cell>
          <cell r="CR47">
            <v>9.9999999999999992E-2</v>
          </cell>
          <cell r="CS47">
            <v>0.14000000000000001</v>
          </cell>
          <cell r="CV47">
            <v>4.4999999999999998E-2</v>
          </cell>
          <cell r="CW47">
            <v>4.4999999999999998E-2</v>
          </cell>
          <cell r="CX47">
            <v>0.03</v>
          </cell>
          <cell r="CY47">
            <v>4.4999999999999998E-2</v>
          </cell>
          <cell r="CZ47">
            <v>4.4999999999999998E-2</v>
          </cell>
          <cell r="DA47">
            <v>0.03</v>
          </cell>
          <cell r="DB47">
            <v>4.4999999999999998E-2</v>
          </cell>
          <cell r="DC47">
            <v>4.4999999999999998E-2</v>
          </cell>
          <cell r="DD47">
            <v>0.03</v>
          </cell>
          <cell r="DE47">
            <v>4.4999999999999998E-2</v>
          </cell>
          <cell r="DF47">
            <v>4.4999999999999998E-2</v>
          </cell>
          <cell r="DG47">
            <v>0.03</v>
          </cell>
          <cell r="DH47">
            <v>4.4999999999999998E-2</v>
          </cell>
          <cell r="DI47">
            <v>4.4999999999999998E-2</v>
          </cell>
          <cell r="DJ47">
            <v>0.03</v>
          </cell>
          <cell r="DK47">
            <v>4.4999999999999998E-2</v>
          </cell>
          <cell r="DL47">
            <v>4.4999999999999998E-2</v>
          </cell>
          <cell r="DM47">
            <v>0.03</v>
          </cell>
          <cell r="DN47">
            <v>4.4999999999999998E-2</v>
          </cell>
          <cell r="DO47">
            <v>4.4999999999999998E-2</v>
          </cell>
          <cell r="DP47">
            <v>0.03</v>
          </cell>
          <cell r="DQ47">
            <v>4.4999999999999998E-2</v>
          </cell>
          <cell r="DR47">
            <v>4.4999999999999998E-2</v>
          </cell>
          <cell r="DS47">
            <v>0.03</v>
          </cell>
          <cell r="DT47">
            <v>4.4999999999999998E-2</v>
          </cell>
          <cell r="DU47">
            <v>4.4999999999999998E-2</v>
          </cell>
          <cell r="DV47">
            <v>0.03</v>
          </cell>
          <cell r="DW47">
            <v>4.4999999999999998E-2</v>
          </cell>
          <cell r="DX47">
            <v>4.4999999999999998E-2</v>
          </cell>
          <cell r="DY47">
            <v>0.03</v>
          </cell>
          <cell r="DZ47">
            <v>4.4999999999999998E-2</v>
          </cell>
          <cell r="EA47">
            <v>4.4999999999999998E-2</v>
          </cell>
          <cell r="EB47">
            <v>0.03</v>
          </cell>
          <cell r="EC47">
            <v>4.4999999999999998E-2</v>
          </cell>
          <cell r="ED47">
            <v>4.4999999999999998E-2</v>
          </cell>
          <cell r="EE47">
            <v>0.03</v>
          </cell>
          <cell r="EG47">
            <v>5.7500000000000002E-2</v>
          </cell>
          <cell r="EH47">
            <v>6.7500000000000004E-2</v>
          </cell>
          <cell r="EI47">
            <v>6.7500000000000004E-2</v>
          </cell>
          <cell r="EJ47">
            <v>6.7500000000000004E-2</v>
          </cell>
          <cell r="EK47">
            <v>6.7500000000000004E-2</v>
          </cell>
          <cell r="EL47">
            <v>6.7500000000000004E-2</v>
          </cell>
          <cell r="EM47">
            <v>6.7500000000000004E-2</v>
          </cell>
          <cell r="EN47">
            <v>6.7500000000000004E-2</v>
          </cell>
          <cell r="EO47">
            <v>6.7500000000000004E-2</v>
          </cell>
          <cell r="EP47">
            <v>6.7500000000000004E-2</v>
          </cell>
          <cell r="EQ47">
            <v>6.7500000000000004E-2</v>
          </cell>
          <cell r="ER47">
            <v>6.7500000000000004E-2</v>
          </cell>
          <cell r="ES47">
            <v>6.7500000000000004E-2</v>
          </cell>
          <cell r="EU47">
            <v>0.11</v>
          </cell>
          <cell r="EV47">
            <v>0.12</v>
          </cell>
          <cell r="EW47">
            <v>0.12</v>
          </cell>
          <cell r="EX47">
            <v>0.12</v>
          </cell>
          <cell r="EY47">
            <v>0.12</v>
          </cell>
          <cell r="EZ47">
            <v>0.12</v>
          </cell>
          <cell r="FA47">
            <v>0.12</v>
          </cell>
          <cell r="FB47">
            <v>0.12</v>
          </cell>
          <cell r="FC47">
            <v>0.12</v>
          </cell>
          <cell r="FD47">
            <v>0.12</v>
          </cell>
          <cell r="FE47">
            <v>0.12</v>
          </cell>
          <cell r="FF47">
            <v>0.12</v>
          </cell>
          <cell r="FG47">
            <v>0.12</v>
          </cell>
        </row>
        <row r="48">
          <cell r="C48" t="str">
            <v>Partner MCA L1 BlueHDi 100</v>
          </cell>
          <cell r="D48" t="str">
            <v>Partner MCA L1 Diesel 100hp MT</v>
          </cell>
          <cell r="G48">
            <v>0.8</v>
          </cell>
          <cell r="H48">
            <v>0.8</v>
          </cell>
          <cell r="I48">
            <v>0.8</v>
          </cell>
          <cell r="J48">
            <v>0.8</v>
          </cell>
          <cell r="K48">
            <v>0.8</v>
          </cell>
          <cell r="L48">
            <v>0.8</v>
          </cell>
          <cell r="M48">
            <v>0.8</v>
          </cell>
          <cell r="N48">
            <v>0.8</v>
          </cell>
          <cell r="O48">
            <v>0.8</v>
          </cell>
          <cell r="P48">
            <v>0.8</v>
          </cell>
          <cell r="Q48">
            <v>0.8</v>
          </cell>
          <cell r="R48">
            <v>0.8</v>
          </cell>
          <cell r="U48">
            <v>0.5</v>
          </cell>
          <cell r="V48">
            <v>0.25</v>
          </cell>
          <cell r="W48">
            <v>0.25</v>
          </cell>
          <cell r="X48">
            <v>0.5</v>
          </cell>
          <cell r="Y48">
            <v>0.25</v>
          </cell>
          <cell r="Z48">
            <v>0.25</v>
          </cell>
          <cell r="AA48">
            <v>0.47000000000000003</v>
          </cell>
          <cell r="AB48">
            <v>0.09</v>
          </cell>
          <cell r="AC48">
            <v>0.44</v>
          </cell>
          <cell r="AD48">
            <v>0.45500000000000002</v>
          </cell>
          <cell r="AE48">
            <v>0.45500000000000002</v>
          </cell>
          <cell r="AF48">
            <v>0.09</v>
          </cell>
          <cell r="AG48">
            <v>0.33</v>
          </cell>
          <cell r="AH48">
            <v>0.33</v>
          </cell>
          <cell r="AI48">
            <v>0.34</v>
          </cell>
          <cell r="AJ48">
            <v>0.33</v>
          </cell>
          <cell r="AK48">
            <v>0.33</v>
          </cell>
          <cell r="AL48">
            <v>0.34</v>
          </cell>
          <cell r="AM48">
            <v>0.5</v>
          </cell>
          <cell r="AN48">
            <v>0.25</v>
          </cell>
          <cell r="AO48">
            <v>0.25</v>
          </cell>
          <cell r="AP48">
            <v>0.5</v>
          </cell>
          <cell r="AQ48">
            <v>0.25</v>
          </cell>
          <cell r="AR48">
            <v>0.25</v>
          </cell>
          <cell r="AS48">
            <v>0.5</v>
          </cell>
          <cell r="AT48">
            <v>0.25</v>
          </cell>
          <cell r="AU48">
            <v>0.25</v>
          </cell>
          <cell r="AV48">
            <v>0.5</v>
          </cell>
          <cell r="AW48">
            <v>0.25</v>
          </cell>
          <cell r="AX48">
            <v>0.25</v>
          </cell>
          <cell r="AY48">
            <v>0.5</v>
          </cell>
          <cell r="AZ48">
            <v>0.25</v>
          </cell>
          <cell r="BA48">
            <v>0.25</v>
          </cell>
          <cell r="BB48">
            <v>0.5</v>
          </cell>
          <cell r="BC48">
            <v>0.25</v>
          </cell>
          <cell r="BD48">
            <v>0.25</v>
          </cell>
          <cell r="BG48">
            <v>0.105</v>
          </cell>
          <cell r="BH48">
            <v>0.14499999999999999</v>
          </cell>
          <cell r="BI48">
            <v>0.22500000000000001</v>
          </cell>
          <cell r="BJ48">
            <v>0.1</v>
          </cell>
          <cell r="BK48">
            <v>0.14000000000000001</v>
          </cell>
          <cell r="BL48">
            <v>0.22</v>
          </cell>
          <cell r="BM48">
            <v>0.1</v>
          </cell>
          <cell r="BN48">
            <v>0.14000000000000001</v>
          </cell>
          <cell r="BO48">
            <v>0.22</v>
          </cell>
          <cell r="BP48">
            <v>0.1</v>
          </cell>
          <cell r="BQ48">
            <v>0.14000000000000001</v>
          </cell>
          <cell r="BR48">
            <v>0.18</v>
          </cell>
          <cell r="BS48">
            <v>0.1</v>
          </cell>
          <cell r="BT48">
            <v>0.14000000000000001</v>
          </cell>
          <cell r="BU48">
            <v>0.18</v>
          </cell>
          <cell r="BV48">
            <v>0.1</v>
          </cell>
          <cell r="BW48">
            <v>0.14000000000000001</v>
          </cell>
          <cell r="BX48">
            <v>0.18</v>
          </cell>
          <cell r="BY48">
            <v>0.1</v>
          </cell>
          <cell r="BZ48">
            <v>0.14000000000000001</v>
          </cell>
          <cell r="CA48">
            <v>0.18</v>
          </cell>
          <cell r="CB48">
            <v>0.1</v>
          </cell>
          <cell r="CC48">
            <v>0.14000000000000001</v>
          </cell>
          <cell r="CD48">
            <v>0.18</v>
          </cell>
          <cell r="CE48">
            <v>0.1</v>
          </cell>
          <cell r="CF48">
            <v>0.14000000000000001</v>
          </cell>
          <cell r="CG48">
            <v>0.18</v>
          </cell>
          <cell r="CH48">
            <v>0.1</v>
          </cell>
          <cell r="CI48">
            <v>0.14000000000000001</v>
          </cell>
          <cell r="CJ48">
            <v>0.18</v>
          </cell>
          <cell r="CK48">
            <v>0.1</v>
          </cell>
          <cell r="CL48">
            <v>0.14000000000000001</v>
          </cell>
          <cell r="CM48">
            <v>0.18</v>
          </cell>
          <cell r="CN48">
            <v>0.1</v>
          </cell>
          <cell r="CO48">
            <v>0.14000000000000001</v>
          </cell>
          <cell r="CP48">
            <v>0.18</v>
          </cell>
          <cell r="CQ48">
            <v>0.1</v>
          </cell>
          <cell r="CR48">
            <v>0.14000000000000001</v>
          </cell>
          <cell r="CS48">
            <v>0.18</v>
          </cell>
          <cell r="CV48">
            <v>5.5E-2</v>
          </cell>
          <cell r="CW48">
            <v>0.05</v>
          </cell>
          <cell r="CX48">
            <v>0.03</v>
          </cell>
          <cell r="CY48">
            <v>5.5E-2</v>
          </cell>
          <cell r="CZ48">
            <v>0.05</v>
          </cell>
          <cell r="DA48">
            <v>0.03</v>
          </cell>
          <cell r="DB48">
            <v>5.5E-2</v>
          </cell>
          <cell r="DC48">
            <v>0.05</v>
          </cell>
          <cell r="DD48">
            <v>0.04</v>
          </cell>
          <cell r="DE48">
            <v>5.5E-2</v>
          </cell>
          <cell r="DF48">
            <v>0.05</v>
          </cell>
          <cell r="DG48">
            <v>0.04</v>
          </cell>
          <cell r="DH48">
            <v>5.5E-2</v>
          </cell>
          <cell r="DI48">
            <v>0.05</v>
          </cell>
          <cell r="DJ48">
            <v>0.04</v>
          </cell>
          <cell r="DK48">
            <v>5.5E-2</v>
          </cell>
          <cell r="DL48">
            <v>0.05</v>
          </cell>
          <cell r="DM48">
            <v>0.04</v>
          </cell>
          <cell r="DN48">
            <v>5.5E-2</v>
          </cell>
          <cell r="DO48">
            <v>0.05</v>
          </cell>
          <cell r="DP48">
            <v>0.04</v>
          </cell>
          <cell r="DQ48">
            <v>5.5E-2</v>
          </cell>
          <cell r="DR48">
            <v>0.05</v>
          </cell>
          <cell r="DS48">
            <v>0.04</v>
          </cell>
          <cell r="DT48">
            <v>5.5E-2</v>
          </cell>
          <cell r="DU48">
            <v>0.05</v>
          </cell>
          <cell r="DV48">
            <v>0.04</v>
          </cell>
          <cell r="DW48">
            <v>5.5E-2</v>
          </cell>
          <cell r="DX48">
            <v>0.05</v>
          </cell>
          <cell r="DY48">
            <v>0.04</v>
          </cell>
          <cell r="DZ48">
            <v>5.5E-2</v>
          </cell>
          <cell r="EA48">
            <v>0.05</v>
          </cell>
          <cell r="EB48">
            <v>0.04</v>
          </cell>
          <cell r="EC48">
            <v>5.5E-2</v>
          </cell>
          <cell r="ED48">
            <v>0.05</v>
          </cell>
          <cell r="EE48">
            <v>0.04</v>
          </cell>
          <cell r="EG48">
            <v>9.2499999999999985E-2</v>
          </cell>
          <cell r="EH48">
            <v>8.7500000000000008E-2</v>
          </cell>
          <cell r="EI48">
            <v>8.7500000000000008E-2</v>
          </cell>
          <cell r="EJ48">
            <v>8.6750000000000008E-2</v>
          </cell>
          <cell r="EK48">
            <v>7.677500000000001E-2</v>
          </cell>
          <cell r="EL48">
            <v>8.865000000000002E-2</v>
          </cell>
          <cell r="EM48">
            <v>8.865000000000002E-2</v>
          </cell>
          <cell r="EN48">
            <v>0.08</v>
          </cell>
          <cell r="EO48">
            <v>0.08</v>
          </cell>
          <cell r="EP48">
            <v>0.08</v>
          </cell>
          <cell r="EQ48">
            <v>0.08</v>
          </cell>
          <cell r="ER48">
            <v>0.08</v>
          </cell>
          <cell r="ES48">
            <v>0.08</v>
          </cell>
          <cell r="EU48">
            <v>0.14499999999999999</v>
          </cell>
          <cell r="EV48">
            <v>0.14000000000000001</v>
          </cell>
          <cell r="EW48">
            <v>0.14000000000000001</v>
          </cell>
          <cell r="EX48">
            <v>0.13880000000000001</v>
          </cell>
          <cell r="EY48">
            <v>0.12540000000000001</v>
          </cell>
          <cell r="EZ48">
            <v>0.14040000000000002</v>
          </cell>
          <cell r="FA48">
            <v>0.14040000000000002</v>
          </cell>
          <cell r="FB48">
            <v>0.13</v>
          </cell>
          <cell r="FC48">
            <v>0.13</v>
          </cell>
          <cell r="FD48">
            <v>0.13</v>
          </cell>
          <cell r="FE48">
            <v>0.13</v>
          </cell>
          <cell r="FF48">
            <v>0.13</v>
          </cell>
          <cell r="FG48">
            <v>0.13</v>
          </cell>
        </row>
        <row r="49">
          <cell r="C49" t="str">
            <v>PARTNER MCA L2 BLUEHDI 100</v>
          </cell>
          <cell r="D49" t="str">
            <v>Partner MCA L2 Diesel 100hp MT</v>
          </cell>
          <cell r="G49">
            <v>0.8</v>
          </cell>
          <cell r="H49">
            <v>0.8</v>
          </cell>
          <cell r="I49">
            <v>0.8</v>
          </cell>
          <cell r="J49">
            <v>0.8</v>
          </cell>
          <cell r="K49">
            <v>0.8</v>
          </cell>
          <cell r="L49">
            <v>0.8</v>
          </cell>
          <cell r="M49">
            <v>0.8</v>
          </cell>
          <cell r="N49">
            <v>0.8</v>
          </cell>
          <cell r="O49">
            <v>0.8</v>
          </cell>
          <cell r="P49">
            <v>0.8</v>
          </cell>
          <cell r="Q49">
            <v>0.8</v>
          </cell>
          <cell r="R49">
            <v>0.8</v>
          </cell>
          <cell r="U49">
            <v>0.7</v>
          </cell>
          <cell r="V49">
            <v>0.2</v>
          </cell>
          <cell r="W49">
            <v>0.1</v>
          </cell>
          <cell r="X49">
            <v>0.7</v>
          </cell>
          <cell r="Y49">
            <v>0.2</v>
          </cell>
          <cell r="Z49">
            <v>0.1</v>
          </cell>
          <cell r="AA49">
            <v>0.44999999999999996</v>
          </cell>
          <cell r="AB49">
            <v>0.05</v>
          </cell>
          <cell r="AC49">
            <v>0.5</v>
          </cell>
          <cell r="AD49">
            <v>0.28500000000000003</v>
          </cell>
          <cell r="AE49">
            <v>0.28500000000000003</v>
          </cell>
          <cell r="AF49">
            <v>0.43</v>
          </cell>
          <cell r="AG49">
            <v>0.33</v>
          </cell>
          <cell r="AH49">
            <v>0.33</v>
          </cell>
          <cell r="AI49">
            <v>0.34</v>
          </cell>
          <cell r="AJ49">
            <v>0.33</v>
          </cell>
          <cell r="AK49">
            <v>0.33</v>
          </cell>
          <cell r="AL49">
            <v>0.34</v>
          </cell>
          <cell r="AM49">
            <v>0.7</v>
          </cell>
          <cell r="AN49">
            <v>0.2</v>
          </cell>
          <cell r="AO49">
            <v>0.1</v>
          </cell>
          <cell r="AP49">
            <v>0.7</v>
          </cell>
          <cell r="AQ49">
            <v>0.2</v>
          </cell>
          <cell r="AR49">
            <v>0.1</v>
          </cell>
          <cell r="AS49">
            <v>0.7</v>
          </cell>
          <cell r="AT49">
            <v>0.2</v>
          </cell>
          <cell r="AU49">
            <v>0.1</v>
          </cell>
          <cell r="AV49">
            <v>0.7</v>
          </cell>
          <cell r="AW49">
            <v>0.2</v>
          </cell>
          <cell r="AX49">
            <v>0.1</v>
          </cell>
          <cell r="AY49">
            <v>0.7</v>
          </cell>
          <cell r="AZ49">
            <v>0.2</v>
          </cell>
          <cell r="BA49">
            <v>0.1</v>
          </cell>
          <cell r="BB49">
            <v>0.7</v>
          </cell>
          <cell r="BC49">
            <v>0.2</v>
          </cell>
          <cell r="BD49">
            <v>0.1</v>
          </cell>
          <cell r="BG49">
            <v>0.105</v>
          </cell>
          <cell r="BH49">
            <v>0.14499999999999999</v>
          </cell>
          <cell r="BI49">
            <v>0.20499999999999999</v>
          </cell>
          <cell r="BJ49">
            <v>0.1</v>
          </cell>
          <cell r="BK49">
            <v>0.14000000000000001</v>
          </cell>
          <cell r="BL49">
            <v>0.22</v>
          </cell>
          <cell r="BM49">
            <v>0.1</v>
          </cell>
          <cell r="BN49">
            <v>0.14000000000000001</v>
          </cell>
          <cell r="BO49">
            <v>0.22</v>
          </cell>
          <cell r="BP49">
            <v>0.1</v>
          </cell>
          <cell r="BQ49">
            <v>0.14000000000000001</v>
          </cell>
          <cell r="BR49">
            <v>0.18</v>
          </cell>
          <cell r="BS49">
            <v>0.1</v>
          </cell>
          <cell r="BT49">
            <v>0.14000000000000001</v>
          </cell>
          <cell r="BU49">
            <v>0.18</v>
          </cell>
          <cell r="BV49">
            <v>0.1</v>
          </cell>
          <cell r="BW49">
            <v>0.14000000000000001</v>
          </cell>
          <cell r="BX49">
            <v>0.18</v>
          </cell>
          <cell r="BY49">
            <v>0.1</v>
          </cell>
          <cell r="BZ49">
            <v>0.14000000000000001</v>
          </cell>
          <cell r="CA49">
            <v>0.18</v>
          </cell>
          <cell r="CB49">
            <v>0.1</v>
          </cell>
          <cell r="CC49">
            <v>0.14000000000000001</v>
          </cell>
          <cell r="CD49">
            <v>0.18</v>
          </cell>
          <cell r="CE49">
            <v>0.1</v>
          </cell>
          <cell r="CF49">
            <v>0.14000000000000001</v>
          </cell>
          <cell r="CG49">
            <v>0.18</v>
          </cell>
          <cell r="CH49">
            <v>0.1</v>
          </cell>
          <cell r="CI49">
            <v>0.14000000000000001</v>
          </cell>
          <cell r="CJ49">
            <v>0.18</v>
          </cell>
          <cell r="CK49">
            <v>0.1</v>
          </cell>
          <cell r="CL49">
            <v>0.14000000000000001</v>
          </cell>
          <cell r="CM49">
            <v>0.18</v>
          </cell>
          <cell r="CN49">
            <v>0.1</v>
          </cell>
          <cell r="CO49">
            <v>0.14000000000000001</v>
          </cell>
          <cell r="CP49">
            <v>0.18</v>
          </cell>
          <cell r="CQ49">
            <v>0.1</v>
          </cell>
          <cell r="CR49">
            <v>0.14000000000000001</v>
          </cell>
          <cell r="CS49">
            <v>0.18</v>
          </cell>
          <cell r="CV49">
            <v>5.5E-2</v>
          </cell>
          <cell r="CW49">
            <v>0.05</v>
          </cell>
          <cell r="CX49">
            <v>0.03</v>
          </cell>
          <cell r="CY49">
            <v>5.5E-2</v>
          </cell>
          <cell r="CZ49">
            <v>0.05</v>
          </cell>
          <cell r="DA49">
            <v>0.03</v>
          </cell>
          <cell r="DB49">
            <v>5.5E-2</v>
          </cell>
          <cell r="DC49">
            <v>0.05</v>
          </cell>
          <cell r="DD49">
            <v>0.04</v>
          </cell>
          <cell r="DE49">
            <v>5.5E-2</v>
          </cell>
          <cell r="DF49">
            <v>0.05</v>
          </cell>
          <cell r="DG49">
            <v>0.04</v>
          </cell>
          <cell r="DH49">
            <v>5.5E-2</v>
          </cell>
          <cell r="DI49">
            <v>0.05</v>
          </cell>
          <cell r="DJ49">
            <v>0.04</v>
          </cell>
          <cell r="DK49">
            <v>5.5E-2</v>
          </cell>
          <cell r="DL49">
            <v>0.05</v>
          </cell>
          <cell r="DM49">
            <v>0.04</v>
          </cell>
          <cell r="DN49">
            <v>5.5E-2</v>
          </cell>
          <cell r="DO49">
            <v>0.05</v>
          </cell>
          <cell r="DP49">
            <v>0.04</v>
          </cell>
          <cell r="DQ49">
            <v>5.5E-2</v>
          </cell>
          <cell r="DR49">
            <v>0.05</v>
          </cell>
          <cell r="DS49">
            <v>0.04</v>
          </cell>
          <cell r="DT49">
            <v>5.5E-2</v>
          </cell>
          <cell r="DU49">
            <v>0.05</v>
          </cell>
          <cell r="DV49">
            <v>0.04</v>
          </cell>
          <cell r="DW49">
            <v>5.5E-2</v>
          </cell>
          <cell r="DX49">
            <v>0.05</v>
          </cell>
          <cell r="DY49">
            <v>0.04</v>
          </cell>
          <cell r="DZ49">
            <v>5.5E-2</v>
          </cell>
          <cell r="EA49">
            <v>0.05</v>
          </cell>
          <cell r="EB49">
            <v>0.04</v>
          </cell>
          <cell r="EC49">
            <v>5.5E-2</v>
          </cell>
          <cell r="ED49">
            <v>0.05</v>
          </cell>
          <cell r="EE49">
            <v>0.04</v>
          </cell>
          <cell r="EG49">
            <v>7.4499999999999997E-2</v>
          </cell>
          <cell r="EH49">
            <v>7.1500000000000008E-2</v>
          </cell>
          <cell r="EI49">
            <v>7.1500000000000008E-2</v>
          </cell>
          <cell r="EJ49">
            <v>8.9249999999999982E-2</v>
          </cell>
          <cell r="EK49">
            <v>9.2925000000000008E-2</v>
          </cell>
          <cell r="EL49">
            <v>8.865000000000002E-2</v>
          </cell>
          <cell r="EM49">
            <v>8.865000000000002E-2</v>
          </cell>
          <cell r="EN49">
            <v>6.8500000000000005E-2</v>
          </cell>
          <cell r="EO49">
            <v>6.8500000000000005E-2</v>
          </cell>
          <cell r="EP49">
            <v>6.8500000000000005E-2</v>
          </cell>
          <cell r="EQ49">
            <v>6.8500000000000005E-2</v>
          </cell>
          <cell r="ER49">
            <v>6.8500000000000005E-2</v>
          </cell>
          <cell r="ES49">
            <v>6.8500000000000005E-2</v>
          </cell>
          <cell r="EU49">
            <v>0.123</v>
          </cell>
          <cell r="EV49">
            <v>0.12000000000000001</v>
          </cell>
          <cell r="EW49">
            <v>0.12000000000000001</v>
          </cell>
          <cell r="EX49">
            <v>0.14199999999999999</v>
          </cell>
          <cell r="EY49">
            <v>0.14580000000000001</v>
          </cell>
          <cell r="EZ49">
            <v>0.14040000000000002</v>
          </cell>
          <cell r="FA49">
            <v>0.14040000000000002</v>
          </cell>
          <cell r="FB49">
            <v>0.11600000000000001</v>
          </cell>
          <cell r="FC49">
            <v>0.11600000000000001</v>
          </cell>
          <cell r="FD49">
            <v>0.11600000000000001</v>
          </cell>
          <cell r="FE49">
            <v>0.11600000000000001</v>
          </cell>
          <cell r="FF49">
            <v>0.11600000000000001</v>
          </cell>
          <cell r="FG49">
            <v>0.11600000000000001</v>
          </cell>
        </row>
        <row r="50">
          <cell r="C50" t="str">
            <v>PARTNER MCA L2 EV</v>
          </cell>
          <cell r="D50" t="str">
            <v>Partner MCA L2 Electric</v>
          </cell>
          <cell r="G50">
            <v>1</v>
          </cell>
          <cell r="H50">
            <v>1</v>
          </cell>
          <cell r="I50">
            <v>1</v>
          </cell>
          <cell r="J50">
            <v>1</v>
          </cell>
          <cell r="K50">
            <v>1</v>
          </cell>
          <cell r="L50">
            <v>1</v>
          </cell>
          <cell r="M50">
            <v>1</v>
          </cell>
          <cell r="N50">
            <v>1</v>
          </cell>
          <cell r="O50">
            <v>1</v>
          </cell>
          <cell r="P50">
            <v>1</v>
          </cell>
          <cell r="Q50">
            <v>1</v>
          </cell>
          <cell r="R50">
            <v>1</v>
          </cell>
          <cell r="U50">
            <v>0.5</v>
          </cell>
          <cell r="V50">
            <v>0.3</v>
          </cell>
          <cell r="W50">
            <v>0.2</v>
          </cell>
          <cell r="X50">
            <v>0.5</v>
          </cell>
          <cell r="Y50">
            <v>0.3</v>
          </cell>
          <cell r="Z50">
            <v>0.2</v>
          </cell>
          <cell r="AA50">
            <v>0.5</v>
          </cell>
          <cell r="AB50">
            <v>0.2</v>
          </cell>
          <cell r="AC50">
            <v>0.7</v>
          </cell>
          <cell r="AD50">
            <v>0.35</v>
          </cell>
          <cell r="AE50">
            <v>0.25</v>
          </cell>
          <cell r="AF50">
            <v>0.4</v>
          </cell>
          <cell r="AG50">
            <v>0.35</v>
          </cell>
          <cell r="AH50">
            <v>0.25</v>
          </cell>
          <cell r="AI50">
            <v>0.4</v>
          </cell>
          <cell r="AJ50">
            <v>0.35</v>
          </cell>
          <cell r="AK50">
            <v>0.25</v>
          </cell>
          <cell r="AL50">
            <v>0.4</v>
          </cell>
          <cell r="AM50">
            <v>0.5</v>
          </cell>
          <cell r="AN50">
            <v>0.3</v>
          </cell>
          <cell r="AO50">
            <v>0.2</v>
          </cell>
          <cell r="AP50">
            <v>0.5</v>
          </cell>
          <cell r="AQ50">
            <v>0.3</v>
          </cell>
          <cell r="AR50">
            <v>0.2</v>
          </cell>
          <cell r="AS50">
            <v>0.5</v>
          </cell>
          <cell r="AT50">
            <v>0.3</v>
          </cell>
          <cell r="AU50">
            <v>0.2</v>
          </cell>
          <cell r="AV50">
            <v>0.5</v>
          </cell>
          <cell r="AW50">
            <v>0.3</v>
          </cell>
          <cell r="AX50">
            <v>0.2</v>
          </cell>
          <cell r="AY50">
            <v>0.5</v>
          </cell>
          <cell r="AZ50">
            <v>0.3</v>
          </cell>
          <cell r="BA50">
            <v>0.2</v>
          </cell>
          <cell r="BB50">
            <v>0.5</v>
          </cell>
          <cell r="BC50">
            <v>0.3</v>
          </cell>
          <cell r="BD50">
            <v>0.2</v>
          </cell>
          <cell r="BG50">
            <v>9.9999999999999992E-2</v>
          </cell>
          <cell r="BH50">
            <v>9.9999999999999992E-2</v>
          </cell>
          <cell r="BI50">
            <v>0.13999999999999999</v>
          </cell>
          <cell r="BJ50">
            <v>9.9999999999999992E-2</v>
          </cell>
          <cell r="BK50">
            <v>9.9999999999999992E-2</v>
          </cell>
          <cell r="BL50">
            <v>0.13999999999999999</v>
          </cell>
          <cell r="BM50">
            <v>9.9999999999999992E-2</v>
          </cell>
          <cell r="BN50">
            <v>9.9999999999999992E-2</v>
          </cell>
          <cell r="BO50">
            <v>0.13999999999999999</v>
          </cell>
          <cell r="BP50">
            <v>9.9999999999999992E-2</v>
          </cell>
          <cell r="BQ50">
            <v>9.9999999999999992E-2</v>
          </cell>
          <cell r="BR50">
            <v>0.13999999999999999</v>
          </cell>
          <cell r="BS50">
            <v>9.9999999999999992E-2</v>
          </cell>
          <cell r="BT50">
            <v>9.9999999999999992E-2</v>
          </cell>
          <cell r="BU50">
            <v>0.13999999999999999</v>
          </cell>
          <cell r="BV50">
            <v>9.9999999999999992E-2</v>
          </cell>
          <cell r="BW50">
            <v>9.9999999999999992E-2</v>
          </cell>
          <cell r="BX50">
            <v>0.13999999999999999</v>
          </cell>
          <cell r="BY50">
            <v>9.9999999999999992E-2</v>
          </cell>
          <cell r="BZ50">
            <v>9.9999999999999992E-2</v>
          </cell>
          <cell r="CA50">
            <v>0.13999999999999999</v>
          </cell>
          <cell r="CB50">
            <v>9.9999999999999992E-2</v>
          </cell>
          <cell r="CC50">
            <v>9.9999999999999992E-2</v>
          </cell>
          <cell r="CD50">
            <v>0.13999999999999999</v>
          </cell>
          <cell r="CE50">
            <v>9.9999999999999992E-2</v>
          </cell>
          <cell r="CF50">
            <v>9.9999999999999992E-2</v>
          </cell>
          <cell r="CG50">
            <v>0.13999999999999999</v>
          </cell>
          <cell r="CH50">
            <v>9.9999999999999992E-2</v>
          </cell>
          <cell r="CI50">
            <v>9.9999999999999992E-2</v>
          </cell>
          <cell r="CJ50">
            <v>0.13999999999999999</v>
          </cell>
          <cell r="CK50">
            <v>9.9999999999999992E-2</v>
          </cell>
          <cell r="CL50">
            <v>9.9999999999999992E-2</v>
          </cell>
          <cell r="CM50">
            <v>0.13999999999999999</v>
          </cell>
          <cell r="CN50">
            <v>9.9999999999999992E-2</v>
          </cell>
          <cell r="CO50">
            <v>9.9999999999999992E-2</v>
          </cell>
          <cell r="CP50">
            <v>0.13999999999999999</v>
          </cell>
          <cell r="CQ50">
            <v>9.9999999999999992E-2</v>
          </cell>
          <cell r="CR50">
            <v>9.9999999999999992E-2</v>
          </cell>
          <cell r="CS50">
            <v>0.13999999999999999</v>
          </cell>
          <cell r="CV50">
            <v>5.5E-2</v>
          </cell>
          <cell r="CW50">
            <v>4.4999999999999998E-2</v>
          </cell>
          <cell r="CX50">
            <v>0.03</v>
          </cell>
          <cell r="CY50">
            <v>5.5E-2</v>
          </cell>
          <cell r="CZ50">
            <v>4.4999999999999998E-2</v>
          </cell>
          <cell r="DA50">
            <v>0.03</v>
          </cell>
          <cell r="DB50">
            <v>5.5E-2</v>
          </cell>
          <cell r="DC50">
            <v>4.4999999999999998E-2</v>
          </cell>
          <cell r="DD50">
            <v>0.03</v>
          </cell>
          <cell r="DE50">
            <v>5.5E-2</v>
          </cell>
          <cell r="DF50">
            <v>4.4999999999999998E-2</v>
          </cell>
          <cell r="DG50">
            <v>0.03</v>
          </cell>
          <cell r="DH50">
            <v>5.5E-2</v>
          </cell>
          <cell r="DI50">
            <v>4.4999999999999998E-2</v>
          </cell>
          <cell r="DJ50">
            <v>0.03</v>
          </cell>
          <cell r="DK50">
            <v>5.5E-2</v>
          </cell>
          <cell r="DL50">
            <v>4.4999999999999998E-2</v>
          </cell>
          <cell r="DM50">
            <v>0.03</v>
          </cell>
          <cell r="DN50">
            <v>5.5E-2</v>
          </cell>
          <cell r="DO50">
            <v>4.4999999999999998E-2</v>
          </cell>
          <cell r="DP50">
            <v>0.03</v>
          </cell>
          <cell r="DQ50">
            <v>5.5E-2</v>
          </cell>
          <cell r="DR50">
            <v>4.4999999999999998E-2</v>
          </cell>
          <cell r="DS50">
            <v>0.03</v>
          </cell>
          <cell r="DT50">
            <v>5.5E-2</v>
          </cell>
          <cell r="DU50">
            <v>4.4999999999999998E-2</v>
          </cell>
          <cell r="DV50">
            <v>0.03</v>
          </cell>
          <cell r="DW50">
            <v>5.5E-2</v>
          </cell>
          <cell r="DX50">
            <v>4.4999999999999998E-2</v>
          </cell>
          <cell r="DY50">
            <v>0.03</v>
          </cell>
          <cell r="DZ50">
            <v>5.5E-2</v>
          </cell>
          <cell r="EA50">
            <v>4.4999999999999998E-2</v>
          </cell>
          <cell r="EB50">
            <v>0.03</v>
          </cell>
          <cell r="EC50">
            <v>5.5E-2</v>
          </cell>
          <cell r="ED50">
            <v>4.4999999999999998E-2</v>
          </cell>
          <cell r="EE50">
            <v>0.03</v>
          </cell>
          <cell r="EG50">
            <v>5.4999999999999979E-2</v>
          </cell>
          <cell r="EH50">
            <v>5.4999999999999979E-2</v>
          </cell>
          <cell r="EI50">
            <v>5.4999999999999979E-2</v>
          </cell>
          <cell r="EJ50">
            <v>0.12549999999999997</v>
          </cell>
          <cell r="EK50">
            <v>5.8499999999999983E-2</v>
          </cell>
          <cell r="EL50">
            <v>5.8499999999999983E-2</v>
          </cell>
          <cell r="EM50">
            <v>5.8499999999999983E-2</v>
          </cell>
          <cell r="EN50">
            <v>5.4999999999999979E-2</v>
          </cell>
          <cell r="EO50">
            <v>5.4999999999999979E-2</v>
          </cell>
          <cell r="EP50">
            <v>5.4999999999999979E-2</v>
          </cell>
          <cell r="EQ50">
            <v>5.4999999999999979E-2</v>
          </cell>
          <cell r="ER50">
            <v>5.4999999999999979E-2</v>
          </cell>
          <cell r="ES50">
            <v>5.4999999999999979E-2</v>
          </cell>
          <cell r="EU50">
            <v>0.10799999999999998</v>
          </cell>
          <cell r="EV50">
            <v>0.10799999999999998</v>
          </cell>
          <cell r="EW50">
            <v>0.10799999999999998</v>
          </cell>
          <cell r="EX50">
            <v>0.16799999999999998</v>
          </cell>
          <cell r="EY50">
            <v>0.11599999999999999</v>
          </cell>
          <cell r="EZ50">
            <v>0.11599999999999999</v>
          </cell>
          <cell r="FA50">
            <v>0.11599999999999999</v>
          </cell>
          <cell r="FB50">
            <v>0.10799999999999998</v>
          </cell>
          <cell r="FC50">
            <v>0.10799999999999998</v>
          </cell>
          <cell r="FD50">
            <v>0.10799999999999998</v>
          </cell>
          <cell r="FE50">
            <v>0.10799999999999998</v>
          </cell>
          <cell r="FF50">
            <v>0.10799999999999998</v>
          </cell>
          <cell r="FG50">
            <v>0.10799999999999998</v>
          </cell>
        </row>
        <row r="51">
          <cell r="D51"/>
          <cell r="G51">
            <v>1</v>
          </cell>
          <cell r="H51">
            <v>1</v>
          </cell>
          <cell r="I51">
            <v>1</v>
          </cell>
          <cell r="J51">
            <v>1</v>
          </cell>
          <cell r="K51">
            <v>1</v>
          </cell>
          <cell r="L51">
            <v>1</v>
          </cell>
          <cell r="M51">
            <v>1</v>
          </cell>
          <cell r="N51">
            <v>1</v>
          </cell>
          <cell r="O51">
            <v>1</v>
          </cell>
          <cell r="P51">
            <v>1</v>
          </cell>
          <cell r="Q51">
            <v>1</v>
          </cell>
          <cell r="R51">
            <v>1</v>
          </cell>
          <cell r="U51">
            <v>0.5</v>
          </cell>
          <cell r="V51">
            <v>0.3</v>
          </cell>
          <cell r="W51">
            <v>0.2</v>
          </cell>
          <cell r="X51">
            <v>0.5</v>
          </cell>
          <cell r="Y51">
            <v>0.3</v>
          </cell>
          <cell r="Z51">
            <v>0.2</v>
          </cell>
          <cell r="AA51">
            <v>0.5</v>
          </cell>
          <cell r="AB51">
            <v>0.2</v>
          </cell>
          <cell r="AC51">
            <v>0.7</v>
          </cell>
          <cell r="AD51">
            <v>0.35</v>
          </cell>
          <cell r="AE51">
            <v>0.25</v>
          </cell>
          <cell r="AF51">
            <v>0.4</v>
          </cell>
          <cell r="AG51">
            <v>0.35</v>
          </cell>
          <cell r="AH51">
            <v>0.25</v>
          </cell>
          <cell r="AI51">
            <v>0.4</v>
          </cell>
          <cell r="AJ51">
            <v>0.35</v>
          </cell>
          <cell r="AK51">
            <v>0.25</v>
          </cell>
          <cell r="AL51">
            <v>0.4</v>
          </cell>
          <cell r="AM51">
            <v>0.5</v>
          </cell>
          <cell r="AN51">
            <v>0.3</v>
          </cell>
          <cell r="AO51">
            <v>0.2</v>
          </cell>
          <cell r="AP51">
            <v>0.5</v>
          </cell>
          <cell r="AQ51">
            <v>0.3</v>
          </cell>
          <cell r="AR51">
            <v>0.2</v>
          </cell>
          <cell r="AS51">
            <v>0.5</v>
          </cell>
          <cell r="AT51">
            <v>0.3</v>
          </cell>
          <cell r="AU51">
            <v>0.2</v>
          </cell>
          <cell r="AV51">
            <v>0.5</v>
          </cell>
          <cell r="AW51">
            <v>0.3</v>
          </cell>
          <cell r="AX51">
            <v>0.2</v>
          </cell>
          <cell r="AY51">
            <v>0.5</v>
          </cell>
          <cell r="AZ51">
            <v>0.3</v>
          </cell>
          <cell r="BA51">
            <v>0.2</v>
          </cell>
          <cell r="BB51">
            <v>0.5</v>
          </cell>
          <cell r="BC51">
            <v>0.3</v>
          </cell>
          <cell r="BD51">
            <v>0.2</v>
          </cell>
          <cell r="BG51">
            <v>9.9999999999999992E-2</v>
          </cell>
          <cell r="BH51">
            <v>9.9999999999999992E-2</v>
          </cell>
          <cell r="BI51">
            <v>0.13999999999999999</v>
          </cell>
          <cell r="BJ51">
            <v>9.9999999999999992E-2</v>
          </cell>
          <cell r="BK51">
            <v>9.9999999999999992E-2</v>
          </cell>
          <cell r="BL51">
            <v>0.13999999999999999</v>
          </cell>
          <cell r="BM51">
            <v>9.9999999999999992E-2</v>
          </cell>
          <cell r="BN51">
            <v>9.9999999999999992E-2</v>
          </cell>
          <cell r="BO51">
            <v>0.13999999999999999</v>
          </cell>
          <cell r="BP51">
            <v>9.9999999999999992E-2</v>
          </cell>
          <cell r="BQ51">
            <v>9.9999999999999992E-2</v>
          </cell>
          <cell r="BR51">
            <v>0.13999999999999999</v>
          </cell>
          <cell r="BS51">
            <v>9.9999999999999992E-2</v>
          </cell>
          <cell r="BT51">
            <v>9.9999999999999992E-2</v>
          </cell>
          <cell r="BU51">
            <v>0.13999999999999999</v>
          </cell>
          <cell r="BV51">
            <v>9.9999999999999992E-2</v>
          </cell>
          <cell r="BW51">
            <v>9.9999999999999992E-2</v>
          </cell>
          <cell r="BX51">
            <v>0.13999999999999999</v>
          </cell>
          <cell r="BY51">
            <v>9.9999999999999992E-2</v>
          </cell>
          <cell r="BZ51">
            <v>9.9999999999999992E-2</v>
          </cell>
          <cell r="CA51">
            <v>0.13999999999999999</v>
          </cell>
          <cell r="CB51">
            <v>9.9999999999999992E-2</v>
          </cell>
          <cell r="CC51">
            <v>9.9999999999999992E-2</v>
          </cell>
          <cell r="CD51">
            <v>0.13999999999999999</v>
          </cell>
          <cell r="CE51">
            <v>9.9999999999999992E-2</v>
          </cell>
          <cell r="CF51">
            <v>9.9999999999999992E-2</v>
          </cell>
          <cell r="CG51">
            <v>0.13999999999999999</v>
          </cell>
          <cell r="CH51">
            <v>9.9999999999999992E-2</v>
          </cell>
          <cell r="CI51">
            <v>9.9999999999999992E-2</v>
          </cell>
          <cell r="CJ51">
            <v>0.13999999999999999</v>
          </cell>
          <cell r="CK51">
            <v>9.9999999999999992E-2</v>
          </cell>
          <cell r="CL51">
            <v>9.9999999999999992E-2</v>
          </cell>
          <cell r="CM51">
            <v>0.13999999999999999</v>
          </cell>
          <cell r="CN51">
            <v>9.9999999999999992E-2</v>
          </cell>
          <cell r="CO51">
            <v>9.9999999999999992E-2</v>
          </cell>
          <cell r="CP51">
            <v>0.13999999999999999</v>
          </cell>
          <cell r="CQ51">
            <v>9.9999999999999992E-2</v>
          </cell>
          <cell r="CR51">
            <v>9.9999999999999992E-2</v>
          </cell>
          <cell r="CS51">
            <v>0.13999999999999999</v>
          </cell>
          <cell r="CV51">
            <v>5.5E-2</v>
          </cell>
          <cell r="CW51">
            <v>4.4999999999999998E-2</v>
          </cell>
          <cell r="CX51">
            <v>0.03</v>
          </cell>
          <cell r="CY51">
            <v>5.5E-2</v>
          </cell>
          <cell r="CZ51">
            <v>4.4999999999999998E-2</v>
          </cell>
          <cell r="DA51">
            <v>0.03</v>
          </cell>
          <cell r="DB51">
            <v>5.5E-2</v>
          </cell>
          <cell r="DC51">
            <v>4.4999999999999998E-2</v>
          </cell>
          <cell r="DD51">
            <v>0.03</v>
          </cell>
          <cell r="DE51">
            <v>5.5E-2</v>
          </cell>
          <cell r="DF51">
            <v>4.4999999999999998E-2</v>
          </cell>
          <cell r="DG51">
            <v>0.03</v>
          </cell>
          <cell r="DH51">
            <v>5.5E-2</v>
          </cell>
          <cell r="DI51">
            <v>4.4999999999999998E-2</v>
          </cell>
          <cell r="DJ51">
            <v>0.03</v>
          </cell>
          <cell r="DK51">
            <v>5.5E-2</v>
          </cell>
          <cell r="DL51">
            <v>4.4999999999999998E-2</v>
          </cell>
          <cell r="DM51">
            <v>0.03</v>
          </cell>
          <cell r="DN51">
            <v>5.5E-2</v>
          </cell>
          <cell r="DO51">
            <v>4.4999999999999998E-2</v>
          </cell>
          <cell r="DP51">
            <v>0.03</v>
          </cell>
          <cell r="DQ51">
            <v>5.5E-2</v>
          </cell>
          <cell r="DR51">
            <v>4.4999999999999998E-2</v>
          </cell>
          <cell r="DS51">
            <v>0.03</v>
          </cell>
          <cell r="DT51">
            <v>5.5E-2</v>
          </cell>
          <cell r="DU51">
            <v>4.4999999999999998E-2</v>
          </cell>
          <cell r="DV51">
            <v>0.03</v>
          </cell>
          <cell r="DW51">
            <v>5.5E-2</v>
          </cell>
          <cell r="DX51">
            <v>4.4999999999999998E-2</v>
          </cell>
          <cell r="DY51">
            <v>0.03</v>
          </cell>
          <cell r="DZ51">
            <v>5.5E-2</v>
          </cell>
          <cell r="EA51">
            <v>4.4999999999999998E-2</v>
          </cell>
          <cell r="EB51">
            <v>0.03</v>
          </cell>
          <cell r="EC51">
            <v>5.5E-2</v>
          </cell>
          <cell r="ED51">
            <v>4.4999999999999998E-2</v>
          </cell>
          <cell r="EE51">
            <v>0.03</v>
          </cell>
          <cell r="EG51">
            <v>5.4999999999999979E-2</v>
          </cell>
          <cell r="EH51">
            <v>5.4999999999999979E-2</v>
          </cell>
          <cell r="EI51">
            <v>5.4999999999999979E-2</v>
          </cell>
          <cell r="EJ51">
            <v>0.12549999999999997</v>
          </cell>
          <cell r="EK51">
            <v>5.8499999999999983E-2</v>
          </cell>
          <cell r="EL51">
            <v>5.8499999999999983E-2</v>
          </cell>
          <cell r="EM51">
            <v>5.8499999999999983E-2</v>
          </cell>
          <cell r="EN51">
            <v>5.4999999999999979E-2</v>
          </cell>
          <cell r="EO51">
            <v>5.4999999999999979E-2</v>
          </cell>
          <cell r="EP51">
            <v>5.4999999999999979E-2</v>
          </cell>
          <cell r="EQ51">
            <v>5.4999999999999979E-2</v>
          </cell>
          <cell r="ER51">
            <v>5.4999999999999979E-2</v>
          </cell>
          <cell r="ES51">
            <v>5.4999999999999979E-2</v>
          </cell>
          <cell r="EU51">
            <v>0.10799999999999998</v>
          </cell>
          <cell r="EV51">
            <v>0.10799999999999998</v>
          </cell>
          <cell r="EW51">
            <v>0.10799999999999998</v>
          </cell>
          <cell r="EX51">
            <v>0.16799999999999998</v>
          </cell>
          <cell r="EY51">
            <v>0.11599999999999999</v>
          </cell>
          <cell r="EZ51">
            <v>0.11599999999999999</v>
          </cell>
          <cell r="FA51">
            <v>0.11599999999999999</v>
          </cell>
          <cell r="FB51">
            <v>0.10799999999999998</v>
          </cell>
          <cell r="FC51">
            <v>0.10799999999999998</v>
          </cell>
          <cell r="FD51">
            <v>0.10799999999999998</v>
          </cell>
          <cell r="FE51">
            <v>0.10799999999999998</v>
          </cell>
          <cell r="FF51">
            <v>0.10799999999999998</v>
          </cell>
          <cell r="FG51">
            <v>0.10799999999999998</v>
          </cell>
        </row>
        <row r="52">
          <cell r="C52" t="str">
            <v>Traveller MCA Business L3 8P BlueHDi 180 EAT8</v>
          </cell>
          <cell r="D52" t="str">
            <v>Traveller MCA L3 8P Diesel 180hp AT</v>
          </cell>
          <cell r="G52">
            <v>0.7</v>
          </cell>
          <cell r="H52">
            <v>0.7</v>
          </cell>
          <cell r="I52">
            <v>0.7</v>
          </cell>
          <cell r="J52">
            <v>0.7</v>
          </cell>
          <cell r="K52">
            <v>0.7</v>
          </cell>
          <cell r="L52">
            <v>0.7</v>
          </cell>
          <cell r="M52">
            <v>0.7</v>
          </cell>
          <cell r="N52">
            <v>0.7</v>
          </cell>
          <cell r="O52">
            <v>0.7</v>
          </cell>
          <cell r="P52">
            <v>0.7</v>
          </cell>
          <cell r="Q52">
            <v>0.7</v>
          </cell>
          <cell r="R52">
            <v>0.7</v>
          </cell>
          <cell r="U52">
            <v>0.5</v>
          </cell>
          <cell r="V52">
            <v>0.25</v>
          </cell>
          <cell r="W52">
            <v>0.25</v>
          </cell>
          <cell r="X52">
            <v>0.5</v>
          </cell>
          <cell r="Y52">
            <v>0.25</v>
          </cell>
          <cell r="Z52">
            <v>0.25</v>
          </cell>
          <cell r="AA52">
            <v>0.2</v>
          </cell>
          <cell r="AB52">
            <v>0.2</v>
          </cell>
          <cell r="AC52">
            <v>0.6</v>
          </cell>
          <cell r="AD52">
            <v>0.35</v>
          </cell>
          <cell r="AE52">
            <v>0.25</v>
          </cell>
          <cell r="AF52">
            <v>0.4</v>
          </cell>
          <cell r="AG52">
            <v>0.35</v>
          </cell>
          <cell r="AH52">
            <v>0.25</v>
          </cell>
          <cell r="AI52">
            <v>0.4</v>
          </cell>
          <cell r="AJ52">
            <v>0.35</v>
          </cell>
          <cell r="AK52">
            <v>0.25</v>
          </cell>
          <cell r="AL52">
            <v>0.4</v>
          </cell>
          <cell r="AM52">
            <v>0.5</v>
          </cell>
          <cell r="AN52">
            <v>0.25</v>
          </cell>
          <cell r="AO52">
            <v>0.25</v>
          </cell>
          <cell r="AP52">
            <v>0.5</v>
          </cell>
          <cell r="AQ52">
            <v>0.25</v>
          </cell>
          <cell r="AR52">
            <v>0.25</v>
          </cell>
          <cell r="AS52">
            <v>0.5</v>
          </cell>
          <cell r="AT52">
            <v>0.25</v>
          </cell>
          <cell r="AU52">
            <v>0.25</v>
          </cell>
          <cell r="AV52">
            <v>0.5</v>
          </cell>
          <cell r="AW52">
            <v>0.25</v>
          </cell>
          <cell r="AX52">
            <v>0.25</v>
          </cell>
          <cell r="AY52">
            <v>0.5</v>
          </cell>
          <cell r="AZ52">
            <v>0.25</v>
          </cell>
          <cell r="BA52">
            <v>0.25</v>
          </cell>
          <cell r="BB52">
            <v>0.5</v>
          </cell>
          <cell r="BC52">
            <v>0.25</v>
          </cell>
          <cell r="BD52">
            <v>0.25</v>
          </cell>
          <cell r="BG52">
            <v>0.1</v>
          </cell>
          <cell r="BH52">
            <v>0.14000000000000001</v>
          </cell>
          <cell r="BI52">
            <v>0.16</v>
          </cell>
          <cell r="BJ52">
            <v>0.1</v>
          </cell>
          <cell r="BK52">
            <v>0.14000000000000001</v>
          </cell>
          <cell r="BL52">
            <v>0.16</v>
          </cell>
          <cell r="BM52">
            <v>0.14000000000000001</v>
          </cell>
          <cell r="BN52">
            <v>0.14000000000000001</v>
          </cell>
          <cell r="BO52">
            <v>0.16</v>
          </cell>
          <cell r="BP52">
            <v>0.14000000000000001</v>
          </cell>
          <cell r="BQ52">
            <v>0.14000000000000001</v>
          </cell>
          <cell r="BR52">
            <v>0.16</v>
          </cell>
          <cell r="BS52">
            <v>0.14000000000000001</v>
          </cell>
          <cell r="BT52">
            <v>0.14000000000000001</v>
          </cell>
          <cell r="BU52">
            <v>0.16</v>
          </cell>
          <cell r="BV52">
            <v>0.14000000000000001</v>
          </cell>
          <cell r="BW52">
            <v>0.14000000000000001</v>
          </cell>
          <cell r="BX52">
            <v>0.16</v>
          </cell>
          <cell r="BY52">
            <v>0.12</v>
          </cell>
          <cell r="BZ52">
            <v>0.12</v>
          </cell>
          <cell r="CA52">
            <v>0.14000000000000001</v>
          </cell>
          <cell r="CB52">
            <v>0.12</v>
          </cell>
          <cell r="CC52">
            <v>0.12</v>
          </cell>
          <cell r="CD52">
            <v>0.14000000000000001</v>
          </cell>
          <cell r="CE52">
            <v>0.12</v>
          </cell>
          <cell r="CF52">
            <v>0.12</v>
          </cell>
          <cell r="CG52">
            <v>0.14000000000000001</v>
          </cell>
          <cell r="CH52">
            <v>0.12</v>
          </cell>
          <cell r="CI52">
            <v>0.12</v>
          </cell>
          <cell r="CJ52">
            <v>0.14000000000000001</v>
          </cell>
          <cell r="CK52">
            <v>0.12</v>
          </cell>
          <cell r="CL52">
            <v>0.12</v>
          </cell>
          <cell r="CM52">
            <v>0.14000000000000001</v>
          </cell>
          <cell r="CN52">
            <v>0.12</v>
          </cell>
          <cell r="CO52">
            <v>0.12</v>
          </cell>
          <cell r="CP52">
            <v>0.14000000000000001</v>
          </cell>
          <cell r="CQ52">
            <v>0.12</v>
          </cell>
          <cell r="CR52">
            <v>0.12</v>
          </cell>
          <cell r="CS52">
            <v>0.14000000000000001</v>
          </cell>
          <cell r="CV52">
            <v>0.06</v>
          </cell>
          <cell r="CW52">
            <v>0.05</v>
          </cell>
          <cell r="CX52">
            <v>0.03</v>
          </cell>
          <cell r="CY52">
            <v>0.06</v>
          </cell>
          <cell r="CZ52">
            <v>0.05</v>
          </cell>
          <cell r="DA52">
            <v>0.03</v>
          </cell>
          <cell r="DB52">
            <v>0.05</v>
          </cell>
          <cell r="DC52">
            <v>0.05</v>
          </cell>
          <cell r="DD52">
            <v>0.04</v>
          </cell>
          <cell r="DE52">
            <v>0.05</v>
          </cell>
          <cell r="DF52">
            <v>0.05</v>
          </cell>
          <cell r="DG52">
            <v>0.04</v>
          </cell>
          <cell r="DH52">
            <v>0.05</v>
          </cell>
          <cell r="DI52">
            <v>0.05</v>
          </cell>
          <cell r="DJ52">
            <v>0.04</v>
          </cell>
          <cell r="DK52">
            <v>0.05</v>
          </cell>
          <cell r="DL52">
            <v>0.05</v>
          </cell>
          <cell r="DM52">
            <v>0.04</v>
          </cell>
          <cell r="DN52">
            <v>0.05</v>
          </cell>
          <cell r="DO52">
            <v>0.05</v>
          </cell>
          <cell r="DP52">
            <v>0.04</v>
          </cell>
          <cell r="DQ52">
            <v>0.05</v>
          </cell>
          <cell r="DR52">
            <v>0.05</v>
          </cell>
          <cell r="DS52">
            <v>0.04</v>
          </cell>
          <cell r="DT52">
            <v>0.05</v>
          </cell>
          <cell r="DU52">
            <v>0.05</v>
          </cell>
          <cell r="DV52">
            <v>0.04</v>
          </cell>
          <cell r="DW52">
            <v>0.05</v>
          </cell>
          <cell r="DX52">
            <v>0.05</v>
          </cell>
          <cell r="DY52">
            <v>0.04</v>
          </cell>
          <cell r="DZ52">
            <v>0.05</v>
          </cell>
          <cell r="EA52">
            <v>0.05</v>
          </cell>
          <cell r="EB52">
            <v>0.04</v>
          </cell>
          <cell r="EC52">
            <v>0.05</v>
          </cell>
          <cell r="ED52">
            <v>0.05</v>
          </cell>
          <cell r="EE52">
            <v>0.04</v>
          </cell>
          <cell r="EG52">
            <v>7.4999999999999983E-2</v>
          </cell>
          <cell r="EH52">
            <v>7.4999999999999983E-2</v>
          </cell>
          <cell r="EI52">
            <v>9.5000000000000001E-2</v>
          </cell>
          <cell r="EJ52">
            <v>9.600000000000003E-2</v>
          </cell>
          <cell r="EK52">
            <v>9.4000000000000014E-2</v>
          </cell>
          <cell r="EL52">
            <v>9.4000000000000014E-2</v>
          </cell>
          <cell r="EM52">
            <v>7.3999999999999996E-2</v>
          </cell>
          <cell r="EN52">
            <v>7.2500000000000009E-2</v>
          </cell>
          <cell r="EO52">
            <v>7.2500000000000009E-2</v>
          </cell>
          <cell r="EP52">
            <v>7.2500000000000009E-2</v>
          </cell>
          <cell r="EQ52">
            <v>7.2500000000000009E-2</v>
          </cell>
          <cell r="ER52">
            <v>7.2500000000000009E-2</v>
          </cell>
          <cell r="ES52">
            <v>7.2500000000000009E-2</v>
          </cell>
          <cell r="EU52">
            <v>0.125</v>
          </cell>
          <cell r="EV52">
            <v>0.125</v>
          </cell>
          <cell r="EW52">
            <v>0.14500000000000002</v>
          </cell>
          <cell r="EX52">
            <v>0.15200000000000002</v>
          </cell>
          <cell r="EY52">
            <v>0.14800000000000002</v>
          </cell>
          <cell r="EZ52">
            <v>0.14800000000000002</v>
          </cell>
          <cell r="FA52">
            <v>0.128</v>
          </cell>
          <cell r="FB52">
            <v>0.125</v>
          </cell>
          <cell r="FC52">
            <v>0.125</v>
          </cell>
          <cell r="FD52">
            <v>0.125</v>
          </cell>
          <cell r="FE52">
            <v>0.125</v>
          </cell>
          <cell r="FF52">
            <v>0.125</v>
          </cell>
          <cell r="FG52">
            <v>0.125</v>
          </cell>
        </row>
        <row r="53">
          <cell r="C53" t="str">
            <v>Traveller MCA Business L3 9P BlueHDi 180 EAT8</v>
          </cell>
          <cell r="D53" t="str">
            <v>Traveller MCA L3 9P Diesel 180hp AT</v>
          </cell>
          <cell r="G53">
            <v>0.7</v>
          </cell>
          <cell r="H53">
            <v>0.7</v>
          </cell>
          <cell r="I53">
            <v>0.7</v>
          </cell>
          <cell r="J53">
            <v>0.7</v>
          </cell>
          <cell r="K53">
            <v>0.7</v>
          </cell>
          <cell r="L53">
            <v>0.7</v>
          </cell>
          <cell r="M53">
            <v>0.7</v>
          </cell>
          <cell r="N53">
            <v>0.7</v>
          </cell>
          <cell r="O53">
            <v>0.7</v>
          </cell>
          <cell r="P53">
            <v>0.7</v>
          </cell>
          <cell r="Q53">
            <v>0.7</v>
          </cell>
          <cell r="R53">
            <v>0.7</v>
          </cell>
          <cell r="U53">
            <v>0.5</v>
          </cell>
          <cell r="V53">
            <v>0.25</v>
          </cell>
          <cell r="W53">
            <v>0.25</v>
          </cell>
          <cell r="X53">
            <v>1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1</v>
          </cell>
          <cell r="AD53">
            <v>0.24</v>
          </cell>
          <cell r="AE53">
            <v>0.24</v>
          </cell>
          <cell r="AF53">
            <v>0.52</v>
          </cell>
          <cell r="AG53">
            <v>0.24</v>
          </cell>
          <cell r="AH53">
            <v>0.24</v>
          </cell>
          <cell r="AI53">
            <v>0.52</v>
          </cell>
          <cell r="AJ53">
            <v>0.24</v>
          </cell>
          <cell r="AK53">
            <v>0.24</v>
          </cell>
          <cell r="AL53">
            <v>0.52</v>
          </cell>
          <cell r="AM53">
            <v>0.5</v>
          </cell>
          <cell r="AN53">
            <v>0.25</v>
          </cell>
          <cell r="AO53">
            <v>0.25</v>
          </cell>
          <cell r="AP53">
            <v>0.5</v>
          </cell>
          <cell r="AQ53">
            <v>0.25</v>
          </cell>
          <cell r="AR53">
            <v>0.25</v>
          </cell>
          <cell r="AS53">
            <v>0.5</v>
          </cell>
          <cell r="AT53">
            <v>0.25</v>
          </cell>
          <cell r="AU53">
            <v>0.25</v>
          </cell>
          <cell r="AV53">
            <v>0.5</v>
          </cell>
          <cell r="AW53">
            <v>0.25</v>
          </cell>
          <cell r="AX53">
            <v>0.25</v>
          </cell>
          <cell r="AY53">
            <v>0.5</v>
          </cell>
          <cell r="AZ53">
            <v>0.25</v>
          </cell>
          <cell r="BA53">
            <v>0.25</v>
          </cell>
          <cell r="BB53">
            <v>0.5</v>
          </cell>
          <cell r="BC53">
            <v>0.25</v>
          </cell>
          <cell r="BD53">
            <v>0.25</v>
          </cell>
          <cell r="BG53">
            <v>0.1</v>
          </cell>
          <cell r="BH53">
            <v>0.14000000000000001</v>
          </cell>
          <cell r="BI53">
            <v>0.16</v>
          </cell>
          <cell r="BJ53">
            <v>0.1</v>
          </cell>
          <cell r="BK53">
            <v>0.14000000000000001</v>
          </cell>
          <cell r="BL53">
            <v>0.16</v>
          </cell>
          <cell r="BM53">
            <v>0.14000000000000001</v>
          </cell>
          <cell r="BN53">
            <v>0.14000000000000001</v>
          </cell>
          <cell r="BO53">
            <v>0.16</v>
          </cell>
          <cell r="BP53">
            <v>0.14000000000000001</v>
          </cell>
          <cell r="BQ53">
            <v>0.14000000000000001</v>
          </cell>
          <cell r="BR53">
            <v>0.16</v>
          </cell>
          <cell r="BS53">
            <v>0.14000000000000001</v>
          </cell>
          <cell r="BT53">
            <v>0.14000000000000001</v>
          </cell>
          <cell r="BU53">
            <v>0.16</v>
          </cell>
          <cell r="BV53">
            <v>0.14000000000000001</v>
          </cell>
          <cell r="BW53">
            <v>0.14000000000000001</v>
          </cell>
          <cell r="BX53">
            <v>0.16</v>
          </cell>
          <cell r="BY53">
            <v>0.12</v>
          </cell>
          <cell r="BZ53">
            <v>0.12</v>
          </cell>
          <cell r="CA53">
            <v>0.14000000000000001</v>
          </cell>
          <cell r="CB53">
            <v>0.12</v>
          </cell>
          <cell r="CC53">
            <v>0.12</v>
          </cell>
          <cell r="CD53">
            <v>0.14000000000000001</v>
          </cell>
          <cell r="CE53">
            <v>0.12</v>
          </cell>
          <cell r="CF53">
            <v>0.12</v>
          </cell>
          <cell r="CG53">
            <v>0.14000000000000001</v>
          </cell>
          <cell r="CH53">
            <v>0.12</v>
          </cell>
          <cell r="CI53">
            <v>0.12</v>
          </cell>
          <cell r="CJ53">
            <v>0.14000000000000001</v>
          </cell>
          <cell r="CK53">
            <v>0.12</v>
          </cell>
          <cell r="CL53">
            <v>0.12</v>
          </cell>
          <cell r="CM53">
            <v>0.14000000000000001</v>
          </cell>
          <cell r="CN53">
            <v>0.12</v>
          </cell>
          <cell r="CO53">
            <v>0.12</v>
          </cell>
          <cell r="CP53">
            <v>0.14000000000000001</v>
          </cell>
          <cell r="CQ53">
            <v>0.12</v>
          </cell>
          <cell r="CR53">
            <v>0.12</v>
          </cell>
          <cell r="CS53">
            <v>0.14000000000000001</v>
          </cell>
          <cell r="CV53">
            <v>0.06</v>
          </cell>
          <cell r="CW53">
            <v>0.05</v>
          </cell>
          <cell r="CX53">
            <v>0.03</v>
          </cell>
          <cell r="CY53">
            <v>0.06</v>
          </cell>
          <cell r="CZ53">
            <v>0.05</v>
          </cell>
          <cell r="DA53">
            <v>0.03</v>
          </cell>
          <cell r="DB53">
            <v>0.05</v>
          </cell>
          <cell r="DC53">
            <v>0.05</v>
          </cell>
          <cell r="DD53">
            <v>0.04</v>
          </cell>
          <cell r="DE53">
            <v>0.05</v>
          </cell>
          <cell r="DF53">
            <v>0.05</v>
          </cell>
          <cell r="DG53">
            <v>0.04</v>
          </cell>
          <cell r="DH53">
            <v>0.05</v>
          </cell>
          <cell r="DI53">
            <v>0.05</v>
          </cell>
          <cell r="DJ53">
            <v>0.04</v>
          </cell>
          <cell r="DK53">
            <v>0.05</v>
          </cell>
          <cell r="DL53">
            <v>0.05</v>
          </cell>
          <cell r="DM53">
            <v>0.04</v>
          </cell>
          <cell r="DN53">
            <v>0.05</v>
          </cell>
          <cell r="DO53">
            <v>0.05</v>
          </cell>
          <cell r="DP53">
            <v>0.04</v>
          </cell>
          <cell r="DQ53">
            <v>0.05</v>
          </cell>
          <cell r="DR53">
            <v>0.05</v>
          </cell>
          <cell r="DS53">
            <v>0.04</v>
          </cell>
          <cell r="DT53">
            <v>0.05</v>
          </cell>
          <cell r="DU53">
            <v>0.05</v>
          </cell>
          <cell r="DV53">
            <v>0.04</v>
          </cell>
          <cell r="DW53">
            <v>0.05</v>
          </cell>
          <cell r="DX53">
            <v>0.05</v>
          </cell>
          <cell r="DY53">
            <v>0.04</v>
          </cell>
          <cell r="DZ53">
            <v>0.05</v>
          </cell>
          <cell r="EA53">
            <v>0.05</v>
          </cell>
          <cell r="EB53">
            <v>0.04</v>
          </cell>
          <cell r="EC53">
            <v>0.05</v>
          </cell>
          <cell r="ED53">
            <v>0.05</v>
          </cell>
          <cell r="EE53">
            <v>0.04</v>
          </cell>
          <cell r="EG53">
            <v>7.4999999999999983E-2</v>
          </cell>
          <cell r="EH53">
            <v>7.4999999999999983E-2</v>
          </cell>
          <cell r="EI53">
            <v>0.1</v>
          </cell>
          <cell r="EJ53">
            <v>0.1</v>
          </cell>
          <cell r="EK53">
            <v>9.5200000000000035E-2</v>
          </cell>
          <cell r="EL53">
            <v>9.5200000000000035E-2</v>
          </cell>
          <cell r="EM53">
            <v>7.5200000000000017E-2</v>
          </cell>
          <cell r="EN53">
            <v>7.2500000000000009E-2</v>
          </cell>
          <cell r="EO53">
            <v>7.2500000000000009E-2</v>
          </cell>
          <cell r="EP53">
            <v>7.2500000000000009E-2</v>
          </cell>
          <cell r="EQ53">
            <v>7.2500000000000009E-2</v>
          </cell>
          <cell r="ER53">
            <v>7.2500000000000009E-2</v>
          </cell>
          <cell r="ES53">
            <v>7.2500000000000009E-2</v>
          </cell>
          <cell r="EU53">
            <v>0.125</v>
          </cell>
          <cell r="EV53">
            <v>0.125</v>
          </cell>
          <cell r="EW53">
            <v>0.14000000000000001</v>
          </cell>
          <cell r="EX53">
            <v>0.16</v>
          </cell>
          <cell r="EY53">
            <v>0.15040000000000003</v>
          </cell>
          <cell r="EZ53">
            <v>0.15040000000000003</v>
          </cell>
          <cell r="FA53">
            <v>0.13040000000000002</v>
          </cell>
          <cell r="FB53">
            <v>0.125</v>
          </cell>
          <cell r="FC53">
            <v>0.125</v>
          </cell>
          <cell r="FD53">
            <v>0.125</v>
          </cell>
          <cell r="FE53">
            <v>0.125</v>
          </cell>
          <cell r="FF53">
            <v>0.125</v>
          </cell>
          <cell r="FG53">
            <v>0.125</v>
          </cell>
        </row>
        <row r="54">
          <cell r="C54" t="str">
            <v>Traveller MCA L3 B22 8P Diesel 180hp AT</v>
          </cell>
          <cell r="D54" t="str">
            <v>Traveller MCA L3 B22 8P Diesel 180hp AT</v>
          </cell>
          <cell r="G54">
            <v>0.7</v>
          </cell>
          <cell r="H54">
            <v>0.7</v>
          </cell>
          <cell r="I54">
            <v>0.7</v>
          </cell>
          <cell r="J54">
            <v>0.7</v>
          </cell>
          <cell r="K54">
            <v>0.7</v>
          </cell>
          <cell r="L54">
            <v>0.7</v>
          </cell>
          <cell r="M54">
            <v>0.7</v>
          </cell>
          <cell r="N54">
            <v>0.7</v>
          </cell>
          <cell r="O54">
            <v>0.7</v>
          </cell>
          <cell r="P54">
            <v>0.7</v>
          </cell>
          <cell r="Q54">
            <v>0.7</v>
          </cell>
          <cell r="R54">
            <v>0.7</v>
          </cell>
          <cell r="U54">
            <v>0.5</v>
          </cell>
          <cell r="V54">
            <v>0.25</v>
          </cell>
          <cell r="W54">
            <v>0.25</v>
          </cell>
          <cell r="X54">
            <v>1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1</v>
          </cell>
          <cell r="AD54">
            <v>0.24</v>
          </cell>
          <cell r="AE54">
            <v>0.24</v>
          </cell>
          <cell r="AF54">
            <v>0.52</v>
          </cell>
          <cell r="AG54">
            <v>0.24</v>
          </cell>
          <cell r="AH54">
            <v>0.24</v>
          </cell>
          <cell r="AI54">
            <v>0.52</v>
          </cell>
          <cell r="AJ54">
            <v>0.24</v>
          </cell>
          <cell r="AK54">
            <v>0.24</v>
          </cell>
          <cell r="AL54">
            <v>0.52</v>
          </cell>
          <cell r="AM54">
            <v>0.5</v>
          </cell>
          <cell r="AN54">
            <v>0.25</v>
          </cell>
          <cell r="AO54">
            <v>0.25</v>
          </cell>
          <cell r="AP54">
            <v>0.5</v>
          </cell>
          <cell r="AQ54">
            <v>0.25</v>
          </cell>
          <cell r="AR54">
            <v>0.25</v>
          </cell>
          <cell r="AS54">
            <v>0.5</v>
          </cell>
          <cell r="AT54">
            <v>0.25</v>
          </cell>
          <cell r="AU54">
            <v>0.25</v>
          </cell>
          <cell r="AV54">
            <v>0.5</v>
          </cell>
          <cell r="AW54">
            <v>0.25</v>
          </cell>
          <cell r="AX54">
            <v>0.25</v>
          </cell>
          <cell r="AY54">
            <v>0.5</v>
          </cell>
          <cell r="AZ54">
            <v>0.25</v>
          </cell>
          <cell r="BA54">
            <v>0.25</v>
          </cell>
          <cell r="BB54">
            <v>0.5</v>
          </cell>
          <cell r="BC54">
            <v>0.25</v>
          </cell>
          <cell r="BD54">
            <v>0.25</v>
          </cell>
          <cell r="BG54">
            <v>0.1</v>
          </cell>
          <cell r="BH54">
            <v>0.14000000000000001</v>
          </cell>
          <cell r="BI54">
            <v>0.16</v>
          </cell>
          <cell r="BJ54">
            <v>0.1</v>
          </cell>
          <cell r="BK54">
            <v>0.14000000000000001</v>
          </cell>
          <cell r="BL54">
            <v>0.16</v>
          </cell>
          <cell r="BM54">
            <v>0.14000000000000001</v>
          </cell>
          <cell r="BN54">
            <v>0.14000000000000001</v>
          </cell>
          <cell r="BO54">
            <v>0.16</v>
          </cell>
          <cell r="BP54">
            <v>0.14000000000000001</v>
          </cell>
          <cell r="BQ54">
            <v>0.14000000000000001</v>
          </cell>
          <cell r="BR54">
            <v>0.16</v>
          </cell>
          <cell r="BS54">
            <v>0.14000000000000001</v>
          </cell>
          <cell r="BT54">
            <v>0.14000000000000001</v>
          </cell>
          <cell r="BU54">
            <v>0.16</v>
          </cell>
          <cell r="BV54">
            <v>0.14000000000000001</v>
          </cell>
          <cell r="BW54">
            <v>0.14000000000000001</v>
          </cell>
          <cell r="BX54">
            <v>0.16</v>
          </cell>
          <cell r="BY54">
            <v>0.12</v>
          </cell>
          <cell r="BZ54">
            <v>0.12</v>
          </cell>
          <cell r="CA54">
            <v>0.14000000000000001</v>
          </cell>
          <cell r="CB54">
            <v>0.12</v>
          </cell>
          <cell r="CC54">
            <v>0.12</v>
          </cell>
          <cell r="CD54">
            <v>0.14000000000000001</v>
          </cell>
          <cell r="CE54">
            <v>0.12</v>
          </cell>
          <cell r="CF54">
            <v>0.12</v>
          </cell>
          <cell r="CG54">
            <v>0.14000000000000001</v>
          </cell>
          <cell r="CH54">
            <v>0.12</v>
          </cell>
          <cell r="CI54">
            <v>0.12</v>
          </cell>
          <cell r="CJ54">
            <v>0.14000000000000001</v>
          </cell>
          <cell r="CK54">
            <v>0.12</v>
          </cell>
          <cell r="CL54">
            <v>0.12</v>
          </cell>
          <cell r="CM54">
            <v>0.14000000000000001</v>
          </cell>
          <cell r="CN54">
            <v>0.12</v>
          </cell>
          <cell r="CO54">
            <v>0.12</v>
          </cell>
          <cell r="CP54">
            <v>0.14000000000000001</v>
          </cell>
          <cell r="CQ54">
            <v>0.12</v>
          </cell>
          <cell r="CR54">
            <v>0.12</v>
          </cell>
          <cell r="CS54">
            <v>0.14000000000000001</v>
          </cell>
          <cell r="CV54">
            <v>0.06</v>
          </cell>
          <cell r="CW54">
            <v>0.05</v>
          </cell>
          <cell r="CX54">
            <v>0.03</v>
          </cell>
          <cell r="CY54">
            <v>0.06</v>
          </cell>
          <cell r="CZ54">
            <v>0.05</v>
          </cell>
          <cell r="DA54">
            <v>0.03</v>
          </cell>
          <cell r="DB54">
            <v>0.05</v>
          </cell>
          <cell r="DC54">
            <v>0.05</v>
          </cell>
          <cell r="DD54">
            <v>0.04</v>
          </cell>
          <cell r="DE54">
            <v>0.05</v>
          </cell>
          <cell r="DF54">
            <v>0.05</v>
          </cell>
          <cell r="DG54">
            <v>0.04</v>
          </cell>
          <cell r="DH54">
            <v>0.05</v>
          </cell>
          <cell r="DI54">
            <v>0.05</v>
          </cell>
          <cell r="DJ54">
            <v>0.04</v>
          </cell>
          <cell r="DK54">
            <v>0.05</v>
          </cell>
          <cell r="DL54">
            <v>0.05</v>
          </cell>
          <cell r="DM54">
            <v>0.04</v>
          </cell>
          <cell r="DN54">
            <v>0.05</v>
          </cell>
          <cell r="DO54">
            <v>0.05</v>
          </cell>
          <cell r="DP54">
            <v>0.04</v>
          </cell>
          <cell r="DQ54">
            <v>0.05</v>
          </cell>
          <cell r="DR54">
            <v>0.05</v>
          </cell>
          <cell r="DS54">
            <v>0.04</v>
          </cell>
          <cell r="DT54">
            <v>0.05</v>
          </cell>
          <cell r="DU54">
            <v>0.05</v>
          </cell>
          <cell r="DV54">
            <v>0.04</v>
          </cell>
          <cell r="DW54">
            <v>0.05</v>
          </cell>
          <cell r="DX54">
            <v>0.05</v>
          </cell>
          <cell r="DY54">
            <v>0.04</v>
          </cell>
          <cell r="DZ54">
            <v>0.05</v>
          </cell>
          <cell r="EA54">
            <v>0.05</v>
          </cell>
          <cell r="EB54">
            <v>0.04</v>
          </cell>
          <cell r="EC54">
            <v>0.05</v>
          </cell>
          <cell r="ED54">
            <v>0.05</v>
          </cell>
          <cell r="EE54">
            <v>0.04</v>
          </cell>
          <cell r="EG54">
            <v>7.4999999999999983E-2</v>
          </cell>
          <cell r="EH54">
            <v>7.4999999999999983E-2</v>
          </cell>
          <cell r="EI54">
            <v>0.1</v>
          </cell>
          <cell r="EJ54">
            <v>0.1</v>
          </cell>
          <cell r="EK54">
            <v>9.5200000000000035E-2</v>
          </cell>
          <cell r="EL54">
            <v>9.5200000000000035E-2</v>
          </cell>
          <cell r="EM54">
            <v>7.5200000000000017E-2</v>
          </cell>
          <cell r="EN54">
            <v>7.2500000000000009E-2</v>
          </cell>
          <cell r="EO54">
            <v>7.2500000000000009E-2</v>
          </cell>
          <cell r="EP54">
            <v>7.2500000000000009E-2</v>
          </cell>
          <cell r="EQ54">
            <v>7.2500000000000009E-2</v>
          </cell>
          <cell r="ER54">
            <v>7.2500000000000009E-2</v>
          </cell>
          <cell r="ES54">
            <v>7.2500000000000009E-2</v>
          </cell>
          <cell r="EU54">
            <v>0.125</v>
          </cell>
          <cell r="EV54">
            <v>0.125</v>
          </cell>
          <cell r="EW54">
            <v>0.14000000000000001</v>
          </cell>
          <cell r="EX54">
            <v>0.16</v>
          </cell>
          <cell r="EY54">
            <v>0.15040000000000003</v>
          </cell>
          <cell r="EZ54">
            <v>0.15040000000000003</v>
          </cell>
          <cell r="FA54">
            <v>0.13040000000000002</v>
          </cell>
          <cell r="FB54">
            <v>0.125</v>
          </cell>
          <cell r="FC54">
            <v>0.125</v>
          </cell>
          <cell r="FD54">
            <v>0.125</v>
          </cell>
          <cell r="FE54">
            <v>0.125</v>
          </cell>
          <cell r="FF54">
            <v>0.125</v>
          </cell>
          <cell r="FG54">
            <v>0.125</v>
          </cell>
        </row>
        <row r="55">
          <cell r="C55" t="str">
            <v>Traveller MCA L3 B22 9P Diesel 180hp AT</v>
          </cell>
          <cell r="D55" t="str">
            <v>Traveller MCA L3 B22 9P Diesel 180hp AT</v>
          </cell>
          <cell r="G55">
            <v>0.7</v>
          </cell>
          <cell r="H55">
            <v>0.7</v>
          </cell>
          <cell r="I55">
            <v>0.7</v>
          </cell>
          <cell r="J55">
            <v>0.7</v>
          </cell>
          <cell r="K55">
            <v>0.7</v>
          </cell>
          <cell r="L55">
            <v>0.7</v>
          </cell>
          <cell r="M55">
            <v>0.7</v>
          </cell>
          <cell r="N55">
            <v>0.7</v>
          </cell>
          <cell r="O55">
            <v>0.7</v>
          </cell>
          <cell r="P55">
            <v>0.7</v>
          </cell>
          <cell r="Q55">
            <v>0.7</v>
          </cell>
          <cell r="R55">
            <v>0.7</v>
          </cell>
          <cell r="U55">
            <v>0.5</v>
          </cell>
          <cell r="V55">
            <v>0.25</v>
          </cell>
          <cell r="W55">
            <v>0.25</v>
          </cell>
          <cell r="X55">
            <v>1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1</v>
          </cell>
          <cell r="AD55">
            <v>0.24</v>
          </cell>
          <cell r="AE55">
            <v>0.24</v>
          </cell>
          <cell r="AF55">
            <v>0.52</v>
          </cell>
          <cell r="AG55">
            <v>0.24</v>
          </cell>
          <cell r="AH55">
            <v>0.24</v>
          </cell>
          <cell r="AI55">
            <v>0.52</v>
          </cell>
          <cell r="AJ55">
            <v>0.24</v>
          </cell>
          <cell r="AK55">
            <v>0.24</v>
          </cell>
          <cell r="AL55">
            <v>0.52</v>
          </cell>
          <cell r="AM55">
            <v>0.5</v>
          </cell>
          <cell r="AN55">
            <v>0.25</v>
          </cell>
          <cell r="AO55">
            <v>0.25</v>
          </cell>
          <cell r="AP55">
            <v>0.5</v>
          </cell>
          <cell r="AQ55">
            <v>0.25</v>
          </cell>
          <cell r="AR55">
            <v>0.25</v>
          </cell>
          <cell r="AS55">
            <v>0.5</v>
          </cell>
          <cell r="AT55">
            <v>0.25</v>
          </cell>
          <cell r="AU55">
            <v>0.25</v>
          </cell>
          <cell r="AV55">
            <v>0.5</v>
          </cell>
          <cell r="AW55">
            <v>0.25</v>
          </cell>
          <cell r="AX55">
            <v>0.25</v>
          </cell>
          <cell r="AY55">
            <v>0.5</v>
          </cell>
          <cell r="AZ55">
            <v>0.25</v>
          </cell>
          <cell r="BA55">
            <v>0.25</v>
          </cell>
          <cell r="BB55">
            <v>0.5</v>
          </cell>
          <cell r="BC55">
            <v>0.25</v>
          </cell>
          <cell r="BD55">
            <v>0.25</v>
          </cell>
          <cell r="BG55">
            <v>0.1</v>
          </cell>
          <cell r="BH55">
            <v>0.14000000000000001</v>
          </cell>
          <cell r="BI55">
            <v>0.16</v>
          </cell>
          <cell r="BJ55">
            <v>0.1</v>
          </cell>
          <cell r="BK55">
            <v>0.14000000000000001</v>
          </cell>
          <cell r="BL55">
            <v>0.16</v>
          </cell>
          <cell r="BM55">
            <v>0.14000000000000001</v>
          </cell>
          <cell r="BN55">
            <v>0.14000000000000001</v>
          </cell>
          <cell r="BO55">
            <v>0.16</v>
          </cell>
          <cell r="BP55">
            <v>0.14000000000000001</v>
          </cell>
          <cell r="BQ55">
            <v>0.14000000000000001</v>
          </cell>
          <cell r="BR55">
            <v>0.16</v>
          </cell>
          <cell r="BS55">
            <v>0.14000000000000001</v>
          </cell>
          <cell r="BT55">
            <v>0.14000000000000001</v>
          </cell>
          <cell r="BU55">
            <v>0.16</v>
          </cell>
          <cell r="BV55">
            <v>0.14000000000000001</v>
          </cell>
          <cell r="BW55">
            <v>0.14000000000000001</v>
          </cell>
          <cell r="BX55">
            <v>0.16</v>
          </cell>
          <cell r="BY55">
            <v>0.12</v>
          </cell>
          <cell r="BZ55">
            <v>0.12</v>
          </cell>
          <cell r="CA55">
            <v>0.14000000000000001</v>
          </cell>
          <cell r="CB55">
            <v>0.12</v>
          </cell>
          <cell r="CC55">
            <v>0.12</v>
          </cell>
          <cell r="CD55">
            <v>0.14000000000000001</v>
          </cell>
          <cell r="CE55">
            <v>0.12</v>
          </cell>
          <cell r="CF55">
            <v>0.12</v>
          </cell>
          <cell r="CG55">
            <v>0.14000000000000001</v>
          </cell>
          <cell r="CH55">
            <v>0.12</v>
          </cell>
          <cell r="CI55">
            <v>0.12</v>
          </cell>
          <cell r="CJ55">
            <v>0.14000000000000001</v>
          </cell>
          <cell r="CK55">
            <v>0.12</v>
          </cell>
          <cell r="CL55">
            <v>0.12</v>
          </cell>
          <cell r="CM55">
            <v>0.14000000000000001</v>
          </cell>
          <cell r="CN55">
            <v>0.12</v>
          </cell>
          <cell r="CO55">
            <v>0.12</v>
          </cell>
          <cell r="CP55">
            <v>0.14000000000000001</v>
          </cell>
          <cell r="CQ55">
            <v>0.12</v>
          </cell>
          <cell r="CR55">
            <v>0.12</v>
          </cell>
          <cell r="CS55">
            <v>0.14000000000000001</v>
          </cell>
          <cell r="CV55">
            <v>0.06</v>
          </cell>
          <cell r="CW55">
            <v>0.05</v>
          </cell>
          <cell r="CX55">
            <v>0.03</v>
          </cell>
          <cell r="CY55">
            <v>0.06</v>
          </cell>
          <cell r="CZ55">
            <v>0.05</v>
          </cell>
          <cell r="DA55">
            <v>0.03</v>
          </cell>
          <cell r="DB55">
            <v>0.05</v>
          </cell>
          <cell r="DC55">
            <v>0.05</v>
          </cell>
          <cell r="DD55">
            <v>0.04</v>
          </cell>
          <cell r="DE55">
            <v>0.05</v>
          </cell>
          <cell r="DF55">
            <v>0.05</v>
          </cell>
          <cell r="DG55">
            <v>0.04</v>
          </cell>
          <cell r="DH55">
            <v>0.05</v>
          </cell>
          <cell r="DI55">
            <v>0.05</v>
          </cell>
          <cell r="DJ55">
            <v>0.04</v>
          </cell>
          <cell r="DK55">
            <v>0.05</v>
          </cell>
          <cell r="DL55">
            <v>0.05</v>
          </cell>
          <cell r="DM55">
            <v>0.04</v>
          </cell>
          <cell r="DN55">
            <v>0.05</v>
          </cell>
          <cell r="DO55">
            <v>0.05</v>
          </cell>
          <cell r="DP55">
            <v>0.04</v>
          </cell>
          <cell r="DQ55">
            <v>0.05</v>
          </cell>
          <cell r="DR55">
            <v>0.05</v>
          </cell>
          <cell r="DS55">
            <v>0.04</v>
          </cell>
          <cell r="DT55">
            <v>0.05</v>
          </cell>
          <cell r="DU55">
            <v>0.05</v>
          </cell>
          <cell r="DV55">
            <v>0.04</v>
          </cell>
          <cell r="DW55">
            <v>0.05</v>
          </cell>
          <cell r="DX55">
            <v>0.05</v>
          </cell>
          <cell r="DY55">
            <v>0.04</v>
          </cell>
          <cell r="DZ55">
            <v>0.05</v>
          </cell>
          <cell r="EA55">
            <v>0.05</v>
          </cell>
          <cell r="EB55">
            <v>0.04</v>
          </cell>
          <cell r="EC55">
            <v>0.05</v>
          </cell>
          <cell r="ED55">
            <v>0.05</v>
          </cell>
          <cell r="EE55">
            <v>0.04</v>
          </cell>
          <cell r="EG55">
            <v>7.4999999999999983E-2</v>
          </cell>
          <cell r="EH55">
            <v>7.4999999999999983E-2</v>
          </cell>
          <cell r="EI55">
            <v>0.1</v>
          </cell>
          <cell r="EJ55">
            <v>0.1</v>
          </cell>
          <cell r="EK55">
            <v>9.5200000000000035E-2</v>
          </cell>
          <cell r="EL55">
            <v>9.5200000000000035E-2</v>
          </cell>
          <cell r="EM55">
            <v>7.5200000000000017E-2</v>
          </cell>
          <cell r="EN55">
            <v>7.2500000000000009E-2</v>
          </cell>
          <cell r="EO55">
            <v>7.2500000000000009E-2</v>
          </cell>
          <cell r="EP55">
            <v>7.2500000000000009E-2</v>
          </cell>
          <cell r="EQ55">
            <v>7.2500000000000009E-2</v>
          </cell>
          <cell r="ER55">
            <v>7.2500000000000009E-2</v>
          </cell>
          <cell r="ES55">
            <v>7.2500000000000009E-2</v>
          </cell>
          <cell r="EU55">
            <v>0.125</v>
          </cell>
          <cell r="EV55">
            <v>0.125</v>
          </cell>
          <cell r="EW55">
            <v>0.14000000000000001</v>
          </cell>
          <cell r="EX55">
            <v>0.16</v>
          </cell>
          <cell r="EY55">
            <v>0.15040000000000003</v>
          </cell>
          <cell r="EZ55">
            <v>0.15040000000000003</v>
          </cell>
          <cell r="FA55">
            <v>0.13040000000000002</v>
          </cell>
          <cell r="FB55">
            <v>0.125</v>
          </cell>
          <cell r="FC55">
            <v>0.125</v>
          </cell>
          <cell r="FD55">
            <v>0.125</v>
          </cell>
          <cell r="FE55">
            <v>0.125</v>
          </cell>
          <cell r="FF55">
            <v>0.125</v>
          </cell>
          <cell r="FG55">
            <v>0.125</v>
          </cell>
        </row>
        <row r="56">
          <cell r="C56" t="str">
            <v>Expert MCA L3 BlueHdi 145</v>
          </cell>
          <cell r="D56" t="str">
            <v>Expert MCA L3 Diesel 145hp MT</v>
          </cell>
          <cell r="G56">
            <v>0.7</v>
          </cell>
          <cell r="H56">
            <v>0.7</v>
          </cell>
          <cell r="I56">
            <v>0.7</v>
          </cell>
          <cell r="J56">
            <v>0.7</v>
          </cell>
          <cell r="K56">
            <v>0.7</v>
          </cell>
          <cell r="L56">
            <v>0.7</v>
          </cell>
          <cell r="M56">
            <v>0.7</v>
          </cell>
          <cell r="N56">
            <v>0.7</v>
          </cell>
          <cell r="O56">
            <v>0.7</v>
          </cell>
          <cell r="P56">
            <v>0.7</v>
          </cell>
          <cell r="Q56">
            <v>0.7</v>
          </cell>
          <cell r="R56">
            <v>0.7</v>
          </cell>
          <cell r="U56">
            <v>0.6</v>
          </cell>
          <cell r="V56">
            <v>0.3</v>
          </cell>
          <cell r="W56">
            <v>0.1</v>
          </cell>
          <cell r="X56">
            <v>1</v>
          </cell>
          <cell r="Y56">
            <v>0</v>
          </cell>
          <cell r="Z56">
            <v>0</v>
          </cell>
          <cell r="AA56">
            <v>0.22</v>
          </cell>
          <cell r="AB56">
            <v>0.22</v>
          </cell>
          <cell r="AC56">
            <v>0.56000000000000005</v>
          </cell>
          <cell r="AD56">
            <v>0.35</v>
          </cell>
          <cell r="AE56">
            <v>0.25</v>
          </cell>
          <cell r="AF56">
            <v>0.4</v>
          </cell>
          <cell r="AG56">
            <v>0.35</v>
          </cell>
          <cell r="AH56">
            <v>0.25</v>
          </cell>
          <cell r="AI56">
            <v>0.4</v>
          </cell>
          <cell r="AJ56">
            <v>0.35</v>
          </cell>
          <cell r="AK56">
            <v>0.25</v>
          </cell>
          <cell r="AL56">
            <v>0.4</v>
          </cell>
          <cell r="AM56">
            <v>0.6</v>
          </cell>
          <cell r="AN56">
            <v>0.3</v>
          </cell>
          <cell r="AO56">
            <v>0.1</v>
          </cell>
          <cell r="AP56">
            <v>0.6</v>
          </cell>
          <cell r="AQ56">
            <v>0.3</v>
          </cell>
          <cell r="AR56">
            <v>0.1</v>
          </cell>
          <cell r="AS56">
            <v>0.6</v>
          </cell>
          <cell r="AT56">
            <v>0.3</v>
          </cell>
          <cell r="AU56">
            <v>0.1</v>
          </cell>
          <cell r="AV56">
            <v>0.6</v>
          </cell>
          <cell r="AW56">
            <v>0.3</v>
          </cell>
          <cell r="AX56">
            <v>0.1</v>
          </cell>
          <cell r="AY56">
            <v>0.6</v>
          </cell>
          <cell r="AZ56">
            <v>0.3</v>
          </cell>
          <cell r="BA56">
            <v>0.1</v>
          </cell>
          <cell r="BB56">
            <v>0.6</v>
          </cell>
          <cell r="BC56">
            <v>0.3</v>
          </cell>
          <cell r="BD56">
            <v>0.1</v>
          </cell>
          <cell r="BG56">
            <v>0.1</v>
          </cell>
          <cell r="BH56">
            <v>0.14000000000000001</v>
          </cell>
          <cell r="BI56">
            <v>0.16</v>
          </cell>
          <cell r="BJ56">
            <v>0.1</v>
          </cell>
          <cell r="BK56">
            <v>0.14000000000000001</v>
          </cell>
          <cell r="BL56">
            <v>0.16</v>
          </cell>
          <cell r="BM56">
            <v>0.14000000000000001</v>
          </cell>
          <cell r="BN56">
            <v>0.14000000000000001</v>
          </cell>
          <cell r="BO56">
            <v>0.16</v>
          </cell>
          <cell r="BP56">
            <v>0.14000000000000001</v>
          </cell>
          <cell r="BQ56">
            <v>0.14000000000000001</v>
          </cell>
          <cell r="BR56">
            <v>0.16</v>
          </cell>
          <cell r="BS56">
            <v>0.14000000000000001</v>
          </cell>
          <cell r="BT56">
            <v>0.14000000000000001</v>
          </cell>
          <cell r="BU56">
            <v>0.16</v>
          </cell>
          <cell r="BV56">
            <v>0.14000000000000001</v>
          </cell>
          <cell r="BW56">
            <v>0.14000000000000001</v>
          </cell>
          <cell r="BX56">
            <v>0.16</v>
          </cell>
          <cell r="BY56">
            <v>0.14000000000000001</v>
          </cell>
          <cell r="BZ56">
            <v>0.14000000000000001</v>
          </cell>
          <cell r="CA56">
            <v>0.16</v>
          </cell>
          <cell r="CB56">
            <v>0.14000000000000001</v>
          </cell>
          <cell r="CC56">
            <v>0.14000000000000001</v>
          </cell>
          <cell r="CD56">
            <v>0.16</v>
          </cell>
          <cell r="CE56">
            <v>0.14000000000000001</v>
          </cell>
          <cell r="CF56">
            <v>0.14000000000000001</v>
          </cell>
          <cell r="CG56">
            <v>0.16</v>
          </cell>
          <cell r="CH56">
            <v>0.14000000000000001</v>
          </cell>
          <cell r="CI56">
            <v>0.14000000000000001</v>
          </cell>
          <cell r="CJ56">
            <v>0.16</v>
          </cell>
          <cell r="CK56">
            <v>0.14000000000000001</v>
          </cell>
          <cell r="CL56">
            <v>0.14000000000000001</v>
          </cell>
          <cell r="CM56">
            <v>0.16</v>
          </cell>
          <cell r="CN56">
            <v>0.14000000000000001</v>
          </cell>
          <cell r="CO56">
            <v>0.14000000000000001</v>
          </cell>
          <cell r="CP56">
            <v>0.16</v>
          </cell>
          <cell r="CQ56">
            <v>0.14000000000000001</v>
          </cell>
          <cell r="CR56">
            <v>0.14000000000000001</v>
          </cell>
          <cell r="CS56">
            <v>0.16</v>
          </cell>
          <cell r="CV56">
            <v>0.06</v>
          </cell>
          <cell r="CW56">
            <v>0.05</v>
          </cell>
          <cell r="CX56">
            <v>0.03</v>
          </cell>
          <cell r="CY56">
            <v>0.06</v>
          </cell>
          <cell r="CZ56">
            <v>0.05</v>
          </cell>
          <cell r="DA56">
            <v>0.03</v>
          </cell>
          <cell r="DB56">
            <v>0.05</v>
          </cell>
          <cell r="DC56">
            <v>0.05</v>
          </cell>
          <cell r="DD56">
            <v>0.04</v>
          </cell>
          <cell r="DE56">
            <v>0.05</v>
          </cell>
          <cell r="DF56">
            <v>0.05</v>
          </cell>
          <cell r="DG56">
            <v>0.04</v>
          </cell>
          <cell r="DH56">
            <v>0.05</v>
          </cell>
          <cell r="DI56">
            <v>0.05</v>
          </cell>
          <cell r="DJ56">
            <v>0.04</v>
          </cell>
          <cell r="DK56">
            <v>0.05</v>
          </cell>
          <cell r="DL56">
            <v>0.05</v>
          </cell>
          <cell r="DM56">
            <v>0.04</v>
          </cell>
          <cell r="DN56">
            <v>0.05</v>
          </cell>
          <cell r="DO56">
            <v>0.05</v>
          </cell>
          <cell r="DP56">
            <v>0.04</v>
          </cell>
          <cell r="DQ56">
            <v>0.05</v>
          </cell>
          <cell r="DR56">
            <v>0.05</v>
          </cell>
          <cell r="DS56">
            <v>0.04</v>
          </cell>
          <cell r="DT56">
            <v>0.05</v>
          </cell>
          <cell r="DU56">
            <v>0.05</v>
          </cell>
          <cell r="DV56">
            <v>0.04</v>
          </cell>
          <cell r="DW56">
            <v>0.05</v>
          </cell>
          <cell r="DX56">
            <v>0.05</v>
          </cell>
          <cell r="DY56">
            <v>0.04</v>
          </cell>
          <cell r="DZ56">
            <v>0.05</v>
          </cell>
          <cell r="EA56">
            <v>0.05</v>
          </cell>
          <cell r="EB56">
            <v>0.04</v>
          </cell>
          <cell r="EC56">
            <v>0.05</v>
          </cell>
          <cell r="ED56">
            <v>0.05</v>
          </cell>
          <cell r="EE56">
            <v>0.04</v>
          </cell>
          <cell r="EG56">
            <v>7.2000000000000008E-2</v>
          </cell>
          <cell r="EH56">
            <v>7.2000000000000008E-2</v>
          </cell>
          <cell r="EI56">
            <v>0.1</v>
          </cell>
          <cell r="EJ56">
            <v>9.5600000000000032E-2</v>
          </cell>
          <cell r="EK56">
            <v>9.4000000000000014E-2</v>
          </cell>
          <cell r="EL56">
            <v>9.4000000000000014E-2</v>
          </cell>
          <cell r="EM56">
            <v>9.4000000000000014E-2</v>
          </cell>
          <cell r="EN56">
            <v>9.1000000000000011E-2</v>
          </cell>
          <cell r="EO56">
            <v>9.1000000000000011E-2</v>
          </cell>
          <cell r="EP56">
            <v>9.1000000000000011E-2</v>
          </cell>
          <cell r="EQ56">
            <v>9.1000000000000011E-2</v>
          </cell>
          <cell r="ER56">
            <v>9.1000000000000011E-2</v>
          </cell>
          <cell r="ES56">
            <v>9.1000000000000011E-2</v>
          </cell>
          <cell r="EU56">
            <v>0.11800000000000001</v>
          </cell>
          <cell r="EV56">
            <v>0.11800000000000001</v>
          </cell>
          <cell r="EW56">
            <v>0.14000000000000001</v>
          </cell>
          <cell r="EX56">
            <v>0.15120000000000003</v>
          </cell>
          <cell r="EY56">
            <v>0.14800000000000002</v>
          </cell>
          <cell r="EZ56">
            <v>0.14800000000000002</v>
          </cell>
          <cell r="FA56">
            <v>0.14800000000000002</v>
          </cell>
          <cell r="FB56">
            <v>0.14200000000000002</v>
          </cell>
          <cell r="FC56">
            <v>0.14200000000000002</v>
          </cell>
          <cell r="FD56">
            <v>0.14200000000000002</v>
          </cell>
          <cell r="FE56">
            <v>0.14200000000000002</v>
          </cell>
          <cell r="FF56">
            <v>0.14200000000000002</v>
          </cell>
          <cell r="FG56">
            <v>0.14200000000000002</v>
          </cell>
        </row>
        <row r="57">
          <cell r="C57" t="str">
            <v>Expert MCA B22 L3 Diesel  150 MT</v>
          </cell>
          <cell r="D57" t="str">
            <v>Expert MCA B22 L3 Diesel  150 MT</v>
          </cell>
          <cell r="G57">
            <v>0.7</v>
          </cell>
          <cell r="H57">
            <v>0.7</v>
          </cell>
          <cell r="I57">
            <v>0.7</v>
          </cell>
          <cell r="J57">
            <v>0.7</v>
          </cell>
          <cell r="K57">
            <v>0.7</v>
          </cell>
          <cell r="L57">
            <v>0.7</v>
          </cell>
          <cell r="M57">
            <v>0.7</v>
          </cell>
          <cell r="N57">
            <v>0.7</v>
          </cell>
          <cell r="O57">
            <v>0.7</v>
          </cell>
          <cell r="P57">
            <v>0.7</v>
          </cell>
          <cell r="Q57">
            <v>0.7</v>
          </cell>
          <cell r="R57">
            <v>0.7</v>
          </cell>
          <cell r="U57">
            <v>0.6</v>
          </cell>
          <cell r="V57">
            <v>0.3</v>
          </cell>
          <cell r="W57">
            <v>0.1</v>
          </cell>
          <cell r="X57">
            <v>0.6</v>
          </cell>
          <cell r="Y57">
            <v>0.3</v>
          </cell>
          <cell r="Z57">
            <v>0.1</v>
          </cell>
          <cell r="AA57">
            <v>0.2</v>
          </cell>
          <cell r="AB57">
            <v>0.2</v>
          </cell>
          <cell r="AC57">
            <v>0.6</v>
          </cell>
          <cell r="AD57">
            <v>0.35</v>
          </cell>
          <cell r="AE57">
            <v>0.25</v>
          </cell>
          <cell r="AF57">
            <v>0.4</v>
          </cell>
          <cell r="AG57">
            <v>0.35</v>
          </cell>
          <cell r="AH57">
            <v>0.25</v>
          </cell>
          <cell r="AI57">
            <v>0.4</v>
          </cell>
          <cell r="AJ57">
            <v>0.35</v>
          </cell>
          <cell r="AK57">
            <v>0.25</v>
          </cell>
          <cell r="AL57">
            <v>0.4</v>
          </cell>
          <cell r="AM57">
            <v>0.6</v>
          </cell>
          <cell r="AN57">
            <v>0.3</v>
          </cell>
          <cell r="AO57">
            <v>0.1</v>
          </cell>
          <cell r="AP57">
            <v>0.6</v>
          </cell>
          <cell r="AQ57">
            <v>0.3</v>
          </cell>
          <cell r="AR57">
            <v>0.1</v>
          </cell>
          <cell r="AS57">
            <v>0.6</v>
          </cell>
          <cell r="AT57">
            <v>0.3</v>
          </cell>
          <cell r="AU57">
            <v>0.1</v>
          </cell>
          <cell r="AV57">
            <v>0.6</v>
          </cell>
          <cell r="AW57">
            <v>0.3</v>
          </cell>
          <cell r="AX57">
            <v>0.1</v>
          </cell>
          <cell r="AY57">
            <v>0.6</v>
          </cell>
          <cell r="AZ57">
            <v>0.3</v>
          </cell>
          <cell r="BA57">
            <v>0.1</v>
          </cell>
          <cell r="BB57">
            <v>0.6</v>
          </cell>
          <cell r="BC57">
            <v>0.3</v>
          </cell>
          <cell r="BD57">
            <v>0.1</v>
          </cell>
          <cell r="BG57">
            <v>0.1</v>
          </cell>
          <cell r="BH57">
            <v>0.14000000000000001</v>
          </cell>
          <cell r="BI57">
            <v>0.16</v>
          </cell>
          <cell r="BJ57">
            <v>0.1</v>
          </cell>
          <cell r="BK57">
            <v>0.14000000000000001</v>
          </cell>
          <cell r="BL57">
            <v>0.16</v>
          </cell>
          <cell r="BM57">
            <v>0.14000000000000001</v>
          </cell>
          <cell r="BN57">
            <v>0.14000000000000001</v>
          </cell>
          <cell r="BO57">
            <v>0.16</v>
          </cell>
          <cell r="BP57">
            <v>0.14000000000000001</v>
          </cell>
          <cell r="BQ57">
            <v>0.14000000000000001</v>
          </cell>
          <cell r="BR57">
            <v>0.16</v>
          </cell>
          <cell r="BS57">
            <v>0.14000000000000001</v>
          </cell>
          <cell r="BT57">
            <v>0.14000000000000001</v>
          </cell>
          <cell r="BU57">
            <v>0.16</v>
          </cell>
          <cell r="BV57">
            <v>0.14000000000000001</v>
          </cell>
          <cell r="BW57">
            <v>0.14000000000000001</v>
          </cell>
          <cell r="BX57">
            <v>0.16</v>
          </cell>
          <cell r="BY57">
            <v>0.14000000000000001</v>
          </cell>
          <cell r="BZ57">
            <v>0.14000000000000001</v>
          </cell>
          <cell r="CA57">
            <v>0.16</v>
          </cell>
          <cell r="CB57">
            <v>0.14000000000000001</v>
          </cell>
          <cell r="CC57">
            <v>0.14000000000000001</v>
          </cell>
          <cell r="CD57">
            <v>0.16</v>
          </cell>
          <cell r="CE57">
            <v>0.14000000000000001</v>
          </cell>
          <cell r="CF57">
            <v>0.14000000000000001</v>
          </cell>
          <cell r="CG57">
            <v>0.16</v>
          </cell>
          <cell r="CH57">
            <v>0.14000000000000001</v>
          </cell>
          <cell r="CI57">
            <v>0.14000000000000001</v>
          </cell>
          <cell r="CJ57">
            <v>0.16</v>
          </cell>
          <cell r="CK57">
            <v>0.14000000000000001</v>
          </cell>
          <cell r="CL57">
            <v>0.14000000000000001</v>
          </cell>
          <cell r="CM57">
            <v>0.16</v>
          </cell>
          <cell r="CN57">
            <v>0.14000000000000001</v>
          </cell>
          <cell r="CO57">
            <v>0.14000000000000001</v>
          </cell>
          <cell r="CP57">
            <v>0.16</v>
          </cell>
          <cell r="CQ57">
            <v>0.14000000000000001</v>
          </cell>
          <cell r="CR57">
            <v>0.14000000000000001</v>
          </cell>
          <cell r="CS57">
            <v>0.16</v>
          </cell>
          <cell r="CV57">
            <v>0.06</v>
          </cell>
          <cell r="CW57">
            <v>0.05</v>
          </cell>
          <cell r="CX57">
            <v>0.03</v>
          </cell>
          <cell r="CY57">
            <v>0.06</v>
          </cell>
          <cell r="CZ57">
            <v>0.05</v>
          </cell>
          <cell r="DA57">
            <v>0.03</v>
          </cell>
          <cell r="DB57">
            <v>0.05</v>
          </cell>
          <cell r="DC57">
            <v>0.05</v>
          </cell>
          <cell r="DD57">
            <v>0.04</v>
          </cell>
          <cell r="DE57">
            <v>0.05</v>
          </cell>
          <cell r="DF57">
            <v>0.05</v>
          </cell>
          <cell r="DG57">
            <v>0.04</v>
          </cell>
          <cell r="DH57">
            <v>0.05</v>
          </cell>
          <cell r="DI57">
            <v>0.05</v>
          </cell>
          <cell r="DJ57">
            <v>0.04</v>
          </cell>
          <cell r="DK57">
            <v>0.05</v>
          </cell>
          <cell r="DL57">
            <v>0.05</v>
          </cell>
          <cell r="DM57">
            <v>0.04</v>
          </cell>
          <cell r="DN57">
            <v>0.05</v>
          </cell>
          <cell r="DO57">
            <v>0.05</v>
          </cell>
          <cell r="DP57">
            <v>0.04</v>
          </cell>
          <cell r="DQ57">
            <v>0.05</v>
          </cell>
          <cell r="DR57">
            <v>0.05</v>
          </cell>
          <cell r="DS57">
            <v>0.04</v>
          </cell>
          <cell r="DT57">
            <v>0.05</v>
          </cell>
          <cell r="DU57">
            <v>0.05</v>
          </cell>
          <cell r="DV57">
            <v>0.04</v>
          </cell>
          <cell r="DW57">
            <v>0.05</v>
          </cell>
          <cell r="DX57">
            <v>0.05</v>
          </cell>
          <cell r="DY57">
            <v>0.04</v>
          </cell>
          <cell r="DZ57">
            <v>0.05</v>
          </cell>
          <cell r="EA57">
            <v>0.05</v>
          </cell>
          <cell r="EB57">
            <v>0.04</v>
          </cell>
          <cell r="EC57">
            <v>0.05</v>
          </cell>
          <cell r="ED57">
            <v>0.05</v>
          </cell>
          <cell r="EE57">
            <v>0.04</v>
          </cell>
          <cell r="EG57">
            <v>7.2000000000000008E-2</v>
          </cell>
          <cell r="EH57">
            <v>7.2000000000000008E-2</v>
          </cell>
          <cell r="EI57">
            <v>9.6000000000000002E-2</v>
          </cell>
          <cell r="EJ57">
            <v>9.600000000000003E-2</v>
          </cell>
          <cell r="EK57">
            <v>9.4000000000000014E-2</v>
          </cell>
          <cell r="EL57">
            <v>9.4000000000000014E-2</v>
          </cell>
          <cell r="EM57">
            <v>9.4000000000000014E-2</v>
          </cell>
          <cell r="EN57">
            <v>9.1000000000000011E-2</v>
          </cell>
          <cell r="EO57">
            <v>9.1000000000000011E-2</v>
          </cell>
          <cell r="EP57">
            <v>9.1000000000000011E-2</v>
          </cell>
          <cell r="EQ57">
            <v>9.1000000000000011E-2</v>
          </cell>
          <cell r="ER57">
            <v>9.1000000000000011E-2</v>
          </cell>
          <cell r="ES57">
            <v>9.1000000000000011E-2</v>
          </cell>
          <cell r="EU57">
            <v>0.11800000000000001</v>
          </cell>
          <cell r="EV57">
            <v>0.11800000000000001</v>
          </cell>
          <cell r="EW57">
            <v>0.14200000000000002</v>
          </cell>
          <cell r="EX57">
            <v>0.15200000000000002</v>
          </cell>
          <cell r="EY57">
            <v>0.14800000000000002</v>
          </cell>
          <cell r="EZ57">
            <v>0.14800000000000002</v>
          </cell>
          <cell r="FA57">
            <v>0.14800000000000002</v>
          </cell>
          <cell r="FB57">
            <v>0.14200000000000002</v>
          </cell>
          <cell r="FC57">
            <v>0.14200000000000002</v>
          </cell>
          <cell r="FD57">
            <v>0.14200000000000002</v>
          </cell>
          <cell r="FE57">
            <v>0.14200000000000002</v>
          </cell>
          <cell r="FF57">
            <v>0.14200000000000002</v>
          </cell>
          <cell r="FG57">
            <v>0.14200000000000002</v>
          </cell>
        </row>
        <row r="58">
          <cell r="C58" t="str">
            <v>Expert MCA L3 EV</v>
          </cell>
          <cell r="D58" t="str">
            <v>Expert Eléctric</v>
          </cell>
          <cell r="G58">
            <v>1</v>
          </cell>
          <cell r="H58">
            <v>1</v>
          </cell>
          <cell r="I58">
            <v>1</v>
          </cell>
          <cell r="J58">
            <v>1</v>
          </cell>
          <cell r="K58">
            <v>1</v>
          </cell>
          <cell r="L58">
            <v>1</v>
          </cell>
          <cell r="M58">
            <v>1</v>
          </cell>
          <cell r="N58">
            <v>1</v>
          </cell>
          <cell r="O58">
            <v>1</v>
          </cell>
          <cell r="P58">
            <v>1</v>
          </cell>
          <cell r="Q58">
            <v>1</v>
          </cell>
          <cell r="R58">
            <v>1</v>
          </cell>
          <cell r="U58">
            <v>0.5</v>
          </cell>
          <cell r="V58">
            <v>0.3</v>
          </cell>
          <cell r="W58">
            <v>0.2</v>
          </cell>
          <cell r="X58">
            <v>0.5</v>
          </cell>
          <cell r="Y58">
            <v>0.3</v>
          </cell>
          <cell r="Z58">
            <v>0.2</v>
          </cell>
          <cell r="AA58">
            <v>0.1</v>
          </cell>
          <cell r="AB58">
            <v>0.2</v>
          </cell>
          <cell r="AC58">
            <v>0.7</v>
          </cell>
          <cell r="AD58">
            <v>0.35</v>
          </cell>
          <cell r="AE58">
            <v>0.25</v>
          </cell>
          <cell r="AF58">
            <v>0.4</v>
          </cell>
          <cell r="AG58">
            <v>0.35</v>
          </cell>
          <cell r="AH58">
            <v>0.25</v>
          </cell>
          <cell r="AI58">
            <v>0.4</v>
          </cell>
          <cell r="AJ58">
            <v>0.35</v>
          </cell>
          <cell r="AK58">
            <v>0.25</v>
          </cell>
          <cell r="AL58">
            <v>0.4</v>
          </cell>
          <cell r="AM58">
            <v>0.5</v>
          </cell>
          <cell r="AN58">
            <v>0.3</v>
          </cell>
          <cell r="AO58">
            <v>0.2</v>
          </cell>
          <cell r="AP58">
            <v>0.5</v>
          </cell>
          <cell r="AQ58">
            <v>0.3</v>
          </cell>
          <cell r="AR58">
            <v>0.2</v>
          </cell>
          <cell r="AS58">
            <v>0.5</v>
          </cell>
          <cell r="AT58">
            <v>0.3</v>
          </cell>
          <cell r="AU58">
            <v>0.2</v>
          </cell>
          <cell r="AV58">
            <v>0.5</v>
          </cell>
          <cell r="AW58">
            <v>0.3</v>
          </cell>
          <cell r="AX58">
            <v>0.2</v>
          </cell>
          <cell r="AY58">
            <v>0.5</v>
          </cell>
          <cell r="AZ58">
            <v>0.3</v>
          </cell>
          <cell r="BA58">
            <v>0.2</v>
          </cell>
          <cell r="BB58">
            <v>0.5</v>
          </cell>
          <cell r="BC58">
            <v>0.3</v>
          </cell>
          <cell r="BD58">
            <v>0.2</v>
          </cell>
          <cell r="BG58">
            <v>0.1</v>
          </cell>
          <cell r="BH58">
            <v>0.14000000000000001</v>
          </cell>
          <cell r="BI58">
            <v>0.16</v>
          </cell>
          <cell r="BJ58">
            <v>0.1</v>
          </cell>
          <cell r="BK58">
            <v>0.14000000000000001</v>
          </cell>
          <cell r="BL58">
            <v>0.16</v>
          </cell>
          <cell r="BM58">
            <v>0.1</v>
          </cell>
          <cell r="BN58">
            <v>0.14000000000000001</v>
          </cell>
          <cell r="BO58">
            <v>0.16</v>
          </cell>
          <cell r="BP58">
            <v>0.1</v>
          </cell>
          <cell r="BQ58">
            <v>0.14000000000000001</v>
          </cell>
          <cell r="BR58">
            <v>0.16</v>
          </cell>
          <cell r="BS58">
            <v>0.1</v>
          </cell>
          <cell r="BT58">
            <v>0.14000000000000001</v>
          </cell>
          <cell r="BU58">
            <v>0.16</v>
          </cell>
          <cell r="BV58">
            <v>0.1</v>
          </cell>
          <cell r="BW58">
            <v>0.14000000000000001</v>
          </cell>
          <cell r="BX58">
            <v>0.16</v>
          </cell>
          <cell r="BY58">
            <v>0.1</v>
          </cell>
          <cell r="BZ58">
            <v>0.14000000000000001</v>
          </cell>
          <cell r="CA58">
            <v>0.16</v>
          </cell>
          <cell r="CB58">
            <v>0.1</v>
          </cell>
          <cell r="CC58">
            <v>0.14000000000000001</v>
          </cell>
          <cell r="CD58">
            <v>0.16</v>
          </cell>
          <cell r="CE58">
            <v>0.1</v>
          </cell>
          <cell r="CF58">
            <v>0.14000000000000001</v>
          </cell>
          <cell r="CG58">
            <v>0.16</v>
          </cell>
          <cell r="CH58">
            <v>0.1</v>
          </cell>
          <cell r="CI58">
            <v>0.14000000000000001</v>
          </cell>
          <cell r="CJ58">
            <v>0.16</v>
          </cell>
          <cell r="CK58">
            <v>0.1</v>
          </cell>
          <cell r="CL58">
            <v>0.14000000000000001</v>
          </cell>
          <cell r="CM58">
            <v>0.16</v>
          </cell>
          <cell r="CN58">
            <v>0.1</v>
          </cell>
          <cell r="CO58">
            <v>0.14000000000000001</v>
          </cell>
          <cell r="CP58">
            <v>0.16</v>
          </cell>
          <cell r="CQ58">
            <v>0.1</v>
          </cell>
          <cell r="CR58">
            <v>0.14000000000000001</v>
          </cell>
          <cell r="CS58">
            <v>0.16</v>
          </cell>
          <cell r="CV58">
            <v>5.5E-2</v>
          </cell>
          <cell r="CW58">
            <v>4.4999999999999998E-2</v>
          </cell>
          <cell r="CX58">
            <v>0.03</v>
          </cell>
          <cell r="CY58">
            <v>5.5E-2</v>
          </cell>
          <cell r="CZ58">
            <v>4.4999999999999998E-2</v>
          </cell>
          <cell r="DA58">
            <v>0.03</v>
          </cell>
          <cell r="DB58">
            <v>5.5E-2</v>
          </cell>
          <cell r="DC58">
            <v>4.4999999999999998E-2</v>
          </cell>
          <cell r="DD58">
            <v>0.03</v>
          </cell>
          <cell r="DE58">
            <v>5.5E-2</v>
          </cell>
          <cell r="DF58">
            <v>4.4999999999999998E-2</v>
          </cell>
          <cell r="DG58">
            <v>0.03</v>
          </cell>
          <cell r="DH58">
            <v>5.5E-2</v>
          </cell>
          <cell r="DI58">
            <v>4.4999999999999998E-2</v>
          </cell>
          <cell r="DJ58">
            <v>0.03</v>
          </cell>
          <cell r="DK58">
            <v>5.5E-2</v>
          </cell>
          <cell r="DL58">
            <v>4.4999999999999998E-2</v>
          </cell>
          <cell r="DM58">
            <v>0.03</v>
          </cell>
          <cell r="DN58">
            <v>5.5E-2</v>
          </cell>
          <cell r="DO58">
            <v>4.4999999999999998E-2</v>
          </cell>
          <cell r="DP58">
            <v>0.03</v>
          </cell>
          <cell r="DQ58">
            <v>5.5E-2</v>
          </cell>
          <cell r="DR58">
            <v>4.4999999999999998E-2</v>
          </cell>
          <cell r="DS58">
            <v>0.03</v>
          </cell>
          <cell r="DT58">
            <v>5.5E-2</v>
          </cell>
          <cell r="DU58">
            <v>4.4999999999999998E-2</v>
          </cell>
          <cell r="DV58">
            <v>0.03</v>
          </cell>
          <cell r="DW58">
            <v>5.5E-2</v>
          </cell>
          <cell r="DX58">
            <v>4.4999999999999998E-2</v>
          </cell>
          <cell r="DY58">
            <v>0.03</v>
          </cell>
          <cell r="DZ58">
            <v>5.5E-2</v>
          </cell>
          <cell r="EA58">
            <v>4.4999999999999998E-2</v>
          </cell>
          <cell r="EB58">
            <v>0.03</v>
          </cell>
          <cell r="EC58">
            <v>5.5E-2</v>
          </cell>
          <cell r="ED58">
            <v>4.4999999999999998E-2</v>
          </cell>
          <cell r="EE58">
            <v>0.03</v>
          </cell>
          <cell r="EG58">
            <v>7.0999999999999994E-2</v>
          </cell>
          <cell r="EH58">
            <v>7.0999999999999994E-2</v>
          </cell>
          <cell r="EI58">
            <v>7.0999999999999994E-2</v>
          </cell>
          <cell r="EJ58">
            <v>8.5499999999999993E-2</v>
          </cell>
          <cell r="EK58">
            <v>7.6499999999999999E-2</v>
          </cell>
          <cell r="EL58">
            <v>7.6499999999999999E-2</v>
          </cell>
          <cell r="EM58">
            <v>7.6499999999999999E-2</v>
          </cell>
          <cell r="EN58">
            <v>7.0999999999999994E-2</v>
          </cell>
          <cell r="EO58">
            <v>7.0999999999999994E-2</v>
          </cell>
          <cell r="EP58">
            <v>7.0999999999999994E-2</v>
          </cell>
          <cell r="EQ58">
            <v>7.0999999999999994E-2</v>
          </cell>
          <cell r="ER58">
            <v>7.0999999999999994E-2</v>
          </cell>
          <cell r="ES58">
            <v>7.0999999999999994E-2</v>
          </cell>
          <cell r="EU58">
            <v>0.124</v>
          </cell>
          <cell r="EV58">
            <v>0.124</v>
          </cell>
          <cell r="EW58">
            <v>0.124</v>
          </cell>
          <cell r="EX58">
            <v>0.15</v>
          </cell>
          <cell r="EY58">
            <v>0.13400000000000001</v>
          </cell>
          <cell r="EZ58">
            <v>0.13400000000000001</v>
          </cell>
          <cell r="FA58">
            <v>0.13400000000000001</v>
          </cell>
          <cell r="FB58">
            <v>0.124</v>
          </cell>
          <cell r="FC58">
            <v>0.124</v>
          </cell>
          <cell r="FD58">
            <v>0.124</v>
          </cell>
          <cell r="FE58">
            <v>0.124</v>
          </cell>
          <cell r="FF58">
            <v>0.124</v>
          </cell>
          <cell r="FG58">
            <v>0.124</v>
          </cell>
        </row>
        <row r="59">
          <cell r="D59"/>
          <cell r="G59">
            <v>1</v>
          </cell>
          <cell r="H59">
            <v>1</v>
          </cell>
          <cell r="I59">
            <v>1</v>
          </cell>
          <cell r="J59">
            <v>1</v>
          </cell>
          <cell r="K59">
            <v>1</v>
          </cell>
          <cell r="L59">
            <v>1</v>
          </cell>
          <cell r="M59">
            <v>1</v>
          </cell>
          <cell r="N59">
            <v>1</v>
          </cell>
          <cell r="O59">
            <v>1</v>
          </cell>
          <cell r="P59">
            <v>1</v>
          </cell>
          <cell r="Q59">
            <v>1</v>
          </cell>
          <cell r="R59">
            <v>1</v>
          </cell>
          <cell r="U59">
            <v>0.5</v>
          </cell>
          <cell r="V59">
            <v>0.3</v>
          </cell>
          <cell r="W59">
            <v>0.2</v>
          </cell>
          <cell r="X59">
            <v>0.5</v>
          </cell>
          <cell r="Y59">
            <v>0.3</v>
          </cell>
          <cell r="Z59">
            <v>0.2</v>
          </cell>
          <cell r="AA59">
            <v>0.1</v>
          </cell>
          <cell r="AB59">
            <v>0.2</v>
          </cell>
          <cell r="AC59">
            <v>0.7</v>
          </cell>
          <cell r="AD59">
            <v>0.35</v>
          </cell>
          <cell r="AE59">
            <v>0.25</v>
          </cell>
          <cell r="AF59">
            <v>0.4</v>
          </cell>
          <cell r="AG59">
            <v>0.35</v>
          </cell>
          <cell r="AH59">
            <v>0.25</v>
          </cell>
          <cell r="AI59">
            <v>0.4</v>
          </cell>
          <cell r="AJ59">
            <v>0.35</v>
          </cell>
          <cell r="AK59">
            <v>0.25</v>
          </cell>
          <cell r="AL59">
            <v>0.4</v>
          </cell>
          <cell r="AM59">
            <v>0.5</v>
          </cell>
          <cell r="AN59">
            <v>0.3</v>
          </cell>
          <cell r="AO59">
            <v>0.2</v>
          </cell>
          <cell r="AP59">
            <v>0.5</v>
          </cell>
          <cell r="AQ59">
            <v>0.3</v>
          </cell>
          <cell r="AR59">
            <v>0.2</v>
          </cell>
          <cell r="AS59">
            <v>0.5</v>
          </cell>
          <cell r="AT59">
            <v>0.3</v>
          </cell>
          <cell r="AU59">
            <v>0.2</v>
          </cell>
          <cell r="AV59">
            <v>0.5</v>
          </cell>
          <cell r="AW59">
            <v>0.3</v>
          </cell>
          <cell r="AX59">
            <v>0.2</v>
          </cell>
          <cell r="AY59">
            <v>0.5</v>
          </cell>
          <cell r="AZ59">
            <v>0.3</v>
          </cell>
          <cell r="BA59">
            <v>0.2</v>
          </cell>
          <cell r="BB59">
            <v>0.5</v>
          </cell>
          <cell r="BC59">
            <v>0.3</v>
          </cell>
          <cell r="BD59">
            <v>0.2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V59">
            <v>5.5E-2</v>
          </cell>
          <cell r="CW59">
            <v>4.4999999999999998E-2</v>
          </cell>
          <cell r="CX59">
            <v>0.03</v>
          </cell>
          <cell r="CY59">
            <v>5.5E-2</v>
          </cell>
          <cell r="CZ59">
            <v>4.4999999999999998E-2</v>
          </cell>
          <cell r="DA59">
            <v>0.03</v>
          </cell>
          <cell r="DB59">
            <v>5.5E-2</v>
          </cell>
          <cell r="DC59">
            <v>4.4999999999999998E-2</v>
          </cell>
          <cell r="DD59">
            <v>0.03</v>
          </cell>
          <cell r="DE59">
            <v>5.5E-2</v>
          </cell>
          <cell r="DF59">
            <v>4.4999999999999998E-2</v>
          </cell>
          <cell r="DG59">
            <v>0.03</v>
          </cell>
          <cell r="DH59">
            <v>5.5E-2</v>
          </cell>
          <cell r="DI59">
            <v>4.4999999999999998E-2</v>
          </cell>
          <cell r="DJ59">
            <v>0.03</v>
          </cell>
          <cell r="DK59">
            <v>5.5E-2</v>
          </cell>
          <cell r="DL59">
            <v>4.4999999999999998E-2</v>
          </cell>
          <cell r="DM59">
            <v>0.03</v>
          </cell>
          <cell r="DN59">
            <v>5.5E-2</v>
          </cell>
          <cell r="DO59">
            <v>4.4999999999999998E-2</v>
          </cell>
          <cell r="DP59">
            <v>0.03</v>
          </cell>
          <cell r="DQ59">
            <v>5.5E-2</v>
          </cell>
          <cell r="DR59">
            <v>4.4999999999999998E-2</v>
          </cell>
          <cell r="DS59">
            <v>0.03</v>
          </cell>
          <cell r="DT59">
            <v>5.5E-2</v>
          </cell>
          <cell r="DU59">
            <v>4.4999999999999998E-2</v>
          </cell>
          <cell r="DV59">
            <v>0.03</v>
          </cell>
          <cell r="DW59">
            <v>5.5E-2</v>
          </cell>
          <cell r="DX59">
            <v>4.4999999999999998E-2</v>
          </cell>
          <cell r="DY59">
            <v>0.03</v>
          </cell>
          <cell r="DZ59">
            <v>5.5E-2</v>
          </cell>
          <cell r="EA59">
            <v>4.4999999999999998E-2</v>
          </cell>
          <cell r="EB59">
            <v>0.03</v>
          </cell>
          <cell r="EC59">
            <v>5.5E-2</v>
          </cell>
          <cell r="ED59">
            <v>4.4999999999999998E-2</v>
          </cell>
          <cell r="EE59">
            <v>0.03</v>
          </cell>
          <cell r="EG59">
            <v>-5.3000000000000005E-2</v>
          </cell>
          <cell r="EH59">
            <v>-5.3000000000000005E-2</v>
          </cell>
          <cell r="EI59">
            <v>-5.3000000000000005E-2</v>
          </cell>
          <cell r="EJ59">
            <v>-6.4500000000000002E-2</v>
          </cell>
          <cell r="EK59">
            <v>-5.7500000000000009E-2</v>
          </cell>
          <cell r="EL59">
            <v>-5.7500000000000009E-2</v>
          </cell>
          <cell r="EM59">
            <v>-5.7500000000000009E-2</v>
          </cell>
          <cell r="EN59">
            <v>-5.3000000000000005E-2</v>
          </cell>
          <cell r="EO59">
            <v>-5.3000000000000005E-2</v>
          </cell>
          <cell r="EP59">
            <v>-5.3000000000000005E-2</v>
          </cell>
          <cell r="EQ59">
            <v>-5.3000000000000005E-2</v>
          </cell>
          <cell r="ER59">
            <v>-5.3000000000000005E-2</v>
          </cell>
          <cell r="ES59">
            <v>-5.3000000000000005E-2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</row>
        <row r="60">
          <cell r="C60" t="str">
            <v>Boxer MCA Furgón  L2H2 BlueHDi</v>
          </cell>
          <cell r="D60" t="str">
            <v>Boxer MCA Furgón L2H2 Diesel 140hp MT</v>
          </cell>
          <cell r="G60">
            <v>0.7</v>
          </cell>
          <cell r="H60">
            <v>0.7</v>
          </cell>
          <cell r="I60">
            <v>0.7</v>
          </cell>
          <cell r="J60">
            <v>0.7</v>
          </cell>
          <cell r="K60">
            <v>0.7</v>
          </cell>
          <cell r="L60">
            <v>0.7</v>
          </cell>
          <cell r="M60">
            <v>0.7</v>
          </cell>
          <cell r="N60">
            <v>0.7</v>
          </cell>
          <cell r="O60">
            <v>0.7</v>
          </cell>
          <cell r="P60">
            <v>0.7</v>
          </cell>
          <cell r="Q60">
            <v>0.7</v>
          </cell>
          <cell r="R60">
            <v>0.7</v>
          </cell>
          <cell r="U60">
            <v>0.6</v>
          </cell>
          <cell r="V60">
            <v>0.3</v>
          </cell>
          <cell r="W60">
            <v>0.1</v>
          </cell>
          <cell r="X60">
            <v>0.6</v>
          </cell>
          <cell r="Y60">
            <v>0.3</v>
          </cell>
          <cell r="Z60">
            <v>0.1</v>
          </cell>
          <cell r="AA60">
            <v>0.05</v>
          </cell>
          <cell r="AB60">
            <v>0.17999999999999994</v>
          </cell>
          <cell r="AC60">
            <v>0.77</v>
          </cell>
          <cell r="AD60">
            <v>0.35</v>
          </cell>
          <cell r="AE60">
            <v>0.25</v>
          </cell>
          <cell r="AF60">
            <v>0.4</v>
          </cell>
          <cell r="AG60">
            <v>0.35</v>
          </cell>
          <cell r="AH60">
            <v>0.25</v>
          </cell>
          <cell r="AI60">
            <v>0.4</v>
          </cell>
          <cell r="AJ60">
            <v>0.35</v>
          </cell>
          <cell r="AK60">
            <v>0.25</v>
          </cell>
          <cell r="AL60">
            <v>0.4</v>
          </cell>
          <cell r="AM60">
            <v>0.6</v>
          </cell>
          <cell r="AN60">
            <v>0.3</v>
          </cell>
          <cell r="AO60">
            <v>0.1</v>
          </cell>
          <cell r="AP60">
            <v>0.6</v>
          </cell>
          <cell r="AQ60">
            <v>0.3</v>
          </cell>
          <cell r="AR60">
            <v>0.1</v>
          </cell>
          <cell r="AS60">
            <v>0.6</v>
          </cell>
          <cell r="AT60">
            <v>0.3</v>
          </cell>
          <cell r="AU60">
            <v>0.1</v>
          </cell>
          <cell r="AV60">
            <v>0.6</v>
          </cell>
          <cell r="AW60">
            <v>0.3</v>
          </cell>
          <cell r="AX60">
            <v>0.1</v>
          </cell>
          <cell r="AY60">
            <v>0.6</v>
          </cell>
          <cell r="AZ60">
            <v>0.3</v>
          </cell>
          <cell r="BA60">
            <v>0.1</v>
          </cell>
          <cell r="BB60">
            <v>0.6</v>
          </cell>
          <cell r="BC60">
            <v>0.3</v>
          </cell>
          <cell r="BD60">
            <v>0.1</v>
          </cell>
          <cell r="BG60">
            <v>0.16</v>
          </cell>
          <cell r="BH60">
            <v>0.18</v>
          </cell>
          <cell r="BI60">
            <v>0.2</v>
          </cell>
          <cell r="BJ60">
            <v>0.14000000000000001</v>
          </cell>
          <cell r="BK60">
            <v>0.16</v>
          </cell>
          <cell r="BL60">
            <v>0.2</v>
          </cell>
          <cell r="BM60">
            <v>0.14000000000000001</v>
          </cell>
          <cell r="BN60">
            <v>0.16</v>
          </cell>
          <cell r="BO60">
            <v>0.2</v>
          </cell>
          <cell r="BP60">
            <v>0.14000000000000001</v>
          </cell>
          <cell r="BQ60">
            <v>0.16</v>
          </cell>
          <cell r="BR60">
            <v>0.2</v>
          </cell>
          <cell r="BS60">
            <v>0.14000000000000001</v>
          </cell>
          <cell r="BT60">
            <v>0.16</v>
          </cell>
          <cell r="BU60">
            <v>0.2</v>
          </cell>
          <cell r="BV60">
            <v>0.14000000000000001</v>
          </cell>
          <cell r="BW60">
            <v>0.16</v>
          </cell>
          <cell r="BX60">
            <v>0.2</v>
          </cell>
          <cell r="BY60">
            <v>0.15</v>
          </cell>
          <cell r="BZ60">
            <v>0.17</v>
          </cell>
          <cell r="CA60">
            <v>0.21</v>
          </cell>
          <cell r="CB60">
            <v>0.15</v>
          </cell>
          <cell r="CC60">
            <v>0.17</v>
          </cell>
          <cell r="CD60">
            <v>0.21</v>
          </cell>
          <cell r="CE60">
            <v>0.15</v>
          </cell>
          <cell r="CF60">
            <v>0.17</v>
          </cell>
          <cell r="CG60">
            <v>0.21</v>
          </cell>
          <cell r="CH60">
            <v>0.15</v>
          </cell>
          <cell r="CI60">
            <v>0.17</v>
          </cell>
          <cell r="CJ60">
            <v>0.21</v>
          </cell>
          <cell r="CK60">
            <v>0.15</v>
          </cell>
          <cell r="CL60">
            <v>0.17</v>
          </cell>
          <cell r="CM60">
            <v>0.21</v>
          </cell>
          <cell r="CN60">
            <v>0.15</v>
          </cell>
          <cell r="CO60">
            <v>0.17</v>
          </cell>
          <cell r="CP60">
            <v>0.21</v>
          </cell>
          <cell r="CQ60">
            <v>0.15</v>
          </cell>
          <cell r="CR60">
            <v>0.17</v>
          </cell>
          <cell r="CS60">
            <v>0.21</v>
          </cell>
          <cell r="CV60">
            <v>0.06</v>
          </cell>
          <cell r="CW60">
            <v>0.05</v>
          </cell>
          <cell r="CX60">
            <v>3.5000000000000003E-2</v>
          </cell>
          <cell r="CY60">
            <v>0.06</v>
          </cell>
          <cell r="CZ60">
            <v>0.05</v>
          </cell>
          <cell r="DA60">
            <v>3.5000000000000003E-2</v>
          </cell>
          <cell r="DB60">
            <v>0.06</v>
          </cell>
          <cell r="DC60">
            <v>0.05</v>
          </cell>
          <cell r="DD60">
            <v>3.5000000000000003E-2</v>
          </cell>
          <cell r="DE60">
            <v>0.06</v>
          </cell>
          <cell r="DF60">
            <v>0.05</v>
          </cell>
          <cell r="DG60">
            <v>3.5000000000000003E-2</v>
          </cell>
          <cell r="DH60">
            <v>0.06</v>
          </cell>
          <cell r="DI60">
            <v>0.05</v>
          </cell>
          <cell r="DJ60">
            <v>3.5000000000000003E-2</v>
          </cell>
          <cell r="DK60">
            <v>0.06</v>
          </cell>
          <cell r="DL60">
            <v>0.05</v>
          </cell>
          <cell r="DM60">
            <v>3.5000000000000003E-2</v>
          </cell>
          <cell r="DN60">
            <v>0.06</v>
          </cell>
          <cell r="DO60">
            <v>0.05</v>
          </cell>
          <cell r="DP60">
            <v>3.5000000000000003E-2</v>
          </cell>
          <cell r="DQ60">
            <v>0.06</v>
          </cell>
          <cell r="DR60">
            <v>0.05</v>
          </cell>
          <cell r="DS60">
            <v>3.5000000000000003E-2</v>
          </cell>
          <cell r="DT60">
            <v>0.06</v>
          </cell>
          <cell r="DU60">
            <v>0.05</v>
          </cell>
          <cell r="DV60">
            <v>3.5000000000000003E-2</v>
          </cell>
          <cell r="DW60">
            <v>0.06</v>
          </cell>
          <cell r="DX60">
            <v>0.05</v>
          </cell>
          <cell r="DY60">
            <v>3.5000000000000003E-2</v>
          </cell>
          <cell r="DZ60">
            <v>0.06</v>
          </cell>
          <cell r="EA60">
            <v>0.05</v>
          </cell>
          <cell r="EB60">
            <v>3.5000000000000003E-2</v>
          </cell>
          <cell r="EC60">
            <v>0.06</v>
          </cell>
          <cell r="ED60">
            <v>0.05</v>
          </cell>
          <cell r="EE60">
            <v>3.5000000000000003E-2</v>
          </cell>
          <cell r="EG60">
            <v>0.12449999999999997</v>
          </cell>
          <cell r="EH60">
            <v>0.10650000000000001</v>
          </cell>
          <cell r="EI60">
            <v>0.10650000000000001</v>
          </cell>
          <cell r="EJ60">
            <v>0.12875000000000003</v>
          </cell>
          <cell r="EK60">
            <v>0.11650000000000001</v>
          </cell>
          <cell r="EL60">
            <v>0.11650000000000001</v>
          </cell>
          <cell r="EM60">
            <v>0.1265</v>
          </cell>
          <cell r="EN60">
            <v>0.11649999999999999</v>
          </cell>
          <cell r="EO60">
            <v>0.11649999999999999</v>
          </cell>
          <cell r="EP60">
            <v>0.11649999999999999</v>
          </cell>
          <cell r="EQ60">
            <v>0.11649999999999999</v>
          </cell>
          <cell r="ER60">
            <v>0.11649999999999999</v>
          </cell>
          <cell r="ES60">
            <v>0.11649999999999999</v>
          </cell>
          <cell r="EU60">
            <v>0.16999999999999998</v>
          </cell>
          <cell r="EV60">
            <v>0.15200000000000002</v>
          </cell>
          <cell r="EW60">
            <v>0.15200000000000002</v>
          </cell>
          <cell r="EX60">
            <v>0.18980000000000002</v>
          </cell>
          <cell r="EY60">
            <v>0.16900000000000001</v>
          </cell>
          <cell r="EZ60">
            <v>0.16900000000000001</v>
          </cell>
          <cell r="FA60">
            <v>0.17899999999999999</v>
          </cell>
          <cell r="FB60">
            <v>0.16200000000000001</v>
          </cell>
          <cell r="FC60">
            <v>0.16200000000000001</v>
          </cell>
          <cell r="FD60">
            <v>0.16200000000000001</v>
          </cell>
          <cell r="FE60">
            <v>0.16200000000000001</v>
          </cell>
          <cell r="FF60">
            <v>0.16200000000000001</v>
          </cell>
          <cell r="FG60">
            <v>0.16200000000000001</v>
          </cell>
        </row>
        <row r="61">
          <cell r="C61" t="str">
            <v>Boxer MCA Furgón  L3H2 BlueHDi</v>
          </cell>
          <cell r="D61" t="str">
            <v>Boxer MCA Furgón L3H2 Diesel 140hp MT</v>
          </cell>
          <cell r="G61">
            <v>0.7</v>
          </cell>
          <cell r="H61">
            <v>0.7</v>
          </cell>
          <cell r="I61">
            <v>0.7</v>
          </cell>
          <cell r="J61">
            <v>0.7</v>
          </cell>
          <cell r="K61">
            <v>0.7</v>
          </cell>
          <cell r="L61">
            <v>0.7</v>
          </cell>
          <cell r="M61">
            <v>0.7</v>
          </cell>
          <cell r="N61">
            <v>0.7</v>
          </cell>
          <cell r="O61">
            <v>0.7</v>
          </cell>
          <cell r="P61">
            <v>0.7</v>
          </cell>
          <cell r="Q61">
            <v>0.7</v>
          </cell>
          <cell r="R61">
            <v>0.7</v>
          </cell>
          <cell r="U61">
            <v>0.6</v>
          </cell>
          <cell r="V61">
            <v>0.3</v>
          </cell>
          <cell r="W61">
            <v>0.1</v>
          </cell>
          <cell r="X61">
            <v>0.6</v>
          </cell>
          <cell r="Y61">
            <v>0.3</v>
          </cell>
          <cell r="Z61">
            <v>0.1</v>
          </cell>
          <cell r="AA61">
            <v>0.05</v>
          </cell>
          <cell r="AB61">
            <v>0.17999999999999994</v>
          </cell>
          <cell r="AC61">
            <v>0.77</v>
          </cell>
          <cell r="AD61">
            <v>0.35</v>
          </cell>
          <cell r="AE61">
            <v>0.25</v>
          </cell>
          <cell r="AF61">
            <v>0.4</v>
          </cell>
          <cell r="AG61">
            <v>0.35</v>
          </cell>
          <cell r="AH61">
            <v>0.25</v>
          </cell>
          <cell r="AI61">
            <v>0.4</v>
          </cell>
          <cell r="AJ61">
            <v>0.35</v>
          </cell>
          <cell r="AK61">
            <v>0.25</v>
          </cell>
          <cell r="AL61">
            <v>0.4</v>
          </cell>
          <cell r="AM61">
            <v>0.6</v>
          </cell>
          <cell r="AN61">
            <v>0.3</v>
          </cell>
          <cell r="AO61">
            <v>0.1</v>
          </cell>
          <cell r="AP61">
            <v>0.6</v>
          </cell>
          <cell r="AQ61">
            <v>0.3</v>
          </cell>
          <cell r="AR61">
            <v>0.1</v>
          </cell>
          <cell r="AS61">
            <v>0.6</v>
          </cell>
          <cell r="AT61">
            <v>0.3</v>
          </cell>
          <cell r="AU61">
            <v>0.1</v>
          </cell>
          <cell r="AV61">
            <v>0.6</v>
          </cell>
          <cell r="AW61">
            <v>0.3</v>
          </cell>
          <cell r="AX61">
            <v>0.1</v>
          </cell>
          <cell r="AY61">
            <v>0.6</v>
          </cell>
          <cell r="AZ61">
            <v>0.3</v>
          </cell>
          <cell r="BA61">
            <v>0.1</v>
          </cell>
          <cell r="BB61">
            <v>0.6</v>
          </cell>
          <cell r="BC61">
            <v>0.3</v>
          </cell>
          <cell r="BD61">
            <v>0.1</v>
          </cell>
          <cell r="BG61">
            <v>0.14000000000000001</v>
          </cell>
          <cell r="BH61">
            <v>0.16</v>
          </cell>
          <cell r="BI61">
            <v>0.18</v>
          </cell>
          <cell r="BJ61">
            <v>0.14000000000000001</v>
          </cell>
          <cell r="BK61">
            <v>0.16</v>
          </cell>
          <cell r="BL61">
            <v>0.2</v>
          </cell>
          <cell r="BM61">
            <v>0.14000000000000001</v>
          </cell>
          <cell r="BN61">
            <v>0.16</v>
          </cell>
          <cell r="BO61">
            <v>0.2</v>
          </cell>
          <cell r="BP61">
            <v>0.14000000000000001</v>
          </cell>
          <cell r="BQ61">
            <v>0.16</v>
          </cell>
          <cell r="BR61">
            <v>0.2</v>
          </cell>
          <cell r="BS61">
            <v>0.14000000000000001</v>
          </cell>
          <cell r="BT61">
            <v>0.16</v>
          </cell>
          <cell r="BU61">
            <v>0.2</v>
          </cell>
          <cell r="BV61">
            <v>0.14000000000000001</v>
          </cell>
          <cell r="BW61">
            <v>0.16</v>
          </cell>
          <cell r="BX61">
            <v>0.2</v>
          </cell>
          <cell r="BY61">
            <v>0.14000000000000001</v>
          </cell>
          <cell r="BZ61">
            <v>0.16</v>
          </cell>
          <cell r="CA61">
            <v>0.2</v>
          </cell>
          <cell r="CB61">
            <v>0.14000000000000001</v>
          </cell>
          <cell r="CC61">
            <v>0.16</v>
          </cell>
          <cell r="CD61">
            <v>0.2</v>
          </cell>
          <cell r="CE61">
            <v>0.14000000000000001</v>
          </cell>
          <cell r="CF61">
            <v>0.16</v>
          </cell>
          <cell r="CG61">
            <v>0.2</v>
          </cell>
          <cell r="CH61">
            <v>0.14000000000000001</v>
          </cell>
          <cell r="CI61">
            <v>0.16</v>
          </cell>
          <cell r="CJ61">
            <v>0.2</v>
          </cell>
          <cell r="CK61">
            <v>0.14000000000000001</v>
          </cell>
          <cell r="CL61">
            <v>0.16</v>
          </cell>
          <cell r="CM61">
            <v>0.2</v>
          </cell>
          <cell r="CN61">
            <v>0.14000000000000001</v>
          </cell>
          <cell r="CO61">
            <v>0.16</v>
          </cell>
          <cell r="CP61">
            <v>0.2</v>
          </cell>
          <cell r="CQ61">
            <v>0.14000000000000001</v>
          </cell>
          <cell r="CR61">
            <v>0.16</v>
          </cell>
          <cell r="CS61">
            <v>0.2</v>
          </cell>
          <cell r="CV61">
            <v>0.06</v>
          </cell>
          <cell r="CW61">
            <v>0.05</v>
          </cell>
          <cell r="CX61">
            <v>3.5000000000000003E-2</v>
          </cell>
          <cell r="CY61">
            <v>0.06</v>
          </cell>
          <cell r="CZ61">
            <v>0.05</v>
          </cell>
          <cell r="DA61">
            <v>3.5000000000000003E-2</v>
          </cell>
          <cell r="DB61">
            <v>0.06</v>
          </cell>
          <cell r="DC61">
            <v>0.05</v>
          </cell>
          <cell r="DD61">
            <v>3.5000000000000003E-2</v>
          </cell>
          <cell r="DE61">
            <v>0.06</v>
          </cell>
          <cell r="DF61">
            <v>0.05</v>
          </cell>
          <cell r="DG61">
            <v>3.5000000000000003E-2</v>
          </cell>
          <cell r="DH61">
            <v>0.06</v>
          </cell>
          <cell r="DI61">
            <v>0.05</v>
          </cell>
          <cell r="DJ61">
            <v>3.5000000000000003E-2</v>
          </cell>
          <cell r="DK61">
            <v>0.06</v>
          </cell>
          <cell r="DL61">
            <v>0.05</v>
          </cell>
          <cell r="DM61">
            <v>3.5000000000000003E-2</v>
          </cell>
          <cell r="DN61">
            <v>0.06</v>
          </cell>
          <cell r="DO61">
            <v>0.05</v>
          </cell>
          <cell r="DP61">
            <v>3.5000000000000003E-2</v>
          </cell>
          <cell r="DQ61">
            <v>0.06</v>
          </cell>
          <cell r="DR61">
            <v>0.05</v>
          </cell>
          <cell r="DS61">
            <v>3.5000000000000003E-2</v>
          </cell>
          <cell r="DT61">
            <v>0.06</v>
          </cell>
          <cell r="DU61">
            <v>0.05</v>
          </cell>
          <cell r="DV61">
            <v>3.5000000000000003E-2</v>
          </cell>
          <cell r="DW61">
            <v>0.06</v>
          </cell>
          <cell r="DX61">
            <v>0.05</v>
          </cell>
          <cell r="DY61">
            <v>3.5000000000000003E-2</v>
          </cell>
          <cell r="DZ61">
            <v>0.06</v>
          </cell>
          <cell r="EA61">
            <v>0.05</v>
          </cell>
          <cell r="EB61">
            <v>3.5000000000000003E-2</v>
          </cell>
          <cell r="EC61">
            <v>0.06</v>
          </cell>
          <cell r="ED61">
            <v>0.05</v>
          </cell>
          <cell r="EE61">
            <v>3.5000000000000003E-2</v>
          </cell>
          <cell r="EG61">
            <v>0.10449999999999998</v>
          </cell>
          <cell r="EH61">
            <v>0.10650000000000001</v>
          </cell>
          <cell r="EI61">
            <v>0.10650000000000001</v>
          </cell>
          <cell r="EJ61">
            <v>0.12875000000000003</v>
          </cell>
          <cell r="EK61">
            <v>0.11650000000000001</v>
          </cell>
          <cell r="EL61">
            <v>0.11650000000000001</v>
          </cell>
          <cell r="EM61">
            <v>0.11650000000000001</v>
          </cell>
          <cell r="EN61">
            <v>0.10650000000000001</v>
          </cell>
          <cell r="EO61">
            <v>0.10650000000000001</v>
          </cell>
          <cell r="EP61">
            <v>0.10650000000000001</v>
          </cell>
          <cell r="EQ61">
            <v>0.10650000000000001</v>
          </cell>
          <cell r="ER61">
            <v>0.10650000000000001</v>
          </cell>
          <cell r="ES61">
            <v>0.10650000000000001</v>
          </cell>
          <cell r="EU61">
            <v>0.15</v>
          </cell>
          <cell r="EV61">
            <v>0.15200000000000002</v>
          </cell>
          <cell r="EW61">
            <v>0.15200000000000002</v>
          </cell>
          <cell r="EX61">
            <v>0.18980000000000002</v>
          </cell>
          <cell r="EY61">
            <v>0.16900000000000001</v>
          </cell>
          <cell r="EZ61">
            <v>0.16900000000000001</v>
          </cell>
          <cell r="FA61">
            <v>0.16900000000000001</v>
          </cell>
          <cell r="FB61">
            <v>0.15200000000000002</v>
          </cell>
          <cell r="FC61">
            <v>0.15200000000000002</v>
          </cell>
          <cell r="FD61">
            <v>0.15200000000000002</v>
          </cell>
          <cell r="FE61">
            <v>0.15200000000000002</v>
          </cell>
          <cell r="FF61">
            <v>0.15200000000000002</v>
          </cell>
          <cell r="FG61">
            <v>0.15200000000000002</v>
          </cell>
        </row>
        <row r="62">
          <cell r="C62" t="str">
            <v>Boxer MCA Furgón  L4H2 BlueHDi</v>
          </cell>
          <cell r="D62" t="str">
            <v>Boxer MCA Furgón L4H2 Diesel 140hp MT</v>
          </cell>
          <cell r="G62">
            <v>0.7</v>
          </cell>
          <cell r="H62">
            <v>0.7</v>
          </cell>
          <cell r="I62">
            <v>0.7</v>
          </cell>
          <cell r="J62">
            <v>0.7</v>
          </cell>
          <cell r="K62">
            <v>0.7</v>
          </cell>
          <cell r="L62">
            <v>0.7</v>
          </cell>
          <cell r="M62">
            <v>0.7</v>
          </cell>
          <cell r="N62">
            <v>0.7</v>
          </cell>
          <cell r="O62">
            <v>0.7</v>
          </cell>
          <cell r="P62">
            <v>0.7</v>
          </cell>
          <cell r="Q62">
            <v>0.7</v>
          </cell>
          <cell r="R62">
            <v>0.7</v>
          </cell>
          <cell r="U62">
            <v>0.6</v>
          </cell>
          <cell r="V62">
            <v>0.3</v>
          </cell>
          <cell r="W62">
            <v>0.1</v>
          </cell>
          <cell r="X62">
            <v>0.6</v>
          </cell>
          <cell r="Y62">
            <v>0.3</v>
          </cell>
          <cell r="Z62">
            <v>0.1</v>
          </cell>
          <cell r="AA62">
            <v>0.05</v>
          </cell>
          <cell r="AB62">
            <v>0.17999999999999994</v>
          </cell>
          <cell r="AC62">
            <v>0.77</v>
          </cell>
          <cell r="AD62">
            <v>0.35</v>
          </cell>
          <cell r="AE62">
            <v>0.25</v>
          </cell>
          <cell r="AF62">
            <v>0.4</v>
          </cell>
          <cell r="AG62">
            <v>0.35</v>
          </cell>
          <cell r="AH62">
            <v>0.25</v>
          </cell>
          <cell r="AI62">
            <v>0.4</v>
          </cell>
          <cell r="AJ62">
            <v>0.35</v>
          </cell>
          <cell r="AK62">
            <v>0.25</v>
          </cell>
          <cell r="AL62">
            <v>0.4</v>
          </cell>
          <cell r="AM62">
            <v>0.6</v>
          </cell>
          <cell r="AN62">
            <v>0.3</v>
          </cell>
          <cell r="AO62">
            <v>0.1</v>
          </cell>
          <cell r="AP62">
            <v>0.6</v>
          </cell>
          <cell r="AQ62">
            <v>0.3</v>
          </cell>
          <cell r="AR62">
            <v>0.1</v>
          </cell>
          <cell r="AS62">
            <v>0.6</v>
          </cell>
          <cell r="AT62">
            <v>0.3</v>
          </cell>
          <cell r="AU62">
            <v>0.1</v>
          </cell>
          <cell r="AV62">
            <v>0.6</v>
          </cell>
          <cell r="AW62">
            <v>0.3</v>
          </cell>
          <cell r="AX62">
            <v>0.1</v>
          </cell>
          <cell r="AY62">
            <v>0.6</v>
          </cell>
          <cell r="AZ62">
            <v>0.3</v>
          </cell>
          <cell r="BA62">
            <v>0.1</v>
          </cell>
          <cell r="BB62">
            <v>0.6</v>
          </cell>
          <cell r="BC62">
            <v>0.3</v>
          </cell>
          <cell r="BD62">
            <v>0.1</v>
          </cell>
          <cell r="BG62">
            <v>0.12</v>
          </cell>
          <cell r="BH62">
            <v>0.14000000000000001</v>
          </cell>
          <cell r="BI62">
            <v>0.16000000000000003</v>
          </cell>
          <cell r="BJ62">
            <v>0.14000000000000001</v>
          </cell>
          <cell r="BK62">
            <v>0.16</v>
          </cell>
          <cell r="BL62">
            <v>0.2</v>
          </cell>
          <cell r="BM62">
            <v>0.14000000000000001</v>
          </cell>
          <cell r="BN62">
            <v>0.16</v>
          </cell>
          <cell r="BO62">
            <v>0.2</v>
          </cell>
          <cell r="BP62">
            <v>0.14000000000000001</v>
          </cell>
          <cell r="BQ62">
            <v>0.16</v>
          </cell>
          <cell r="BR62">
            <v>0.2</v>
          </cell>
          <cell r="BS62">
            <v>0.14000000000000001</v>
          </cell>
          <cell r="BT62">
            <v>0.16</v>
          </cell>
          <cell r="BU62">
            <v>0.2</v>
          </cell>
          <cell r="BV62">
            <v>0.14000000000000001</v>
          </cell>
          <cell r="BW62">
            <v>0.16</v>
          </cell>
          <cell r="BX62">
            <v>0.2</v>
          </cell>
          <cell r="BY62">
            <v>0.14000000000000001</v>
          </cell>
          <cell r="BZ62">
            <v>0.16</v>
          </cell>
          <cell r="CA62">
            <v>0.2</v>
          </cell>
          <cell r="CB62">
            <v>0.14000000000000001</v>
          </cell>
          <cell r="CC62">
            <v>0.16</v>
          </cell>
          <cell r="CD62">
            <v>0.2</v>
          </cell>
          <cell r="CE62">
            <v>0.14000000000000001</v>
          </cell>
          <cell r="CF62">
            <v>0.16</v>
          </cell>
          <cell r="CG62">
            <v>0.2</v>
          </cell>
          <cell r="CH62">
            <v>0.14000000000000001</v>
          </cell>
          <cell r="CI62">
            <v>0.16</v>
          </cell>
          <cell r="CJ62">
            <v>0.2</v>
          </cell>
          <cell r="CK62">
            <v>0.14000000000000001</v>
          </cell>
          <cell r="CL62">
            <v>0.16</v>
          </cell>
          <cell r="CM62">
            <v>0.2</v>
          </cell>
          <cell r="CN62">
            <v>0.14000000000000001</v>
          </cell>
          <cell r="CO62">
            <v>0.16</v>
          </cell>
          <cell r="CP62">
            <v>0.2</v>
          </cell>
          <cell r="CQ62">
            <v>0.14000000000000001</v>
          </cell>
          <cell r="CR62">
            <v>0.16</v>
          </cell>
          <cell r="CS62">
            <v>0.2</v>
          </cell>
          <cell r="CV62">
            <v>0.06</v>
          </cell>
          <cell r="CW62">
            <v>0.05</v>
          </cell>
          <cell r="CX62">
            <v>3.5000000000000003E-2</v>
          </cell>
          <cell r="CY62">
            <v>0.06</v>
          </cell>
          <cell r="CZ62">
            <v>0.05</v>
          </cell>
          <cell r="DA62">
            <v>3.5000000000000003E-2</v>
          </cell>
          <cell r="DB62">
            <v>0.06</v>
          </cell>
          <cell r="DC62">
            <v>0.05</v>
          </cell>
          <cell r="DD62">
            <v>3.5000000000000003E-2</v>
          </cell>
          <cell r="DE62">
            <v>0.06</v>
          </cell>
          <cell r="DF62">
            <v>0.05</v>
          </cell>
          <cell r="DG62">
            <v>3.5000000000000003E-2</v>
          </cell>
          <cell r="DH62">
            <v>0.06</v>
          </cell>
          <cell r="DI62">
            <v>0.05</v>
          </cell>
          <cell r="DJ62">
            <v>3.5000000000000003E-2</v>
          </cell>
          <cell r="DK62">
            <v>0.06</v>
          </cell>
          <cell r="DL62">
            <v>0.05</v>
          </cell>
          <cell r="DM62">
            <v>3.5000000000000003E-2</v>
          </cell>
          <cell r="DN62">
            <v>0.06</v>
          </cell>
          <cell r="DO62">
            <v>0.05</v>
          </cell>
          <cell r="DP62">
            <v>3.5000000000000003E-2</v>
          </cell>
          <cell r="DQ62">
            <v>0.06</v>
          </cell>
          <cell r="DR62">
            <v>0.05</v>
          </cell>
          <cell r="DS62">
            <v>3.5000000000000003E-2</v>
          </cell>
          <cell r="DT62">
            <v>0.06</v>
          </cell>
          <cell r="DU62">
            <v>0.05</v>
          </cell>
          <cell r="DV62">
            <v>3.5000000000000003E-2</v>
          </cell>
          <cell r="DW62">
            <v>0.06</v>
          </cell>
          <cell r="DX62">
            <v>0.05</v>
          </cell>
          <cell r="DY62">
            <v>3.5000000000000003E-2</v>
          </cell>
          <cell r="DZ62">
            <v>0.06</v>
          </cell>
          <cell r="EA62">
            <v>0.05</v>
          </cell>
          <cell r="EB62">
            <v>3.5000000000000003E-2</v>
          </cell>
          <cell r="EC62">
            <v>0.06</v>
          </cell>
          <cell r="ED62">
            <v>0.05</v>
          </cell>
          <cell r="EE62">
            <v>3.5000000000000003E-2</v>
          </cell>
          <cell r="EG62">
            <v>8.4499999999999992E-2</v>
          </cell>
          <cell r="EH62">
            <v>0.10650000000000001</v>
          </cell>
          <cell r="EI62">
            <v>0.10650000000000001</v>
          </cell>
          <cell r="EJ62">
            <v>0.12875000000000003</v>
          </cell>
          <cell r="EK62">
            <v>0.11650000000000001</v>
          </cell>
          <cell r="EL62">
            <v>0.11650000000000001</v>
          </cell>
          <cell r="EM62">
            <v>0.11650000000000001</v>
          </cell>
          <cell r="EN62">
            <v>0.10650000000000001</v>
          </cell>
          <cell r="EO62">
            <v>0.10650000000000001</v>
          </cell>
          <cell r="EP62">
            <v>0.10650000000000001</v>
          </cell>
          <cell r="EQ62">
            <v>0.10650000000000001</v>
          </cell>
          <cell r="ER62">
            <v>0.10650000000000001</v>
          </cell>
          <cell r="ES62">
            <v>0.10650000000000001</v>
          </cell>
          <cell r="EU62">
            <v>0.13</v>
          </cell>
          <cell r="EV62">
            <v>0.15200000000000002</v>
          </cell>
          <cell r="EW62">
            <v>0.15200000000000002</v>
          </cell>
          <cell r="EX62">
            <v>0.18980000000000002</v>
          </cell>
          <cell r="EY62">
            <v>0.16900000000000001</v>
          </cell>
          <cell r="EZ62">
            <v>0.16900000000000001</v>
          </cell>
          <cell r="FA62">
            <v>0.16900000000000001</v>
          </cell>
          <cell r="FB62">
            <v>0.15200000000000002</v>
          </cell>
          <cell r="FC62">
            <v>0.15200000000000002</v>
          </cell>
          <cell r="FD62">
            <v>0.15200000000000002</v>
          </cell>
          <cell r="FE62">
            <v>0.15200000000000002</v>
          </cell>
          <cell r="FF62">
            <v>0.15200000000000002</v>
          </cell>
          <cell r="FG62">
            <v>0.15200000000000002</v>
          </cell>
        </row>
        <row r="63">
          <cell r="C63" t="str">
            <v>Boxer MCA Cabina L3 BlueHDi</v>
          </cell>
          <cell r="D63" t="str">
            <v>Boxer MCA Cabina L3 Diesel 140hp MT</v>
          </cell>
          <cell r="G63">
            <v>0.7</v>
          </cell>
          <cell r="H63">
            <v>0.7</v>
          </cell>
          <cell r="I63">
            <v>0.7</v>
          </cell>
          <cell r="J63">
            <v>0.7</v>
          </cell>
          <cell r="K63">
            <v>0.7</v>
          </cell>
          <cell r="L63">
            <v>0.7</v>
          </cell>
          <cell r="M63">
            <v>0.7</v>
          </cell>
          <cell r="N63">
            <v>0.7</v>
          </cell>
          <cell r="O63">
            <v>0.7</v>
          </cell>
          <cell r="P63">
            <v>0.7</v>
          </cell>
          <cell r="Q63">
            <v>0.7</v>
          </cell>
          <cell r="R63">
            <v>0.7</v>
          </cell>
          <cell r="U63">
            <v>0.6</v>
          </cell>
          <cell r="V63">
            <v>0.3</v>
          </cell>
          <cell r="W63">
            <v>0.1</v>
          </cell>
          <cell r="X63">
            <v>0.6</v>
          </cell>
          <cell r="Y63">
            <v>0.3</v>
          </cell>
          <cell r="Z63">
            <v>0.1</v>
          </cell>
          <cell r="AA63">
            <v>0.05</v>
          </cell>
          <cell r="AB63">
            <v>0.1</v>
          </cell>
          <cell r="AC63">
            <v>0.85</v>
          </cell>
          <cell r="AD63">
            <v>0.35</v>
          </cell>
          <cell r="AE63">
            <v>0.25</v>
          </cell>
          <cell r="AF63">
            <v>0.4</v>
          </cell>
          <cell r="AG63">
            <v>0.35</v>
          </cell>
          <cell r="AH63">
            <v>0.25</v>
          </cell>
          <cell r="AI63">
            <v>0.4</v>
          </cell>
          <cell r="AJ63">
            <v>0.35</v>
          </cell>
          <cell r="AK63">
            <v>0.25</v>
          </cell>
          <cell r="AL63">
            <v>0.4</v>
          </cell>
          <cell r="AM63">
            <v>0.6</v>
          </cell>
          <cell r="AN63">
            <v>0.3</v>
          </cell>
          <cell r="AO63">
            <v>0.1</v>
          </cell>
          <cell r="AP63">
            <v>0.6</v>
          </cell>
          <cell r="AQ63">
            <v>0.3</v>
          </cell>
          <cell r="AR63">
            <v>0.1</v>
          </cell>
          <cell r="AS63">
            <v>0.6</v>
          </cell>
          <cell r="AT63">
            <v>0.3</v>
          </cell>
          <cell r="AU63">
            <v>0.1</v>
          </cell>
          <cell r="AV63">
            <v>0.6</v>
          </cell>
          <cell r="AW63">
            <v>0.3</v>
          </cell>
          <cell r="AX63">
            <v>0.1</v>
          </cell>
          <cell r="AY63">
            <v>0.6</v>
          </cell>
          <cell r="AZ63">
            <v>0.3</v>
          </cell>
          <cell r="BA63">
            <v>0.1</v>
          </cell>
          <cell r="BB63">
            <v>0.6</v>
          </cell>
          <cell r="BC63">
            <v>0.3</v>
          </cell>
          <cell r="BD63">
            <v>0.1</v>
          </cell>
          <cell r="BG63">
            <v>0.18000000000000002</v>
          </cell>
          <cell r="BH63">
            <v>0.18000000000000002</v>
          </cell>
          <cell r="BI63">
            <v>0.2</v>
          </cell>
          <cell r="BJ63">
            <v>0.14000000000000001</v>
          </cell>
          <cell r="BK63">
            <v>0.16</v>
          </cell>
          <cell r="BL63">
            <v>0.2</v>
          </cell>
          <cell r="BM63">
            <v>0.14000000000000001</v>
          </cell>
          <cell r="BN63">
            <v>0.16</v>
          </cell>
          <cell r="BO63">
            <v>0.2</v>
          </cell>
          <cell r="BP63">
            <v>0.14000000000000001</v>
          </cell>
          <cell r="BQ63">
            <v>0.16</v>
          </cell>
          <cell r="BR63">
            <v>0.2</v>
          </cell>
          <cell r="BS63">
            <v>0.14000000000000001</v>
          </cell>
          <cell r="BT63">
            <v>0.16</v>
          </cell>
          <cell r="BU63">
            <v>0.2</v>
          </cell>
          <cell r="BV63">
            <v>0.14000000000000001</v>
          </cell>
          <cell r="BW63">
            <v>0.16</v>
          </cell>
          <cell r="BX63">
            <v>0.2</v>
          </cell>
          <cell r="BY63">
            <v>0.14000000000000001</v>
          </cell>
          <cell r="BZ63">
            <v>0.16</v>
          </cell>
          <cell r="CA63">
            <v>0.2</v>
          </cell>
          <cell r="CB63">
            <v>0.14000000000000001</v>
          </cell>
          <cell r="CC63">
            <v>0.16</v>
          </cell>
          <cell r="CD63">
            <v>0.2</v>
          </cell>
          <cell r="CE63">
            <v>0.14000000000000001</v>
          </cell>
          <cell r="CF63">
            <v>0.16</v>
          </cell>
          <cell r="CG63">
            <v>0.2</v>
          </cell>
          <cell r="CH63">
            <v>0.14000000000000001</v>
          </cell>
          <cell r="CI63">
            <v>0.16</v>
          </cell>
          <cell r="CJ63">
            <v>0.2</v>
          </cell>
          <cell r="CK63">
            <v>0.14000000000000001</v>
          </cell>
          <cell r="CL63">
            <v>0.16</v>
          </cell>
          <cell r="CM63">
            <v>0.2</v>
          </cell>
          <cell r="CN63">
            <v>0.14000000000000001</v>
          </cell>
          <cell r="CO63">
            <v>0.16</v>
          </cell>
          <cell r="CP63">
            <v>0.2</v>
          </cell>
          <cell r="CQ63">
            <v>0.14000000000000001</v>
          </cell>
          <cell r="CR63">
            <v>0.16</v>
          </cell>
          <cell r="CS63">
            <v>0.2</v>
          </cell>
          <cell r="CV63">
            <v>0.06</v>
          </cell>
          <cell r="CW63">
            <v>0.05</v>
          </cell>
          <cell r="CX63">
            <v>3.5000000000000003E-2</v>
          </cell>
          <cell r="CY63">
            <v>0.06</v>
          </cell>
          <cell r="CZ63">
            <v>0.05</v>
          </cell>
          <cell r="DA63">
            <v>3.5000000000000003E-2</v>
          </cell>
          <cell r="DB63">
            <v>0.06</v>
          </cell>
          <cell r="DC63">
            <v>0.05</v>
          </cell>
          <cell r="DD63">
            <v>3.5000000000000003E-2</v>
          </cell>
          <cell r="DE63">
            <v>0.06</v>
          </cell>
          <cell r="DF63">
            <v>0.05</v>
          </cell>
          <cell r="DG63">
            <v>3.5000000000000003E-2</v>
          </cell>
          <cell r="DH63">
            <v>0.06</v>
          </cell>
          <cell r="DI63">
            <v>0.05</v>
          </cell>
          <cell r="DJ63">
            <v>3.5000000000000003E-2</v>
          </cell>
          <cell r="DK63">
            <v>0.06</v>
          </cell>
          <cell r="DL63">
            <v>0.05</v>
          </cell>
          <cell r="DM63">
            <v>3.5000000000000003E-2</v>
          </cell>
          <cell r="DN63">
            <v>0.06</v>
          </cell>
          <cell r="DO63">
            <v>0.05</v>
          </cell>
          <cell r="DP63">
            <v>3.5000000000000003E-2</v>
          </cell>
          <cell r="DQ63">
            <v>0.06</v>
          </cell>
          <cell r="DR63">
            <v>0.05</v>
          </cell>
          <cell r="DS63">
            <v>3.5000000000000003E-2</v>
          </cell>
          <cell r="DT63">
            <v>0.06</v>
          </cell>
          <cell r="DU63">
            <v>0.05</v>
          </cell>
          <cell r="DV63">
            <v>3.5000000000000003E-2</v>
          </cell>
          <cell r="DW63">
            <v>0.06</v>
          </cell>
          <cell r="DX63">
            <v>0.05</v>
          </cell>
          <cell r="DY63">
            <v>3.5000000000000003E-2</v>
          </cell>
          <cell r="DZ63">
            <v>0.06</v>
          </cell>
          <cell r="EA63">
            <v>0.05</v>
          </cell>
          <cell r="EB63">
            <v>3.5000000000000003E-2</v>
          </cell>
          <cell r="EC63">
            <v>0.06</v>
          </cell>
          <cell r="ED63">
            <v>0.05</v>
          </cell>
          <cell r="EE63">
            <v>3.5000000000000003E-2</v>
          </cell>
          <cell r="EG63">
            <v>0.13650000000000004</v>
          </cell>
          <cell r="EH63">
            <v>0.10650000000000001</v>
          </cell>
          <cell r="EI63">
            <v>0.10650000000000001</v>
          </cell>
          <cell r="EJ63">
            <v>0.13075000000000001</v>
          </cell>
          <cell r="EK63">
            <v>0.11650000000000001</v>
          </cell>
          <cell r="EL63">
            <v>0.11650000000000001</v>
          </cell>
          <cell r="EM63">
            <v>0.11650000000000001</v>
          </cell>
          <cell r="EN63">
            <v>0.10650000000000001</v>
          </cell>
          <cell r="EO63">
            <v>0.10650000000000001</v>
          </cell>
          <cell r="EP63">
            <v>0.10650000000000001</v>
          </cell>
          <cell r="EQ63">
            <v>0.10650000000000001</v>
          </cell>
          <cell r="ER63">
            <v>0.10650000000000001</v>
          </cell>
          <cell r="ES63">
            <v>0.10650000000000001</v>
          </cell>
          <cell r="EU63">
            <v>0.18200000000000005</v>
          </cell>
          <cell r="EV63">
            <v>0.15200000000000002</v>
          </cell>
          <cell r="EW63">
            <v>0.15200000000000002</v>
          </cell>
          <cell r="EX63">
            <v>0.193</v>
          </cell>
          <cell r="EY63">
            <v>0.16900000000000001</v>
          </cell>
          <cell r="EZ63">
            <v>0.16900000000000001</v>
          </cell>
          <cell r="FA63">
            <v>0.16900000000000001</v>
          </cell>
          <cell r="FB63">
            <v>0.15200000000000002</v>
          </cell>
          <cell r="FC63">
            <v>0.15200000000000002</v>
          </cell>
          <cell r="FD63">
            <v>0.15200000000000002</v>
          </cell>
          <cell r="FE63">
            <v>0.15200000000000002</v>
          </cell>
          <cell r="FF63">
            <v>0.15200000000000002</v>
          </cell>
          <cell r="FG63">
            <v>0.15200000000000002</v>
          </cell>
        </row>
        <row r="64">
          <cell r="C64" t="str">
            <v>Boxer MCA Doble Cabina L4 BlueHDi</v>
          </cell>
          <cell r="D64" t="str">
            <v>Boxer MCA Doble Cabina L4 Diesel 140hp MT</v>
          </cell>
          <cell r="G64">
            <v>0.7</v>
          </cell>
          <cell r="H64">
            <v>0.7</v>
          </cell>
          <cell r="I64">
            <v>0.7</v>
          </cell>
          <cell r="J64">
            <v>0.7</v>
          </cell>
          <cell r="K64">
            <v>0.7</v>
          </cell>
          <cell r="L64">
            <v>0.7</v>
          </cell>
          <cell r="M64">
            <v>0.7</v>
          </cell>
          <cell r="N64">
            <v>0.7</v>
          </cell>
          <cell r="O64">
            <v>0.7</v>
          </cell>
          <cell r="P64">
            <v>0.7</v>
          </cell>
          <cell r="Q64">
            <v>0.7</v>
          </cell>
          <cell r="R64">
            <v>0.7</v>
          </cell>
          <cell r="U64">
            <v>0.6</v>
          </cell>
          <cell r="V64">
            <v>0.3</v>
          </cell>
          <cell r="W64">
            <v>0.1</v>
          </cell>
          <cell r="X64">
            <v>0.6</v>
          </cell>
          <cell r="Y64">
            <v>0.3</v>
          </cell>
          <cell r="Z64">
            <v>0.1</v>
          </cell>
          <cell r="AA64">
            <v>0.05</v>
          </cell>
          <cell r="AB64">
            <v>0.1</v>
          </cell>
          <cell r="AC64">
            <v>0.85</v>
          </cell>
          <cell r="AD64">
            <v>0.35</v>
          </cell>
          <cell r="AE64">
            <v>0.25</v>
          </cell>
          <cell r="AF64">
            <v>0.4</v>
          </cell>
          <cell r="AG64">
            <v>0.35</v>
          </cell>
          <cell r="AH64">
            <v>0.25</v>
          </cell>
          <cell r="AI64">
            <v>0.4</v>
          </cell>
          <cell r="AJ64">
            <v>0.35</v>
          </cell>
          <cell r="AK64">
            <v>0.25</v>
          </cell>
          <cell r="AL64">
            <v>0.4</v>
          </cell>
          <cell r="AM64">
            <v>0.6</v>
          </cell>
          <cell r="AN64">
            <v>0.3</v>
          </cell>
          <cell r="AO64">
            <v>0.1</v>
          </cell>
          <cell r="AP64">
            <v>0.6</v>
          </cell>
          <cell r="AQ64">
            <v>0.3</v>
          </cell>
          <cell r="AR64">
            <v>0.1</v>
          </cell>
          <cell r="AS64">
            <v>0.6</v>
          </cell>
          <cell r="AT64">
            <v>0.3</v>
          </cell>
          <cell r="AU64">
            <v>0.1</v>
          </cell>
          <cell r="AV64">
            <v>0.6</v>
          </cell>
          <cell r="AW64">
            <v>0.3</v>
          </cell>
          <cell r="AX64">
            <v>0.1</v>
          </cell>
          <cell r="AY64">
            <v>0.6</v>
          </cell>
          <cell r="AZ64">
            <v>0.3</v>
          </cell>
          <cell r="BA64">
            <v>0.1</v>
          </cell>
          <cell r="BB64">
            <v>0.6</v>
          </cell>
          <cell r="BC64">
            <v>0.3</v>
          </cell>
          <cell r="BD64">
            <v>0.1</v>
          </cell>
          <cell r="BG64">
            <v>0.08</v>
          </cell>
          <cell r="BH64">
            <v>0.1</v>
          </cell>
          <cell r="BI64">
            <v>0.12</v>
          </cell>
          <cell r="BJ64">
            <v>0.14000000000000001</v>
          </cell>
          <cell r="BK64">
            <v>0.16</v>
          </cell>
          <cell r="BL64">
            <v>0.2</v>
          </cell>
          <cell r="BM64">
            <v>0.14000000000000001</v>
          </cell>
          <cell r="BN64">
            <v>0.16</v>
          </cell>
          <cell r="BO64">
            <v>0.2</v>
          </cell>
          <cell r="BP64">
            <v>0.14000000000000001</v>
          </cell>
          <cell r="BQ64">
            <v>0.16</v>
          </cell>
          <cell r="BR64">
            <v>0.2</v>
          </cell>
          <cell r="BS64">
            <v>0.14000000000000001</v>
          </cell>
          <cell r="BT64">
            <v>0.16</v>
          </cell>
          <cell r="BU64">
            <v>0.2</v>
          </cell>
          <cell r="BV64">
            <v>0.14000000000000001</v>
          </cell>
          <cell r="BW64">
            <v>0.16</v>
          </cell>
          <cell r="BX64">
            <v>0.2</v>
          </cell>
          <cell r="BY64">
            <v>0.14000000000000001</v>
          </cell>
          <cell r="BZ64">
            <v>0.16</v>
          </cell>
          <cell r="CA64">
            <v>0.2</v>
          </cell>
          <cell r="CB64">
            <v>0.14000000000000001</v>
          </cell>
          <cell r="CC64">
            <v>0.16</v>
          </cell>
          <cell r="CD64">
            <v>0.2</v>
          </cell>
          <cell r="CE64">
            <v>0.14000000000000001</v>
          </cell>
          <cell r="CF64">
            <v>0.16</v>
          </cell>
          <cell r="CG64">
            <v>0.2</v>
          </cell>
          <cell r="CH64">
            <v>0.14000000000000001</v>
          </cell>
          <cell r="CI64">
            <v>0.16</v>
          </cell>
          <cell r="CJ64">
            <v>0.2</v>
          </cell>
          <cell r="CK64">
            <v>0.14000000000000001</v>
          </cell>
          <cell r="CL64">
            <v>0.16</v>
          </cell>
          <cell r="CM64">
            <v>0.2</v>
          </cell>
          <cell r="CN64">
            <v>0.14000000000000001</v>
          </cell>
          <cell r="CO64">
            <v>0.16</v>
          </cell>
          <cell r="CP64">
            <v>0.2</v>
          </cell>
          <cell r="CQ64">
            <v>0.14000000000000001</v>
          </cell>
          <cell r="CR64">
            <v>0.16</v>
          </cell>
          <cell r="CS64">
            <v>0.2</v>
          </cell>
          <cell r="CV64">
            <v>0.06</v>
          </cell>
          <cell r="CW64">
            <v>0.05</v>
          </cell>
          <cell r="CX64">
            <v>3.5000000000000003E-2</v>
          </cell>
          <cell r="CY64">
            <v>0.06</v>
          </cell>
          <cell r="CZ64">
            <v>0.05</v>
          </cell>
          <cell r="DA64">
            <v>3.5000000000000003E-2</v>
          </cell>
          <cell r="DB64">
            <v>0.06</v>
          </cell>
          <cell r="DC64">
            <v>0.05</v>
          </cell>
          <cell r="DD64">
            <v>3.5000000000000003E-2</v>
          </cell>
          <cell r="DE64">
            <v>0.06</v>
          </cell>
          <cell r="DF64">
            <v>0.05</v>
          </cell>
          <cell r="DG64">
            <v>3.5000000000000003E-2</v>
          </cell>
          <cell r="DH64">
            <v>0.06</v>
          </cell>
          <cell r="DI64">
            <v>0.05</v>
          </cell>
          <cell r="DJ64">
            <v>3.5000000000000003E-2</v>
          </cell>
          <cell r="DK64">
            <v>0.06</v>
          </cell>
          <cell r="DL64">
            <v>0.05</v>
          </cell>
          <cell r="DM64">
            <v>3.5000000000000003E-2</v>
          </cell>
          <cell r="DN64">
            <v>0.06</v>
          </cell>
          <cell r="DO64">
            <v>0.05</v>
          </cell>
          <cell r="DP64">
            <v>3.5000000000000003E-2</v>
          </cell>
          <cell r="DQ64">
            <v>0.06</v>
          </cell>
          <cell r="DR64">
            <v>0.05</v>
          </cell>
          <cell r="DS64">
            <v>3.5000000000000003E-2</v>
          </cell>
          <cell r="DT64">
            <v>0.06</v>
          </cell>
          <cell r="DU64">
            <v>0.05</v>
          </cell>
          <cell r="DV64">
            <v>3.5000000000000003E-2</v>
          </cell>
          <cell r="DW64">
            <v>0.06</v>
          </cell>
          <cell r="DX64">
            <v>0.05</v>
          </cell>
          <cell r="DY64">
            <v>3.5000000000000003E-2</v>
          </cell>
          <cell r="DZ64">
            <v>0.06</v>
          </cell>
          <cell r="EA64">
            <v>0.05</v>
          </cell>
          <cell r="EB64">
            <v>3.5000000000000003E-2</v>
          </cell>
          <cell r="EC64">
            <v>0.06</v>
          </cell>
          <cell r="ED64">
            <v>0.05</v>
          </cell>
          <cell r="EE64">
            <v>3.5000000000000003E-2</v>
          </cell>
          <cell r="EG64">
            <v>4.4499999999999991E-2</v>
          </cell>
          <cell r="EH64">
            <v>0.10650000000000001</v>
          </cell>
          <cell r="EI64">
            <v>0.10650000000000001</v>
          </cell>
          <cell r="EJ64">
            <v>0.13075000000000001</v>
          </cell>
          <cell r="EK64">
            <v>0.11650000000000001</v>
          </cell>
          <cell r="EL64">
            <v>0.11650000000000001</v>
          </cell>
          <cell r="EM64">
            <v>0.11650000000000001</v>
          </cell>
          <cell r="EN64">
            <v>0.10650000000000001</v>
          </cell>
          <cell r="EO64">
            <v>0.10650000000000001</v>
          </cell>
          <cell r="EP64">
            <v>0.10650000000000001</v>
          </cell>
          <cell r="EQ64">
            <v>0.10650000000000001</v>
          </cell>
          <cell r="ER64">
            <v>0.10650000000000001</v>
          </cell>
          <cell r="ES64">
            <v>0.10650000000000001</v>
          </cell>
          <cell r="EU64">
            <v>0.09</v>
          </cell>
          <cell r="EV64">
            <v>0.15200000000000002</v>
          </cell>
          <cell r="EW64">
            <v>0.15200000000000002</v>
          </cell>
          <cell r="EX64">
            <v>0.193</v>
          </cell>
          <cell r="EY64">
            <v>0.16900000000000001</v>
          </cell>
          <cell r="EZ64">
            <v>0.16900000000000001</v>
          </cell>
          <cell r="FA64">
            <v>0.16900000000000001</v>
          </cell>
          <cell r="FB64">
            <v>0.15200000000000002</v>
          </cell>
          <cell r="FC64">
            <v>0.15200000000000002</v>
          </cell>
          <cell r="FD64">
            <v>0.15200000000000002</v>
          </cell>
          <cell r="FE64">
            <v>0.15200000000000002</v>
          </cell>
          <cell r="FF64">
            <v>0.15200000000000002</v>
          </cell>
          <cell r="FG64">
            <v>0.15200000000000002</v>
          </cell>
        </row>
        <row r="65">
          <cell r="C65" t="str">
            <v>Landtrek Action4 BlueHDi 4x4 AT 6.3</v>
          </cell>
          <cell r="D65" t="str">
            <v>Landtrek MCA Action4 Diesel 180hp 4x4 AT</v>
          </cell>
          <cell r="G65">
            <v>0.7</v>
          </cell>
          <cell r="H65">
            <v>0.7</v>
          </cell>
          <cell r="I65">
            <v>0.7</v>
          </cell>
          <cell r="J65">
            <v>0.7</v>
          </cell>
          <cell r="K65">
            <v>0.7</v>
          </cell>
          <cell r="L65">
            <v>0.7</v>
          </cell>
          <cell r="M65">
            <v>0.7</v>
          </cell>
          <cell r="N65">
            <v>0.7</v>
          </cell>
          <cell r="O65">
            <v>0.7</v>
          </cell>
          <cell r="P65">
            <v>0.7</v>
          </cell>
          <cell r="Q65">
            <v>0.7</v>
          </cell>
          <cell r="R65">
            <v>0.7</v>
          </cell>
          <cell r="U65">
            <v>1</v>
          </cell>
          <cell r="V65">
            <v>0</v>
          </cell>
          <cell r="W65">
            <v>0</v>
          </cell>
          <cell r="X65">
            <v>1</v>
          </cell>
          <cell r="Y65">
            <v>0</v>
          </cell>
          <cell r="Z65">
            <v>0</v>
          </cell>
          <cell r="AA65">
            <v>0.24</v>
          </cell>
          <cell r="AB65">
            <v>0.24</v>
          </cell>
          <cell r="AC65">
            <v>0.52</v>
          </cell>
          <cell r="AD65">
            <v>0.35</v>
          </cell>
          <cell r="AE65">
            <v>0.25</v>
          </cell>
          <cell r="AF65">
            <v>0.4</v>
          </cell>
          <cell r="AG65">
            <v>0.35</v>
          </cell>
          <cell r="AH65">
            <v>0.25</v>
          </cell>
          <cell r="AI65">
            <v>0.4</v>
          </cell>
          <cell r="AJ65">
            <v>0.35</v>
          </cell>
          <cell r="AK65">
            <v>0.25</v>
          </cell>
          <cell r="AL65">
            <v>0.4</v>
          </cell>
          <cell r="AM65">
            <v>0.6</v>
          </cell>
          <cell r="AN65">
            <v>0.3</v>
          </cell>
          <cell r="AO65">
            <v>0.1</v>
          </cell>
          <cell r="AP65">
            <v>0.6</v>
          </cell>
          <cell r="AQ65">
            <v>0.3</v>
          </cell>
          <cell r="AR65">
            <v>0.1</v>
          </cell>
          <cell r="AS65">
            <v>0.6</v>
          </cell>
          <cell r="AT65">
            <v>0.3</v>
          </cell>
          <cell r="AU65">
            <v>0.1</v>
          </cell>
          <cell r="AV65">
            <v>0.6</v>
          </cell>
          <cell r="AW65">
            <v>0.3</v>
          </cell>
          <cell r="AX65">
            <v>0.1</v>
          </cell>
          <cell r="AY65">
            <v>0.6</v>
          </cell>
          <cell r="AZ65">
            <v>0.3</v>
          </cell>
          <cell r="BA65">
            <v>0.1</v>
          </cell>
          <cell r="BB65">
            <v>0.6</v>
          </cell>
          <cell r="BC65">
            <v>0.3</v>
          </cell>
          <cell r="BD65">
            <v>0.1</v>
          </cell>
          <cell r="BG65">
            <v>0.18</v>
          </cell>
          <cell r="BH65">
            <v>0.2</v>
          </cell>
          <cell r="BI65">
            <v>0.22</v>
          </cell>
          <cell r="BJ65">
            <v>0.18</v>
          </cell>
          <cell r="BK65">
            <v>0.2</v>
          </cell>
          <cell r="BL65">
            <v>0.22</v>
          </cell>
          <cell r="BM65">
            <v>0.18</v>
          </cell>
          <cell r="BN65">
            <v>0.2</v>
          </cell>
          <cell r="BO65">
            <v>0.22</v>
          </cell>
          <cell r="BP65">
            <v>0.21</v>
          </cell>
          <cell r="BQ65">
            <v>0.21</v>
          </cell>
          <cell r="BR65">
            <v>0.25</v>
          </cell>
          <cell r="BS65">
            <v>0.21</v>
          </cell>
          <cell r="BT65">
            <v>0.21</v>
          </cell>
          <cell r="BU65">
            <v>0.25</v>
          </cell>
          <cell r="BV65">
            <v>0.25</v>
          </cell>
          <cell r="BW65">
            <v>0.25</v>
          </cell>
          <cell r="BX65">
            <v>0.28999999999999998</v>
          </cell>
          <cell r="BY65">
            <v>0.25</v>
          </cell>
          <cell r="BZ65">
            <v>0.25</v>
          </cell>
          <cell r="CA65">
            <v>0.28999999999999998</v>
          </cell>
          <cell r="CB65">
            <v>0.25</v>
          </cell>
          <cell r="CC65">
            <v>0.25</v>
          </cell>
          <cell r="CD65">
            <v>0.28999999999999998</v>
          </cell>
          <cell r="CE65">
            <v>0.25</v>
          </cell>
          <cell r="CF65">
            <v>0.25</v>
          </cell>
          <cell r="CG65">
            <v>0.28999999999999998</v>
          </cell>
          <cell r="CH65">
            <v>0.25</v>
          </cell>
          <cell r="CI65">
            <v>0.25</v>
          </cell>
          <cell r="CJ65">
            <v>0.28999999999999998</v>
          </cell>
          <cell r="CK65">
            <v>0.25</v>
          </cell>
          <cell r="CL65">
            <v>0.25</v>
          </cell>
          <cell r="CM65">
            <v>0.28999999999999998</v>
          </cell>
          <cell r="CN65">
            <v>0.25</v>
          </cell>
          <cell r="CO65">
            <v>0.25</v>
          </cell>
          <cell r="CP65">
            <v>0.28999999999999998</v>
          </cell>
          <cell r="CQ65">
            <v>0.25</v>
          </cell>
          <cell r="CR65">
            <v>0.25</v>
          </cell>
          <cell r="CS65">
            <v>0.28999999999999998</v>
          </cell>
          <cell r="CV65">
            <v>4.4999999999999998E-2</v>
          </cell>
          <cell r="CW65">
            <v>4.4999999999999998E-2</v>
          </cell>
          <cell r="CX65">
            <v>0.03</v>
          </cell>
          <cell r="CY65">
            <v>4.4999999999999998E-2</v>
          </cell>
          <cell r="CZ65">
            <v>4.4999999999999998E-2</v>
          </cell>
          <cell r="DA65">
            <v>0.03</v>
          </cell>
          <cell r="DB65">
            <v>4.4999999999999998E-2</v>
          </cell>
          <cell r="DC65">
            <v>4.4999999999999998E-2</v>
          </cell>
          <cell r="DD65">
            <v>0.03</v>
          </cell>
          <cell r="DE65">
            <v>4.4999999999999998E-2</v>
          </cell>
          <cell r="DF65">
            <v>4.4999999999999998E-2</v>
          </cell>
          <cell r="DG65">
            <v>0.03</v>
          </cell>
          <cell r="DH65">
            <v>4.4999999999999998E-2</v>
          </cell>
          <cell r="DI65">
            <v>4.4999999999999998E-2</v>
          </cell>
          <cell r="DJ65">
            <v>0.03</v>
          </cell>
          <cell r="DK65">
            <v>4.4999999999999998E-2</v>
          </cell>
          <cell r="DL65">
            <v>4.4999999999999998E-2</v>
          </cell>
          <cell r="DM65">
            <v>0.03</v>
          </cell>
          <cell r="DN65">
            <v>4.4999999999999998E-2</v>
          </cell>
          <cell r="DO65">
            <v>4.4999999999999998E-2</v>
          </cell>
          <cell r="DP65">
            <v>0.03</v>
          </cell>
          <cell r="DQ65">
            <v>4.4999999999999998E-2</v>
          </cell>
          <cell r="DR65">
            <v>4.4999999999999998E-2</v>
          </cell>
          <cell r="DS65">
            <v>0.03</v>
          </cell>
          <cell r="DT65">
            <v>4.4999999999999998E-2</v>
          </cell>
          <cell r="DU65">
            <v>4.4999999999999998E-2</v>
          </cell>
          <cell r="DV65">
            <v>0.03</v>
          </cell>
          <cell r="DW65">
            <v>4.4999999999999998E-2</v>
          </cell>
          <cell r="DX65">
            <v>4.4999999999999998E-2</v>
          </cell>
          <cell r="DY65">
            <v>0.03</v>
          </cell>
          <cell r="DZ65">
            <v>4.4999999999999998E-2</v>
          </cell>
          <cell r="EA65">
            <v>4.4999999999999998E-2</v>
          </cell>
          <cell r="EB65">
            <v>0.03</v>
          </cell>
          <cell r="EC65">
            <v>4.4999999999999998E-2</v>
          </cell>
          <cell r="ED65">
            <v>4.4999999999999998E-2</v>
          </cell>
          <cell r="EE65">
            <v>0.03</v>
          </cell>
          <cell r="EG65">
            <v>0.12499999999999999</v>
          </cell>
          <cell r="EH65">
            <v>0.12499999999999999</v>
          </cell>
          <cell r="EI65">
            <v>0.12499999999999999</v>
          </cell>
          <cell r="EJ65">
            <v>0.16799999999999998</v>
          </cell>
          <cell r="EK65">
            <v>0.16500000000000001</v>
          </cell>
          <cell r="EL65">
            <v>0.20500000000000002</v>
          </cell>
          <cell r="EM65">
            <v>0.20500000000000002</v>
          </cell>
          <cell r="EN65">
            <v>0.19750000000000001</v>
          </cell>
          <cell r="EO65">
            <v>0.19750000000000001</v>
          </cell>
          <cell r="EP65">
            <v>0.19750000000000001</v>
          </cell>
          <cell r="EQ65">
            <v>0.19750000000000001</v>
          </cell>
          <cell r="ER65">
            <v>0.19750000000000001</v>
          </cell>
          <cell r="ES65">
            <v>0.19750000000000001</v>
          </cell>
          <cell r="EU65">
            <v>0.18</v>
          </cell>
          <cell r="EV65">
            <v>0.18</v>
          </cell>
          <cell r="EW65">
            <v>0.18</v>
          </cell>
          <cell r="EX65">
            <v>0.23080000000000001</v>
          </cell>
          <cell r="EY65">
            <v>0.22600000000000001</v>
          </cell>
          <cell r="EZ65">
            <v>0.26600000000000001</v>
          </cell>
          <cell r="FA65">
            <v>0.26600000000000001</v>
          </cell>
          <cell r="FB65">
            <v>0.254</v>
          </cell>
          <cell r="FC65">
            <v>0.254</v>
          </cell>
          <cell r="FD65">
            <v>0.254</v>
          </cell>
          <cell r="FE65">
            <v>0.254</v>
          </cell>
          <cell r="FF65">
            <v>0.254</v>
          </cell>
          <cell r="FG65">
            <v>0.254</v>
          </cell>
        </row>
        <row r="66">
          <cell r="C66" t="str">
            <v>Landtrek Action4 BlueHDi 4x4 MT 6.3</v>
          </cell>
          <cell r="D66" t="str">
            <v>Landtrek MCA Action4 Diesel 180hp 4x4 MT</v>
          </cell>
          <cell r="G66">
            <v>0.7</v>
          </cell>
          <cell r="H66">
            <v>0.7</v>
          </cell>
          <cell r="I66">
            <v>0.7</v>
          </cell>
          <cell r="J66">
            <v>0.7</v>
          </cell>
          <cell r="K66">
            <v>0.7</v>
          </cell>
          <cell r="L66">
            <v>0.7</v>
          </cell>
          <cell r="M66">
            <v>0.7</v>
          </cell>
          <cell r="N66">
            <v>0.7</v>
          </cell>
          <cell r="O66">
            <v>0.7</v>
          </cell>
          <cell r="P66">
            <v>0.7</v>
          </cell>
          <cell r="Q66">
            <v>0.7</v>
          </cell>
          <cell r="R66">
            <v>0.7</v>
          </cell>
          <cell r="U66">
            <v>0.6</v>
          </cell>
          <cell r="V66">
            <v>0.3</v>
          </cell>
          <cell r="W66">
            <v>0.1</v>
          </cell>
          <cell r="X66">
            <v>0.6</v>
          </cell>
          <cell r="Y66">
            <v>0.3</v>
          </cell>
          <cell r="Z66">
            <v>0.1</v>
          </cell>
          <cell r="AA66">
            <v>0.35</v>
          </cell>
          <cell r="AB66">
            <v>0.3</v>
          </cell>
          <cell r="AC66">
            <v>0.35</v>
          </cell>
          <cell r="AD66">
            <v>0.35</v>
          </cell>
          <cell r="AE66">
            <v>0.25</v>
          </cell>
          <cell r="AF66">
            <v>0.4</v>
          </cell>
          <cell r="AG66">
            <v>0.35</v>
          </cell>
          <cell r="AH66">
            <v>0.25</v>
          </cell>
          <cell r="AI66">
            <v>0.4</v>
          </cell>
          <cell r="AJ66">
            <v>0.35</v>
          </cell>
          <cell r="AK66">
            <v>0.25</v>
          </cell>
          <cell r="AL66">
            <v>0.4</v>
          </cell>
          <cell r="AM66">
            <v>0.6</v>
          </cell>
          <cell r="AN66">
            <v>0.3</v>
          </cell>
          <cell r="AO66">
            <v>0.1</v>
          </cell>
          <cell r="AP66">
            <v>0.6</v>
          </cell>
          <cell r="AQ66">
            <v>0.3</v>
          </cell>
          <cell r="AR66">
            <v>0.1</v>
          </cell>
          <cell r="AS66">
            <v>0.6</v>
          </cell>
          <cell r="AT66">
            <v>0.3</v>
          </cell>
          <cell r="AU66">
            <v>0.1</v>
          </cell>
          <cell r="AV66">
            <v>0.6</v>
          </cell>
          <cell r="AW66">
            <v>0.3</v>
          </cell>
          <cell r="AX66">
            <v>0.1</v>
          </cell>
          <cell r="AY66">
            <v>0.6</v>
          </cell>
          <cell r="AZ66">
            <v>0.3</v>
          </cell>
          <cell r="BA66">
            <v>0.1</v>
          </cell>
          <cell r="BB66">
            <v>0.6</v>
          </cell>
          <cell r="BC66">
            <v>0.3</v>
          </cell>
          <cell r="BD66">
            <v>0.1</v>
          </cell>
          <cell r="BG66">
            <v>0.18</v>
          </cell>
          <cell r="BH66">
            <v>0.2</v>
          </cell>
          <cell r="BI66">
            <v>0.22</v>
          </cell>
          <cell r="BJ66">
            <v>0.18</v>
          </cell>
          <cell r="BK66">
            <v>0.2</v>
          </cell>
          <cell r="BL66">
            <v>0.22</v>
          </cell>
          <cell r="BM66">
            <v>0.18</v>
          </cell>
          <cell r="BN66">
            <v>0.2</v>
          </cell>
          <cell r="BO66">
            <v>0.22</v>
          </cell>
          <cell r="BP66">
            <v>0.21</v>
          </cell>
          <cell r="BQ66">
            <v>0.21</v>
          </cell>
          <cell r="BR66">
            <v>0.25</v>
          </cell>
          <cell r="BS66">
            <v>0.21</v>
          </cell>
          <cell r="BT66">
            <v>0.21</v>
          </cell>
          <cell r="BU66">
            <v>0.25</v>
          </cell>
          <cell r="BV66">
            <v>0.25</v>
          </cell>
          <cell r="BW66">
            <v>0.25</v>
          </cell>
          <cell r="BX66">
            <v>0.28999999999999998</v>
          </cell>
          <cell r="BY66">
            <v>0.25</v>
          </cell>
          <cell r="BZ66">
            <v>0.25</v>
          </cell>
          <cell r="CA66">
            <v>0.28999999999999998</v>
          </cell>
          <cell r="CB66">
            <v>0.25</v>
          </cell>
          <cell r="CC66">
            <v>0.25</v>
          </cell>
          <cell r="CD66">
            <v>0.28999999999999998</v>
          </cell>
          <cell r="CE66">
            <v>0.25</v>
          </cell>
          <cell r="CF66">
            <v>0.25</v>
          </cell>
          <cell r="CG66">
            <v>0.28999999999999998</v>
          </cell>
          <cell r="CH66">
            <v>0.25</v>
          </cell>
          <cell r="CI66">
            <v>0.25</v>
          </cell>
          <cell r="CJ66">
            <v>0.28999999999999998</v>
          </cell>
          <cell r="CK66">
            <v>0.25</v>
          </cell>
          <cell r="CL66">
            <v>0.25</v>
          </cell>
          <cell r="CM66">
            <v>0.28999999999999998</v>
          </cell>
          <cell r="CN66">
            <v>0.25</v>
          </cell>
          <cell r="CO66">
            <v>0.25</v>
          </cell>
          <cell r="CP66">
            <v>0.28999999999999998</v>
          </cell>
          <cell r="CQ66">
            <v>0.25</v>
          </cell>
          <cell r="CR66">
            <v>0.25</v>
          </cell>
          <cell r="CS66">
            <v>0.28999999999999998</v>
          </cell>
          <cell r="CV66">
            <v>4.4999999999999998E-2</v>
          </cell>
          <cell r="CW66">
            <v>4.4999999999999998E-2</v>
          </cell>
          <cell r="CX66">
            <v>0.03</v>
          </cell>
          <cell r="CY66">
            <v>4.4999999999999998E-2</v>
          </cell>
          <cell r="CZ66">
            <v>4.4999999999999998E-2</v>
          </cell>
          <cell r="DA66">
            <v>0.03</v>
          </cell>
          <cell r="DB66">
            <v>4.4999999999999998E-2</v>
          </cell>
          <cell r="DC66">
            <v>4.4999999999999998E-2</v>
          </cell>
          <cell r="DD66">
            <v>0.03</v>
          </cell>
          <cell r="DE66">
            <v>4.4999999999999998E-2</v>
          </cell>
          <cell r="DF66">
            <v>4.4999999999999998E-2</v>
          </cell>
          <cell r="DG66">
            <v>0.03</v>
          </cell>
          <cell r="DH66">
            <v>4.4999999999999998E-2</v>
          </cell>
          <cell r="DI66">
            <v>4.4999999999999998E-2</v>
          </cell>
          <cell r="DJ66">
            <v>0.03</v>
          </cell>
          <cell r="DK66">
            <v>4.4999999999999998E-2</v>
          </cell>
          <cell r="DL66">
            <v>4.4999999999999998E-2</v>
          </cell>
          <cell r="DM66">
            <v>0.03</v>
          </cell>
          <cell r="DN66">
            <v>4.4999999999999998E-2</v>
          </cell>
          <cell r="DO66">
            <v>4.4999999999999998E-2</v>
          </cell>
          <cell r="DP66">
            <v>0.03</v>
          </cell>
          <cell r="DQ66">
            <v>4.4999999999999998E-2</v>
          </cell>
          <cell r="DR66">
            <v>4.4999999999999998E-2</v>
          </cell>
          <cell r="DS66">
            <v>0.03</v>
          </cell>
          <cell r="DT66">
            <v>4.4999999999999998E-2</v>
          </cell>
          <cell r="DU66">
            <v>4.4999999999999998E-2</v>
          </cell>
          <cell r="DV66">
            <v>0.03</v>
          </cell>
          <cell r="DW66">
            <v>4.4999999999999998E-2</v>
          </cell>
          <cell r="DX66">
            <v>4.4999999999999998E-2</v>
          </cell>
          <cell r="DY66">
            <v>0.03</v>
          </cell>
          <cell r="DZ66">
            <v>4.4999999999999998E-2</v>
          </cell>
          <cell r="EA66">
            <v>4.4999999999999998E-2</v>
          </cell>
          <cell r="EB66">
            <v>0.03</v>
          </cell>
          <cell r="EC66">
            <v>4.4999999999999998E-2</v>
          </cell>
          <cell r="ED66">
            <v>4.4999999999999998E-2</v>
          </cell>
          <cell r="EE66">
            <v>0.03</v>
          </cell>
          <cell r="EG66">
            <v>0.13349999999999998</v>
          </cell>
          <cell r="EH66">
            <v>0.13349999999999998</v>
          </cell>
          <cell r="EI66">
            <v>0.13349999999999998</v>
          </cell>
          <cell r="EJ66">
            <v>0.16375000000000001</v>
          </cell>
          <cell r="EK66">
            <v>0.16500000000000001</v>
          </cell>
          <cell r="EL66">
            <v>0.20500000000000002</v>
          </cell>
          <cell r="EM66">
            <v>0.20500000000000002</v>
          </cell>
          <cell r="EN66">
            <v>0.19750000000000001</v>
          </cell>
          <cell r="EO66">
            <v>0.19750000000000001</v>
          </cell>
          <cell r="EP66">
            <v>0.19750000000000001</v>
          </cell>
          <cell r="EQ66">
            <v>0.19750000000000001</v>
          </cell>
          <cell r="ER66">
            <v>0.19750000000000001</v>
          </cell>
          <cell r="ES66">
            <v>0.19750000000000001</v>
          </cell>
          <cell r="EU66">
            <v>0.18999999999999997</v>
          </cell>
          <cell r="EV66">
            <v>0.18999999999999997</v>
          </cell>
          <cell r="EW66">
            <v>0.18999999999999997</v>
          </cell>
          <cell r="EX66">
            <v>0.224</v>
          </cell>
          <cell r="EY66">
            <v>0.22600000000000001</v>
          </cell>
          <cell r="EZ66">
            <v>0.26600000000000001</v>
          </cell>
          <cell r="FA66">
            <v>0.26600000000000001</v>
          </cell>
          <cell r="FB66">
            <v>0.254</v>
          </cell>
          <cell r="FC66">
            <v>0.254</v>
          </cell>
          <cell r="FD66">
            <v>0.254</v>
          </cell>
          <cell r="FE66">
            <v>0.254</v>
          </cell>
          <cell r="FF66">
            <v>0.254</v>
          </cell>
          <cell r="FG66">
            <v>0.254</v>
          </cell>
        </row>
        <row r="67">
          <cell r="C67" t="str">
            <v>NEW CORSA MCA EDITION 1.2 MT6</v>
          </cell>
          <cell r="D67" t="str">
            <v>Corsa Edition Gasolina 100HP MT</v>
          </cell>
          <cell r="G67">
            <v>0.05</v>
          </cell>
          <cell r="H67">
            <v>0.05</v>
          </cell>
          <cell r="I67">
            <v>0.05</v>
          </cell>
          <cell r="J67">
            <v>0.05</v>
          </cell>
          <cell r="K67">
            <v>0.05</v>
          </cell>
          <cell r="L67">
            <v>0.05</v>
          </cell>
          <cell r="M67">
            <v>0.05</v>
          </cell>
          <cell r="N67">
            <v>0.05</v>
          </cell>
          <cell r="O67">
            <v>0.05</v>
          </cell>
          <cell r="P67">
            <v>0.05</v>
          </cell>
          <cell r="Q67">
            <v>0.05</v>
          </cell>
          <cell r="R67">
            <v>0.05</v>
          </cell>
          <cell r="U67">
            <v>0.5</v>
          </cell>
          <cell r="V67">
            <v>0</v>
          </cell>
          <cell r="W67">
            <v>0.5</v>
          </cell>
          <cell r="X67">
            <v>0.5</v>
          </cell>
          <cell r="Y67">
            <v>0</v>
          </cell>
          <cell r="Z67">
            <v>0.5</v>
          </cell>
          <cell r="AA67">
            <v>0.5</v>
          </cell>
          <cell r="AB67">
            <v>0</v>
          </cell>
          <cell r="AC67">
            <v>0.5</v>
          </cell>
          <cell r="AD67">
            <v>0.5</v>
          </cell>
          <cell r="AE67">
            <v>0</v>
          </cell>
          <cell r="AF67">
            <v>0.5</v>
          </cell>
          <cell r="AG67">
            <v>0.5</v>
          </cell>
          <cell r="AH67">
            <v>0</v>
          </cell>
          <cell r="AI67">
            <v>0.5</v>
          </cell>
          <cell r="AJ67">
            <v>0.5</v>
          </cell>
          <cell r="AK67">
            <v>0</v>
          </cell>
          <cell r="AL67">
            <v>0.5</v>
          </cell>
          <cell r="AM67">
            <v>0.5</v>
          </cell>
          <cell r="AN67">
            <v>0</v>
          </cell>
          <cell r="AO67">
            <v>0.5</v>
          </cell>
          <cell r="AP67">
            <v>0.5</v>
          </cell>
          <cell r="AQ67">
            <v>0</v>
          </cell>
          <cell r="AR67">
            <v>0.5</v>
          </cell>
          <cell r="AS67">
            <v>0.5</v>
          </cell>
          <cell r="AT67">
            <v>0</v>
          </cell>
          <cell r="AU67">
            <v>0.5</v>
          </cell>
          <cell r="AV67">
            <v>0.5</v>
          </cell>
          <cell r="AW67">
            <v>0</v>
          </cell>
          <cell r="AX67">
            <v>0.5</v>
          </cell>
          <cell r="AY67">
            <v>0.5</v>
          </cell>
          <cell r="AZ67">
            <v>0</v>
          </cell>
          <cell r="BA67">
            <v>0.5</v>
          </cell>
          <cell r="BB67">
            <v>0.5</v>
          </cell>
          <cell r="BC67">
            <v>0</v>
          </cell>
          <cell r="BD67">
            <v>0.5</v>
          </cell>
          <cell r="BG67">
            <v>6.0000000000000005E-2</v>
          </cell>
          <cell r="BH67">
            <v>7.9999999999999988E-2</v>
          </cell>
          <cell r="BI67">
            <v>9.9999999999999992E-2</v>
          </cell>
          <cell r="BJ67">
            <v>6.0000000000000005E-2</v>
          </cell>
          <cell r="BK67">
            <v>7.9999999999999988E-2</v>
          </cell>
          <cell r="BL67">
            <v>9.9999999999999992E-2</v>
          </cell>
          <cell r="BM67">
            <v>6.0000000000000005E-2</v>
          </cell>
          <cell r="BN67">
            <v>7.9999999999999988E-2</v>
          </cell>
          <cell r="BO67">
            <v>9.9999999999999992E-2</v>
          </cell>
          <cell r="BP67">
            <v>6.0000000000000005E-2</v>
          </cell>
          <cell r="BQ67">
            <v>7.9999999999999988E-2</v>
          </cell>
          <cell r="BR67">
            <v>9.9999999999999992E-2</v>
          </cell>
          <cell r="BS67">
            <v>6.0000000000000005E-2</v>
          </cell>
          <cell r="BT67">
            <v>7.9999999999999988E-2</v>
          </cell>
          <cell r="BU67">
            <v>9.9999999999999992E-2</v>
          </cell>
          <cell r="BV67">
            <v>6.0000000000000005E-2</v>
          </cell>
          <cell r="BW67">
            <v>7.9999999999999988E-2</v>
          </cell>
          <cell r="BX67">
            <v>9.9999999999999992E-2</v>
          </cell>
          <cell r="BY67">
            <v>6.0000000000000005E-2</v>
          </cell>
          <cell r="BZ67">
            <v>7.9999999999999988E-2</v>
          </cell>
          <cell r="CA67">
            <v>9.9999999999999992E-2</v>
          </cell>
          <cell r="CB67">
            <v>6.0000000000000005E-2</v>
          </cell>
          <cell r="CC67">
            <v>7.9999999999999988E-2</v>
          </cell>
          <cell r="CD67">
            <v>9.9999999999999992E-2</v>
          </cell>
          <cell r="CE67">
            <v>6.0000000000000005E-2</v>
          </cell>
          <cell r="CF67">
            <v>7.9999999999999988E-2</v>
          </cell>
          <cell r="CG67">
            <v>9.9999999999999992E-2</v>
          </cell>
          <cell r="CH67">
            <v>6.0000000000000005E-2</v>
          </cell>
          <cell r="CI67">
            <v>7.9999999999999988E-2</v>
          </cell>
          <cell r="CJ67">
            <v>9.9999999999999992E-2</v>
          </cell>
          <cell r="CK67">
            <v>6.0000000000000005E-2</v>
          </cell>
          <cell r="CL67">
            <v>7.9999999999999988E-2</v>
          </cell>
          <cell r="CM67">
            <v>9.9999999999999992E-2</v>
          </cell>
          <cell r="CN67">
            <v>6.0000000000000005E-2</v>
          </cell>
          <cell r="CO67">
            <v>7.9999999999999988E-2</v>
          </cell>
          <cell r="CP67">
            <v>9.9999999999999992E-2</v>
          </cell>
          <cell r="CQ67">
            <v>6.0000000000000005E-2</v>
          </cell>
          <cell r="CR67">
            <v>7.9999999999999988E-2</v>
          </cell>
          <cell r="CS67">
            <v>9.9999999999999992E-2</v>
          </cell>
          <cell r="CV67">
            <v>6.5000000000000002E-2</v>
          </cell>
          <cell r="CW67">
            <v>5.5E-2</v>
          </cell>
          <cell r="CX67">
            <v>0.04</v>
          </cell>
          <cell r="CY67">
            <v>6.5000000000000002E-2</v>
          </cell>
          <cell r="CZ67">
            <v>5.5E-2</v>
          </cell>
          <cell r="DA67">
            <v>0.04</v>
          </cell>
          <cell r="DB67">
            <v>6.5000000000000002E-2</v>
          </cell>
          <cell r="DC67">
            <v>5.5E-2</v>
          </cell>
          <cell r="DD67">
            <v>0.04</v>
          </cell>
          <cell r="DE67">
            <v>6.5000000000000002E-2</v>
          </cell>
          <cell r="DF67">
            <v>5.5E-2</v>
          </cell>
          <cell r="DG67">
            <v>0.04</v>
          </cell>
          <cell r="DH67">
            <v>6.5000000000000002E-2</v>
          </cell>
          <cell r="DI67">
            <v>5.5E-2</v>
          </cell>
          <cell r="DJ67">
            <v>0.04</v>
          </cell>
          <cell r="DK67">
            <v>6.5000000000000002E-2</v>
          </cell>
          <cell r="DL67">
            <v>5.5E-2</v>
          </cell>
          <cell r="DM67">
            <v>0.04</v>
          </cell>
          <cell r="DN67">
            <v>6.5000000000000002E-2</v>
          </cell>
          <cell r="DO67">
            <v>5.5E-2</v>
          </cell>
          <cell r="DP67">
            <v>0.04</v>
          </cell>
          <cell r="DQ67">
            <v>6.5000000000000002E-2</v>
          </cell>
          <cell r="DR67">
            <v>5.5E-2</v>
          </cell>
          <cell r="DS67">
            <v>0.04</v>
          </cell>
          <cell r="DT67">
            <v>6.5000000000000002E-2</v>
          </cell>
          <cell r="DU67">
            <v>5.5E-2</v>
          </cell>
          <cell r="DV67">
            <v>0.04</v>
          </cell>
          <cell r="DW67">
            <v>6.5000000000000002E-2</v>
          </cell>
          <cell r="DX67">
            <v>5.5E-2</v>
          </cell>
          <cell r="DY67">
            <v>0.04</v>
          </cell>
          <cell r="DZ67">
            <v>6.5000000000000002E-2</v>
          </cell>
          <cell r="EA67">
            <v>5.5E-2</v>
          </cell>
          <cell r="EB67">
            <v>0.04</v>
          </cell>
          <cell r="EC67">
            <v>6.5000000000000002E-2</v>
          </cell>
          <cell r="ED67">
            <v>5.5E-2</v>
          </cell>
          <cell r="EE67">
            <v>0.04</v>
          </cell>
          <cell r="EG67">
            <v>4.250000000000001E-2</v>
          </cell>
          <cell r="EH67">
            <v>4.250000000000001E-2</v>
          </cell>
          <cell r="EI67">
            <v>4.250000000000001E-2</v>
          </cell>
          <cell r="EJ67">
            <v>4.250000000000001E-2</v>
          </cell>
          <cell r="EK67">
            <v>4.250000000000001E-2</v>
          </cell>
          <cell r="EL67">
            <v>4.250000000000001E-2</v>
          </cell>
          <cell r="EM67">
            <v>4.250000000000001E-2</v>
          </cell>
          <cell r="EN67">
            <v>4.250000000000001E-2</v>
          </cell>
          <cell r="EO67">
            <v>4.250000000000001E-2</v>
          </cell>
          <cell r="EP67">
            <v>4.250000000000001E-2</v>
          </cell>
          <cell r="EQ67">
            <v>4.250000000000001E-2</v>
          </cell>
          <cell r="ER67">
            <v>4.250000000000001E-2</v>
          </cell>
          <cell r="ES67">
            <v>4.250000000000001E-2</v>
          </cell>
          <cell r="EU67">
            <v>0.08</v>
          </cell>
          <cell r="EV67">
            <v>0.08</v>
          </cell>
          <cell r="EW67">
            <v>0.08</v>
          </cell>
          <cell r="EX67">
            <v>0.08</v>
          </cell>
          <cell r="EY67">
            <v>0.08</v>
          </cell>
          <cell r="EZ67">
            <v>0.08</v>
          </cell>
          <cell r="FA67">
            <v>0.08</v>
          </cell>
          <cell r="FB67">
            <v>0.08</v>
          </cell>
          <cell r="FC67">
            <v>0.08</v>
          </cell>
          <cell r="FD67">
            <v>0.08</v>
          </cell>
          <cell r="FE67">
            <v>0.08</v>
          </cell>
          <cell r="FF67">
            <v>0.08</v>
          </cell>
          <cell r="FG67">
            <v>0.08</v>
          </cell>
        </row>
        <row r="68">
          <cell r="C68" t="str">
            <v>NEW CORSA MCA EDITION 1.2T AT8</v>
          </cell>
          <cell r="D68" t="str">
            <v>Corsa Edition Gasolina 100HP AT</v>
          </cell>
          <cell r="G68">
            <v>0.05</v>
          </cell>
          <cell r="H68">
            <v>0.05</v>
          </cell>
          <cell r="I68">
            <v>0.05</v>
          </cell>
          <cell r="J68">
            <v>0.05</v>
          </cell>
          <cell r="K68">
            <v>0.05</v>
          </cell>
          <cell r="L68">
            <v>0.05</v>
          </cell>
          <cell r="M68">
            <v>0.05</v>
          </cell>
          <cell r="N68">
            <v>0.05</v>
          </cell>
          <cell r="O68">
            <v>0.05</v>
          </cell>
          <cell r="P68">
            <v>0.05</v>
          </cell>
          <cell r="Q68">
            <v>0.05</v>
          </cell>
          <cell r="R68">
            <v>0.05</v>
          </cell>
          <cell r="U68">
            <v>0.5</v>
          </cell>
          <cell r="V68">
            <v>0</v>
          </cell>
          <cell r="W68">
            <v>0.5</v>
          </cell>
          <cell r="X68">
            <v>0.5</v>
          </cell>
          <cell r="Y68">
            <v>0</v>
          </cell>
          <cell r="Z68">
            <v>0.5</v>
          </cell>
          <cell r="AA68">
            <v>0.5</v>
          </cell>
          <cell r="AB68">
            <v>0</v>
          </cell>
          <cell r="AC68">
            <v>0.5</v>
          </cell>
          <cell r="AD68">
            <v>0.5</v>
          </cell>
          <cell r="AE68">
            <v>0</v>
          </cell>
          <cell r="AF68">
            <v>0.5</v>
          </cell>
          <cell r="AG68">
            <v>0.5</v>
          </cell>
          <cell r="AH68">
            <v>0</v>
          </cell>
          <cell r="AI68">
            <v>0.5</v>
          </cell>
          <cell r="AJ68">
            <v>0.5</v>
          </cell>
          <cell r="AK68">
            <v>0</v>
          </cell>
          <cell r="AL68">
            <v>0.5</v>
          </cell>
          <cell r="AM68">
            <v>0.5</v>
          </cell>
          <cell r="AN68">
            <v>0</v>
          </cell>
          <cell r="AO68">
            <v>0.5</v>
          </cell>
          <cell r="AP68">
            <v>0.5</v>
          </cell>
          <cell r="AQ68">
            <v>0</v>
          </cell>
          <cell r="AR68">
            <v>0.5</v>
          </cell>
          <cell r="AS68">
            <v>0.5</v>
          </cell>
          <cell r="AT68">
            <v>0</v>
          </cell>
          <cell r="AU68">
            <v>0.5</v>
          </cell>
          <cell r="AV68">
            <v>0.5</v>
          </cell>
          <cell r="AW68">
            <v>0</v>
          </cell>
          <cell r="AX68">
            <v>0.5</v>
          </cell>
          <cell r="AY68">
            <v>0.5</v>
          </cell>
          <cell r="AZ68">
            <v>0</v>
          </cell>
          <cell r="BA68">
            <v>0.5</v>
          </cell>
          <cell r="BB68">
            <v>0.5</v>
          </cell>
          <cell r="BC68">
            <v>0</v>
          </cell>
          <cell r="BD68">
            <v>0.5</v>
          </cell>
          <cell r="BG68">
            <v>6.0000000000000005E-2</v>
          </cell>
          <cell r="BH68">
            <v>7.9999999999999988E-2</v>
          </cell>
          <cell r="BI68">
            <v>9.9999999999999992E-2</v>
          </cell>
          <cell r="BJ68">
            <v>6.0000000000000005E-2</v>
          </cell>
          <cell r="BK68">
            <v>7.9999999999999988E-2</v>
          </cell>
          <cell r="BL68">
            <v>9.9999999999999992E-2</v>
          </cell>
          <cell r="BM68">
            <v>6.0000000000000005E-2</v>
          </cell>
          <cell r="BN68">
            <v>7.9999999999999988E-2</v>
          </cell>
          <cell r="BO68">
            <v>9.9999999999999992E-2</v>
          </cell>
          <cell r="BP68">
            <v>6.0000000000000005E-2</v>
          </cell>
          <cell r="BQ68">
            <v>7.9999999999999988E-2</v>
          </cell>
          <cell r="BR68">
            <v>9.9999999999999992E-2</v>
          </cell>
          <cell r="BS68">
            <v>6.0000000000000005E-2</v>
          </cell>
          <cell r="BT68">
            <v>7.9999999999999988E-2</v>
          </cell>
          <cell r="BU68">
            <v>9.9999999999999992E-2</v>
          </cell>
          <cell r="BV68">
            <v>6.0000000000000005E-2</v>
          </cell>
          <cell r="BW68">
            <v>7.9999999999999988E-2</v>
          </cell>
          <cell r="BX68">
            <v>9.9999999999999992E-2</v>
          </cell>
          <cell r="BY68">
            <v>6.0000000000000005E-2</v>
          </cell>
          <cell r="BZ68">
            <v>7.9999999999999988E-2</v>
          </cell>
          <cell r="CA68">
            <v>9.9999999999999992E-2</v>
          </cell>
          <cell r="CB68">
            <v>6.0000000000000005E-2</v>
          </cell>
          <cell r="CC68">
            <v>7.9999999999999988E-2</v>
          </cell>
          <cell r="CD68">
            <v>9.9999999999999992E-2</v>
          </cell>
          <cell r="CE68">
            <v>6.0000000000000005E-2</v>
          </cell>
          <cell r="CF68">
            <v>7.9999999999999988E-2</v>
          </cell>
          <cell r="CG68">
            <v>9.9999999999999992E-2</v>
          </cell>
          <cell r="CH68">
            <v>6.0000000000000005E-2</v>
          </cell>
          <cell r="CI68">
            <v>7.9999999999999988E-2</v>
          </cell>
          <cell r="CJ68">
            <v>9.9999999999999992E-2</v>
          </cell>
          <cell r="CK68">
            <v>6.0000000000000005E-2</v>
          </cell>
          <cell r="CL68">
            <v>7.9999999999999988E-2</v>
          </cell>
          <cell r="CM68">
            <v>9.9999999999999992E-2</v>
          </cell>
          <cell r="CN68">
            <v>6.0000000000000005E-2</v>
          </cell>
          <cell r="CO68">
            <v>7.9999999999999988E-2</v>
          </cell>
          <cell r="CP68">
            <v>9.9999999999999992E-2</v>
          </cell>
          <cell r="CQ68">
            <v>6.0000000000000005E-2</v>
          </cell>
          <cell r="CR68">
            <v>7.9999999999999988E-2</v>
          </cell>
          <cell r="CS68">
            <v>9.9999999999999992E-2</v>
          </cell>
          <cell r="CV68">
            <v>6.5000000000000002E-2</v>
          </cell>
          <cell r="CW68">
            <v>5.5E-2</v>
          </cell>
          <cell r="CX68">
            <v>0.04</v>
          </cell>
          <cell r="CY68">
            <v>6.5000000000000002E-2</v>
          </cell>
          <cell r="CZ68">
            <v>5.5E-2</v>
          </cell>
          <cell r="DA68">
            <v>0.04</v>
          </cell>
          <cell r="DB68">
            <v>6.5000000000000002E-2</v>
          </cell>
          <cell r="DC68">
            <v>5.5E-2</v>
          </cell>
          <cell r="DD68">
            <v>0.04</v>
          </cell>
          <cell r="DE68">
            <v>6.5000000000000002E-2</v>
          </cell>
          <cell r="DF68">
            <v>5.5E-2</v>
          </cell>
          <cell r="DG68">
            <v>0.04</v>
          </cell>
          <cell r="DH68">
            <v>6.5000000000000002E-2</v>
          </cell>
          <cell r="DI68">
            <v>5.5E-2</v>
          </cell>
          <cell r="DJ68">
            <v>0.04</v>
          </cell>
          <cell r="DK68">
            <v>6.5000000000000002E-2</v>
          </cell>
          <cell r="DL68">
            <v>5.5E-2</v>
          </cell>
          <cell r="DM68">
            <v>0.04</v>
          </cell>
          <cell r="DN68">
            <v>6.5000000000000002E-2</v>
          </cell>
          <cell r="DO68">
            <v>5.5E-2</v>
          </cell>
          <cell r="DP68">
            <v>0.04</v>
          </cell>
          <cell r="DQ68">
            <v>6.5000000000000002E-2</v>
          </cell>
          <cell r="DR68">
            <v>5.5E-2</v>
          </cell>
          <cell r="DS68">
            <v>0.04</v>
          </cell>
          <cell r="DT68">
            <v>6.5000000000000002E-2</v>
          </cell>
          <cell r="DU68">
            <v>5.5E-2</v>
          </cell>
          <cell r="DV68">
            <v>0.04</v>
          </cell>
          <cell r="DW68">
            <v>6.5000000000000002E-2</v>
          </cell>
          <cell r="DX68">
            <v>5.5E-2</v>
          </cell>
          <cell r="DY68">
            <v>0.04</v>
          </cell>
          <cell r="DZ68">
            <v>6.5000000000000002E-2</v>
          </cell>
          <cell r="EA68">
            <v>5.5E-2</v>
          </cell>
          <cell r="EB68">
            <v>0.04</v>
          </cell>
          <cell r="EC68">
            <v>6.5000000000000002E-2</v>
          </cell>
          <cell r="ED68">
            <v>5.5E-2</v>
          </cell>
          <cell r="EE68">
            <v>0.04</v>
          </cell>
          <cell r="EG68">
            <v>4.250000000000001E-2</v>
          </cell>
          <cell r="EH68">
            <v>4.250000000000001E-2</v>
          </cell>
          <cell r="EI68">
            <v>4.250000000000001E-2</v>
          </cell>
          <cell r="EJ68">
            <v>4.250000000000001E-2</v>
          </cell>
          <cell r="EK68">
            <v>4.250000000000001E-2</v>
          </cell>
          <cell r="EL68">
            <v>4.250000000000001E-2</v>
          </cell>
          <cell r="EM68">
            <v>4.250000000000001E-2</v>
          </cell>
          <cell r="EN68">
            <v>4.250000000000001E-2</v>
          </cell>
          <cell r="EO68">
            <v>4.250000000000001E-2</v>
          </cell>
          <cell r="EP68">
            <v>4.250000000000001E-2</v>
          </cell>
          <cell r="EQ68">
            <v>4.250000000000001E-2</v>
          </cell>
          <cell r="ER68">
            <v>4.250000000000001E-2</v>
          </cell>
          <cell r="ES68">
            <v>4.250000000000001E-2</v>
          </cell>
          <cell r="EU68">
            <v>0.08</v>
          </cell>
          <cell r="EV68">
            <v>0.08</v>
          </cell>
          <cell r="EW68">
            <v>0.08</v>
          </cell>
          <cell r="EX68">
            <v>0.08</v>
          </cell>
          <cell r="EY68">
            <v>0.08</v>
          </cell>
          <cell r="EZ68">
            <v>0.08</v>
          </cell>
          <cell r="FA68">
            <v>0.08</v>
          </cell>
          <cell r="FB68">
            <v>0.08</v>
          </cell>
          <cell r="FC68">
            <v>0.08</v>
          </cell>
          <cell r="FD68">
            <v>0.08</v>
          </cell>
          <cell r="FE68">
            <v>0.08</v>
          </cell>
          <cell r="FF68">
            <v>0.08</v>
          </cell>
          <cell r="FG68">
            <v>0.08</v>
          </cell>
        </row>
        <row r="69">
          <cell r="C69" t="str">
            <v>NEW CORSA MCA GS 1.2T AT8</v>
          </cell>
          <cell r="D69" t="str">
            <v>Corsa GS Gasolina 100HP AT</v>
          </cell>
          <cell r="G69">
            <v>0.05</v>
          </cell>
          <cell r="H69">
            <v>0.05</v>
          </cell>
          <cell r="I69">
            <v>0.05</v>
          </cell>
          <cell r="J69">
            <v>0.05</v>
          </cell>
          <cell r="K69">
            <v>0.05</v>
          </cell>
          <cell r="L69">
            <v>0.05</v>
          </cell>
          <cell r="M69">
            <v>0.05</v>
          </cell>
          <cell r="N69">
            <v>0.05</v>
          </cell>
          <cell r="O69">
            <v>0.05</v>
          </cell>
          <cell r="P69">
            <v>0.05</v>
          </cell>
          <cell r="Q69">
            <v>0.05</v>
          </cell>
          <cell r="R69">
            <v>0.05</v>
          </cell>
          <cell r="U69">
            <v>0.5</v>
          </cell>
          <cell r="V69">
            <v>0</v>
          </cell>
          <cell r="W69">
            <v>0.5</v>
          </cell>
          <cell r="X69">
            <v>0.5</v>
          </cell>
          <cell r="Y69">
            <v>0</v>
          </cell>
          <cell r="Z69">
            <v>0.5</v>
          </cell>
          <cell r="AA69">
            <v>0.5</v>
          </cell>
          <cell r="AB69">
            <v>0</v>
          </cell>
          <cell r="AC69">
            <v>0.5</v>
          </cell>
          <cell r="AD69">
            <v>0.5</v>
          </cell>
          <cell r="AE69">
            <v>0</v>
          </cell>
          <cell r="AF69">
            <v>0.5</v>
          </cell>
          <cell r="AG69">
            <v>0.5</v>
          </cell>
          <cell r="AH69">
            <v>0</v>
          </cell>
          <cell r="AI69">
            <v>0.5</v>
          </cell>
          <cell r="AJ69">
            <v>0.5</v>
          </cell>
          <cell r="AK69">
            <v>0</v>
          </cell>
          <cell r="AL69">
            <v>0.5</v>
          </cell>
          <cell r="AM69">
            <v>0.5</v>
          </cell>
          <cell r="AN69">
            <v>0</v>
          </cell>
          <cell r="AO69">
            <v>0.5</v>
          </cell>
          <cell r="AP69">
            <v>0.5</v>
          </cell>
          <cell r="AQ69">
            <v>0</v>
          </cell>
          <cell r="AR69">
            <v>0.5</v>
          </cell>
          <cell r="AS69">
            <v>0.5</v>
          </cell>
          <cell r="AT69">
            <v>0</v>
          </cell>
          <cell r="AU69">
            <v>0.5</v>
          </cell>
          <cell r="AV69">
            <v>0.5</v>
          </cell>
          <cell r="AW69">
            <v>0</v>
          </cell>
          <cell r="AX69">
            <v>0.5</v>
          </cell>
          <cell r="AY69">
            <v>0.5</v>
          </cell>
          <cell r="AZ69">
            <v>0</v>
          </cell>
          <cell r="BA69">
            <v>0.5</v>
          </cell>
          <cell r="BB69">
            <v>0.5</v>
          </cell>
          <cell r="BC69">
            <v>0</v>
          </cell>
          <cell r="BD69">
            <v>0.5</v>
          </cell>
          <cell r="BG69">
            <v>6.0000000000000005E-2</v>
          </cell>
          <cell r="BH69">
            <v>7.9999999999999988E-2</v>
          </cell>
          <cell r="BI69">
            <v>9.9999999999999992E-2</v>
          </cell>
          <cell r="BJ69">
            <v>6.0000000000000005E-2</v>
          </cell>
          <cell r="BK69">
            <v>7.9999999999999988E-2</v>
          </cell>
          <cell r="BL69">
            <v>9.9999999999999992E-2</v>
          </cell>
          <cell r="BM69">
            <v>6.0000000000000005E-2</v>
          </cell>
          <cell r="BN69">
            <v>7.9999999999999988E-2</v>
          </cell>
          <cell r="BO69">
            <v>9.9999999999999992E-2</v>
          </cell>
          <cell r="BP69">
            <v>6.0000000000000005E-2</v>
          </cell>
          <cell r="BQ69">
            <v>7.9999999999999988E-2</v>
          </cell>
          <cell r="BR69">
            <v>9.9999999999999992E-2</v>
          </cell>
          <cell r="BS69">
            <v>6.0000000000000005E-2</v>
          </cell>
          <cell r="BT69">
            <v>7.9999999999999988E-2</v>
          </cell>
          <cell r="BU69">
            <v>9.9999999999999992E-2</v>
          </cell>
          <cell r="BV69">
            <v>6.0000000000000005E-2</v>
          </cell>
          <cell r="BW69">
            <v>7.9999999999999988E-2</v>
          </cell>
          <cell r="BX69">
            <v>9.9999999999999992E-2</v>
          </cell>
          <cell r="BY69">
            <v>6.0000000000000005E-2</v>
          </cell>
          <cell r="BZ69">
            <v>7.9999999999999988E-2</v>
          </cell>
          <cell r="CA69">
            <v>9.9999999999999992E-2</v>
          </cell>
          <cell r="CB69">
            <v>6.0000000000000005E-2</v>
          </cell>
          <cell r="CC69">
            <v>7.9999999999999988E-2</v>
          </cell>
          <cell r="CD69">
            <v>9.9999999999999992E-2</v>
          </cell>
          <cell r="CE69">
            <v>6.0000000000000005E-2</v>
          </cell>
          <cell r="CF69">
            <v>7.9999999999999988E-2</v>
          </cell>
          <cell r="CG69">
            <v>9.9999999999999992E-2</v>
          </cell>
          <cell r="CH69">
            <v>6.0000000000000005E-2</v>
          </cell>
          <cell r="CI69">
            <v>7.9999999999999988E-2</v>
          </cell>
          <cell r="CJ69">
            <v>9.9999999999999992E-2</v>
          </cell>
          <cell r="CK69">
            <v>6.0000000000000005E-2</v>
          </cell>
          <cell r="CL69">
            <v>7.9999999999999988E-2</v>
          </cell>
          <cell r="CM69">
            <v>9.9999999999999992E-2</v>
          </cell>
          <cell r="CN69">
            <v>6.0000000000000005E-2</v>
          </cell>
          <cell r="CO69">
            <v>7.9999999999999988E-2</v>
          </cell>
          <cell r="CP69">
            <v>9.9999999999999992E-2</v>
          </cell>
          <cell r="CQ69">
            <v>6.0000000000000005E-2</v>
          </cell>
          <cell r="CR69">
            <v>7.9999999999999988E-2</v>
          </cell>
          <cell r="CS69">
            <v>9.9999999999999992E-2</v>
          </cell>
          <cell r="CV69">
            <v>6.5000000000000002E-2</v>
          </cell>
          <cell r="CW69">
            <v>5.5E-2</v>
          </cell>
          <cell r="CX69">
            <v>0.04</v>
          </cell>
          <cell r="CY69">
            <v>6.5000000000000002E-2</v>
          </cell>
          <cell r="CZ69">
            <v>5.5E-2</v>
          </cell>
          <cell r="DA69">
            <v>0.04</v>
          </cell>
          <cell r="DB69">
            <v>6.5000000000000002E-2</v>
          </cell>
          <cell r="DC69">
            <v>5.5E-2</v>
          </cell>
          <cell r="DD69">
            <v>0.04</v>
          </cell>
          <cell r="DE69">
            <v>6.5000000000000002E-2</v>
          </cell>
          <cell r="DF69">
            <v>5.5E-2</v>
          </cell>
          <cell r="DG69">
            <v>0.04</v>
          </cell>
          <cell r="DH69">
            <v>6.5000000000000002E-2</v>
          </cell>
          <cell r="DI69">
            <v>5.5E-2</v>
          </cell>
          <cell r="DJ69">
            <v>0.04</v>
          </cell>
          <cell r="DK69">
            <v>6.5000000000000002E-2</v>
          </cell>
          <cell r="DL69">
            <v>5.5E-2</v>
          </cell>
          <cell r="DM69">
            <v>0.04</v>
          </cell>
          <cell r="DN69">
            <v>6.5000000000000002E-2</v>
          </cell>
          <cell r="DO69">
            <v>5.5E-2</v>
          </cell>
          <cell r="DP69">
            <v>0.04</v>
          </cell>
          <cell r="DQ69">
            <v>6.5000000000000002E-2</v>
          </cell>
          <cell r="DR69">
            <v>5.5E-2</v>
          </cell>
          <cell r="DS69">
            <v>0.04</v>
          </cell>
          <cell r="DT69">
            <v>6.5000000000000002E-2</v>
          </cell>
          <cell r="DU69">
            <v>5.5E-2</v>
          </cell>
          <cell r="DV69">
            <v>0.04</v>
          </cell>
          <cell r="DW69">
            <v>6.5000000000000002E-2</v>
          </cell>
          <cell r="DX69">
            <v>5.5E-2</v>
          </cell>
          <cell r="DY69">
            <v>0.04</v>
          </cell>
          <cell r="DZ69">
            <v>6.5000000000000002E-2</v>
          </cell>
          <cell r="EA69">
            <v>5.5E-2</v>
          </cell>
          <cell r="EB69">
            <v>0.04</v>
          </cell>
          <cell r="EC69">
            <v>6.5000000000000002E-2</v>
          </cell>
          <cell r="ED69">
            <v>5.5E-2</v>
          </cell>
          <cell r="EE69">
            <v>0.04</v>
          </cell>
          <cell r="EG69">
            <v>4.250000000000001E-2</v>
          </cell>
          <cell r="EH69">
            <v>4.250000000000001E-2</v>
          </cell>
          <cell r="EI69">
            <v>4.250000000000001E-2</v>
          </cell>
          <cell r="EJ69">
            <v>4.250000000000001E-2</v>
          </cell>
          <cell r="EK69">
            <v>4.250000000000001E-2</v>
          </cell>
          <cell r="EL69">
            <v>4.250000000000001E-2</v>
          </cell>
          <cell r="EM69">
            <v>4.250000000000001E-2</v>
          </cell>
          <cell r="EN69">
            <v>4.250000000000001E-2</v>
          </cell>
          <cell r="EO69">
            <v>4.250000000000001E-2</v>
          </cell>
          <cell r="EP69">
            <v>4.250000000000001E-2</v>
          </cell>
          <cell r="EQ69">
            <v>4.250000000000001E-2</v>
          </cell>
          <cell r="ER69">
            <v>4.250000000000001E-2</v>
          </cell>
          <cell r="ES69">
            <v>4.250000000000001E-2</v>
          </cell>
          <cell r="EU69">
            <v>0.08</v>
          </cell>
          <cell r="EV69">
            <v>0.08</v>
          </cell>
          <cell r="EW69">
            <v>0.08</v>
          </cell>
          <cell r="EX69">
            <v>0.08</v>
          </cell>
          <cell r="EY69">
            <v>0.08</v>
          </cell>
          <cell r="EZ69">
            <v>0.08</v>
          </cell>
          <cell r="FA69">
            <v>0.08</v>
          </cell>
          <cell r="FB69">
            <v>0.08</v>
          </cell>
          <cell r="FC69">
            <v>0.08</v>
          </cell>
          <cell r="FD69">
            <v>0.08</v>
          </cell>
          <cell r="FE69">
            <v>0.08</v>
          </cell>
          <cell r="FF69">
            <v>0.08</v>
          </cell>
          <cell r="FG69">
            <v>0.08</v>
          </cell>
        </row>
        <row r="70">
          <cell r="C70" t="str">
            <v>NEW CORSA MCA EDITION DIESEL MT</v>
          </cell>
          <cell r="D70" t="str">
            <v>NEW CORSA MCA EDITION DIESEL MT</v>
          </cell>
          <cell r="G70">
            <v>0.05</v>
          </cell>
          <cell r="H70">
            <v>0.05</v>
          </cell>
          <cell r="I70">
            <v>0.05</v>
          </cell>
          <cell r="J70">
            <v>0.05</v>
          </cell>
          <cell r="K70">
            <v>0.05</v>
          </cell>
          <cell r="L70">
            <v>0.05</v>
          </cell>
          <cell r="M70">
            <v>0.05</v>
          </cell>
          <cell r="N70">
            <v>0.05</v>
          </cell>
          <cell r="O70">
            <v>0.05</v>
          </cell>
          <cell r="P70">
            <v>0.05</v>
          </cell>
          <cell r="Q70">
            <v>0.05</v>
          </cell>
          <cell r="R70">
            <v>0.05</v>
          </cell>
          <cell r="U70">
            <v>0.5</v>
          </cell>
          <cell r="V70">
            <v>0</v>
          </cell>
          <cell r="W70">
            <v>0.5</v>
          </cell>
          <cell r="X70">
            <v>0.5</v>
          </cell>
          <cell r="Y70">
            <v>0</v>
          </cell>
          <cell r="Z70">
            <v>0.5</v>
          </cell>
          <cell r="AA70">
            <v>0.5</v>
          </cell>
          <cell r="AB70">
            <v>0</v>
          </cell>
          <cell r="AC70">
            <v>0.5</v>
          </cell>
          <cell r="AD70">
            <v>0.5</v>
          </cell>
          <cell r="AE70">
            <v>0</v>
          </cell>
          <cell r="AF70">
            <v>0.5</v>
          </cell>
          <cell r="AG70">
            <v>0.5</v>
          </cell>
          <cell r="AH70">
            <v>0</v>
          </cell>
          <cell r="AI70">
            <v>0.5</v>
          </cell>
          <cell r="AJ70">
            <v>0.5</v>
          </cell>
          <cell r="AK70">
            <v>0</v>
          </cell>
          <cell r="AL70">
            <v>0.5</v>
          </cell>
          <cell r="AM70">
            <v>0.5</v>
          </cell>
          <cell r="AN70">
            <v>0</v>
          </cell>
          <cell r="AO70">
            <v>0.5</v>
          </cell>
          <cell r="AP70">
            <v>0.5</v>
          </cell>
          <cell r="AQ70">
            <v>0</v>
          </cell>
          <cell r="AR70">
            <v>0.5</v>
          </cell>
          <cell r="AS70">
            <v>0.5</v>
          </cell>
          <cell r="AT70">
            <v>0</v>
          </cell>
          <cell r="AU70">
            <v>0.5</v>
          </cell>
          <cell r="AV70">
            <v>0.5</v>
          </cell>
          <cell r="AW70">
            <v>0</v>
          </cell>
          <cell r="AX70">
            <v>0.5</v>
          </cell>
          <cell r="AY70">
            <v>0.5</v>
          </cell>
          <cell r="AZ70">
            <v>0</v>
          </cell>
          <cell r="BA70">
            <v>0.5</v>
          </cell>
          <cell r="BB70">
            <v>0.5</v>
          </cell>
          <cell r="BC70">
            <v>0</v>
          </cell>
          <cell r="BD70">
            <v>0.5</v>
          </cell>
          <cell r="BG70">
            <v>6.0000000000000005E-2</v>
          </cell>
          <cell r="BH70">
            <v>7.9999999999999988E-2</v>
          </cell>
          <cell r="BI70">
            <v>9.9999999999999992E-2</v>
          </cell>
          <cell r="BJ70">
            <v>6.0000000000000005E-2</v>
          </cell>
          <cell r="BK70">
            <v>7.9999999999999988E-2</v>
          </cell>
          <cell r="BL70">
            <v>9.9999999999999992E-2</v>
          </cell>
          <cell r="BM70">
            <v>6.0000000000000005E-2</v>
          </cell>
          <cell r="BN70">
            <v>7.9999999999999988E-2</v>
          </cell>
          <cell r="BO70">
            <v>9.9999999999999992E-2</v>
          </cell>
          <cell r="BP70">
            <v>6.0000000000000005E-2</v>
          </cell>
          <cell r="BQ70">
            <v>7.9999999999999988E-2</v>
          </cell>
          <cell r="BR70">
            <v>9.9999999999999992E-2</v>
          </cell>
          <cell r="BS70">
            <v>6.0000000000000005E-2</v>
          </cell>
          <cell r="BT70">
            <v>7.9999999999999988E-2</v>
          </cell>
          <cell r="BU70">
            <v>9.9999999999999992E-2</v>
          </cell>
          <cell r="BV70">
            <v>6.0000000000000005E-2</v>
          </cell>
          <cell r="BW70">
            <v>7.9999999999999988E-2</v>
          </cell>
          <cell r="BX70">
            <v>9.9999999999999992E-2</v>
          </cell>
          <cell r="BY70">
            <v>6.0000000000000005E-2</v>
          </cell>
          <cell r="BZ70">
            <v>7.9999999999999988E-2</v>
          </cell>
          <cell r="CA70">
            <v>9.9999999999999992E-2</v>
          </cell>
          <cell r="CB70">
            <v>6.0000000000000005E-2</v>
          </cell>
          <cell r="CC70">
            <v>7.9999999999999988E-2</v>
          </cell>
          <cell r="CD70">
            <v>9.9999999999999992E-2</v>
          </cell>
          <cell r="CE70">
            <v>6.0000000000000005E-2</v>
          </cell>
          <cell r="CF70">
            <v>7.9999999999999988E-2</v>
          </cell>
          <cell r="CG70">
            <v>9.9999999999999992E-2</v>
          </cell>
          <cell r="CH70">
            <v>6.0000000000000005E-2</v>
          </cell>
          <cell r="CI70">
            <v>7.9999999999999988E-2</v>
          </cell>
          <cell r="CJ70">
            <v>9.9999999999999992E-2</v>
          </cell>
          <cell r="CK70">
            <v>6.0000000000000005E-2</v>
          </cell>
          <cell r="CL70">
            <v>7.9999999999999988E-2</v>
          </cell>
          <cell r="CM70">
            <v>9.9999999999999992E-2</v>
          </cell>
          <cell r="CN70">
            <v>6.0000000000000005E-2</v>
          </cell>
          <cell r="CO70">
            <v>7.9999999999999988E-2</v>
          </cell>
          <cell r="CP70">
            <v>9.9999999999999992E-2</v>
          </cell>
          <cell r="CQ70">
            <v>6.0000000000000005E-2</v>
          </cell>
          <cell r="CR70">
            <v>7.9999999999999988E-2</v>
          </cell>
          <cell r="CS70">
            <v>9.9999999999999992E-2</v>
          </cell>
          <cell r="CV70">
            <v>6.5000000000000002E-2</v>
          </cell>
          <cell r="CW70">
            <v>5.5E-2</v>
          </cell>
          <cell r="CX70">
            <v>0.04</v>
          </cell>
          <cell r="CY70">
            <v>6.5000000000000002E-2</v>
          </cell>
          <cell r="CZ70">
            <v>5.5E-2</v>
          </cell>
          <cell r="DA70">
            <v>0.04</v>
          </cell>
          <cell r="DB70">
            <v>6.5000000000000002E-2</v>
          </cell>
          <cell r="DC70">
            <v>5.5E-2</v>
          </cell>
          <cell r="DD70">
            <v>0.04</v>
          </cell>
          <cell r="DE70">
            <v>6.5000000000000002E-2</v>
          </cell>
          <cell r="DF70">
            <v>5.5E-2</v>
          </cell>
          <cell r="DG70">
            <v>0.04</v>
          </cell>
          <cell r="DH70">
            <v>6.5000000000000002E-2</v>
          </cell>
          <cell r="DI70">
            <v>5.5E-2</v>
          </cell>
          <cell r="DJ70">
            <v>0.04</v>
          </cell>
          <cell r="DK70">
            <v>6.5000000000000002E-2</v>
          </cell>
          <cell r="DL70">
            <v>5.5E-2</v>
          </cell>
          <cell r="DM70">
            <v>0.04</v>
          </cell>
          <cell r="DN70">
            <v>6.5000000000000002E-2</v>
          </cell>
          <cell r="DO70">
            <v>5.5E-2</v>
          </cell>
          <cell r="DP70">
            <v>0.04</v>
          </cell>
          <cell r="DQ70">
            <v>6.5000000000000002E-2</v>
          </cell>
          <cell r="DR70">
            <v>5.5E-2</v>
          </cell>
          <cell r="DS70">
            <v>0.04</v>
          </cell>
          <cell r="DT70">
            <v>6.5000000000000002E-2</v>
          </cell>
          <cell r="DU70">
            <v>5.5E-2</v>
          </cell>
          <cell r="DV70">
            <v>0.04</v>
          </cell>
          <cell r="DW70">
            <v>6.5000000000000002E-2</v>
          </cell>
          <cell r="DX70">
            <v>5.5E-2</v>
          </cell>
          <cell r="DY70">
            <v>0.04</v>
          </cell>
          <cell r="DZ70">
            <v>6.5000000000000002E-2</v>
          </cell>
          <cell r="EA70">
            <v>5.5E-2</v>
          </cell>
          <cell r="EB70">
            <v>0.04</v>
          </cell>
          <cell r="EC70">
            <v>6.5000000000000002E-2</v>
          </cell>
          <cell r="ED70">
            <v>5.5E-2</v>
          </cell>
          <cell r="EE70">
            <v>0.04</v>
          </cell>
          <cell r="EG70">
            <v>4.250000000000001E-2</v>
          </cell>
          <cell r="EH70">
            <v>4.250000000000001E-2</v>
          </cell>
          <cell r="EI70">
            <v>4.250000000000001E-2</v>
          </cell>
          <cell r="EJ70">
            <v>4.250000000000001E-2</v>
          </cell>
          <cell r="EK70">
            <v>4.250000000000001E-2</v>
          </cell>
          <cell r="EL70">
            <v>4.250000000000001E-2</v>
          </cell>
          <cell r="EM70">
            <v>4.250000000000001E-2</v>
          </cell>
          <cell r="EN70">
            <v>4.250000000000001E-2</v>
          </cell>
          <cell r="EO70">
            <v>4.250000000000001E-2</v>
          </cell>
          <cell r="EP70">
            <v>4.250000000000001E-2</v>
          </cell>
          <cell r="EQ70">
            <v>4.250000000000001E-2</v>
          </cell>
          <cell r="ER70">
            <v>4.250000000000001E-2</v>
          </cell>
          <cell r="ES70">
            <v>4.250000000000001E-2</v>
          </cell>
          <cell r="EU70">
            <v>0.08</v>
          </cell>
          <cell r="EV70">
            <v>0.08</v>
          </cell>
          <cell r="EW70">
            <v>0.08</v>
          </cell>
          <cell r="EX70">
            <v>0.08</v>
          </cell>
          <cell r="EY70">
            <v>0.08</v>
          </cell>
          <cell r="EZ70">
            <v>0.08</v>
          </cell>
          <cell r="FA70">
            <v>0.08</v>
          </cell>
          <cell r="FB70">
            <v>0.08</v>
          </cell>
          <cell r="FC70">
            <v>0.08</v>
          </cell>
          <cell r="FD70">
            <v>0.08</v>
          </cell>
          <cell r="FE70">
            <v>0.08</v>
          </cell>
          <cell r="FF70">
            <v>0.08</v>
          </cell>
          <cell r="FG70">
            <v>0.08</v>
          </cell>
        </row>
        <row r="71">
          <cell r="C71" t="str">
            <v>CORSA MCA EDITION HYBRID</v>
          </cell>
          <cell r="D71" t="str">
            <v>Corsa MCA Edition Hybrid 136hp AT</v>
          </cell>
          <cell r="G71">
            <v>0.05</v>
          </cell>
          <cell r="H71">
            <v>0.05</v>
          </cell>
          <cell r="I71">
            <v>0.05</v>
          </cell>
          <cell r="J71">
            <v>0.05</v>
          </cell>
          <cell r="K71">
            <v>0.05</v>
          </cell>
          <cell r="L71">
            <v>0.05</v>
          </cell>
          <cell r="M71">
            <v>0.05</v>
          </cell>
          <cell r="N71">
            <v>0.05</v>
          </cell>
          <cell r="O71">
            <v>0.05</v>
          </cell>
          <cell r="P71">
            <v>0.05</v>
          </cell>
          <cell r="Q71">
            <v>0.05</v>
          </cell>
          <cell r="R71">
            <v>0.05</v>
          </cell>
          <cell r="U71">
            <v>0.5</v>
          </cell>
          <cell r="V71">
            <v>0</v>
          </cell>
          <cell r="W71">
            <v>0.5</v>
          </cell>
          <cell r="X71">
            <v>0.5</v>
          </cell>
          <cell r="Y71">
            <v>0</v>
          </cell>
          <cell r="Z71">
            <v>0.5</v>
          </cell>
          <cell r="AA71">
            <v>0.5</v>
          </cell>
          <cell r="AB71">
            <v>0</v>
          </cell>
          <cell r="AC71">
            <v>0.5</v>
          </cell>
          <cell r="AD71">
            <v>0.5</v>
          </cell>
          <cell r="AE71">
            <v>0</v>
          </cell>
          <cell r="AF71">
            <v>0.5</v>
          </cell>
          <cell r="AG71">
            <v>0.5</v>
          </cell>
          <cell r="AH71">
            <v>0</v>
          </cell>
          <cell r="AI71">
            <v>0.5</v>
          </cell>
          <cell r="AJ71">
            <v>0.5</v>
          </cell>
          <cell r="AK71">
            <v>0</v>
          </cell>
          <cell r="AL71">
            <v>0.5</v>
          </cell>
          <cell r="AM71">
            <v>0.5</v>
          </cell>
          <cell r="AN71">
            <v>0</v>
          </cell>
          <cell r="AO71">
            <v>0.5</v>
          </cell>
          <cell r="AP71">
            <v>0.5</v>
          </cell>
          <cell r="AQ71">
            <v>0</v>
          </cell>
          <cell r="AR71">
            <v>0.5</v>
          </cell>
          <cell r="AS71">
            <v>0.5</v>
          </cell>
          <cell r="AT71">
            <v>0</v>
          </cell>
          <cell r="AU71">
            <v>0.5</v>
          </cell>
          <cell r="AV71">
            <v>0.5</v>
          </cell>
          <cell r="AW71">
            <v>0</v>
          </cell>
          <cell r="AX71">
            <v>0.5</v>
          </cell>
          <cell r="AY71">
            <v>0.5</v>
          </cell>
          <cell r="AZ71">
            <v>0</v>
          </cell>
          <cell r="BA71">
            <v>0.5</v>
          </cell>
          <cell r="BB71">
            <v>0.5</v>
          </cell>
          <cell r="BC71">
            <v>0</v>
          </cell>
          <cell r="BD71">
            <v>0.5</v>
          </cell>
          <cell r="BG71">
            <v>0</v>
          </cell>
          <cell r="BH71">
            <v>0</v>
          </cell>
          <cell r="BI71">
            <v>0</v>
          </cell>
          <cell r="BJ71">
            <v>6.0000000000000005E-2</v>
          </cell>
          <cell r="BK71">
            <v>7.9999999999999988E-2</v>
          </cell>
          <cell r="BL71">
            <v>9.9999999999999992E-2</v>
          </cell>
          <cell r="BM71">
            <v>6.0000000000000005E-2</v>
          </cell>
          <cell r="BN71">
            <v>7.9999999999999988E-2</v>
          </cell>
          <cell r="BO71">
            <v>9.9999999999999992E-2</v>
          </cell>
          <cell r="BP71">
            <v>6.0000000000000005E-2</v>
          </cell>
          <cell r="BQ71">
            <v>7.9999999999999988E-2</v>
          </cell>
          <cell r="BR71">
            <v>9.9999999999999992E-2</v>
          </cell>
          <cell r="BS71">
            <v>6.0000000000000005E-2</v>
          </cell>
          <cell r="BT71">
            <v>7.9999999999999988E-2</v>
          </cell>
          <cell r="BU71">
            <v>9.9999999999999992E-2</v>
          </cell>
          <cell r="BV71">
            <v>6.0000000000000005E-2</v>
          </cell>
          <cell r="BW71">
            <v>7.9999999999999988E-2</v>
          </cell>
          <cell r="BX71">
            <v>9.9999999999999992E-2</v>
          </cell>
          <cell r="BY71">
            <v>6.0000000000000005E-2</v>
          </cell>
          <cell r="BZ71">
            <v>7.9999999999999988E-2</v>
          </cell>
          <cell r="CA71">
            <v>9.9999999999999992E-2</v>
          </cell>
          <cell r="CB71">
            <v>6.0000000000000005E-2</v>
          </cell>
          <cell r="CC71">
            <v>7.9999999999999988E-2</v>
          </cell>
          <cell r="CD71">
            <v>9.9999999999999992E-2</v>
          </cell>
          <cell r="CE71">
            <v>6.0000000000000005E-2</v>
          </cell>
          <cell r="CF71">
            <v>7.9999999999999988E-2</v>
          </cell>
          <cell r="CG71">
            <v>9.9999999999999992E-2</v>
          </cell>
          <cell r="CH71">
            <v>6.0000000000000005E-2</v>
          </cell>
          <cell r="CI71">
            <v>7.9999999999999988E-2</v>
          </cell>
          <cell r="CJ71">
            <v>9.9999999999999992E-2</v>
          </cell>
          <cell r="CK71">
            <v>6.0000000000000005E-2</v>
          </cell>
          <cell r="CL71">
            <v>7.9999999999999988E-2</v>
          </cell>
          <cell r="CM71">
            <v>9.9999999999999992E-2</v>
          </cell>
          <cell r="CN71">
            <v>6.0000000000000005E-2</v>
          </cell>
          <cell r="CO71">
            <v>7.9999999999999988E-2</v>
          </cell>
          <cell r="CP71">
            <v>9.9999999999999992E-2</v>
          </cell>
          <cell r="CQ71">
            <v>6.0000000000000005E-2</v>
          </cell>
          <cell r="CR71">
            <v>7.9999999999999988E-2</v>
          </cell>
          <cell r="CS71">
            <v>9.9999999999999992E-2</v>
          </cell>
          <cell r="CV71">
            <v>5.5E-2</v>
          </cell>
          <cell r="CW71">
            <v>4.4999999999999998E-2</v>
          </cell>
          <cell r="CX71">
            <v>0.03</v>
          </cell>
          <cell r="CY71">
            <v>5.5E-2</v>
          </cell>
          <cell r="CZ71">
            <v>4.4999999999999998E-2</v>
          </cell>
          <cell r="DA71">
            <v>0.03</v>
          </cell>
          <cell r="DB71">
            <v>5.5E-2</v>
          </cell>
          <cell r="DC71">
            <v>4.4999999999999998E-2</v>
          </cell>
          <cell r="DD71">
            <v>0.03</v>
          </cell>
          <cell r="DE71">
            <v>5.5E-2</v>
          </cell>
          <cell r="DF71">
            <v>4.4999999999999998E-2</v>
          </cell>
          <cell r="DG71">
            <v>0.03</v>
          </cell>
          <cell r="DH71">
            <v>5.5E-2</v>
          </cell>
          <cell r="DI71">
            <v>4.4999999999999998E-2</v>
          </cell>
          <cell r="DJ71">
            <v>0.03</v>
          </cell>
          <cell r="DK71">
            <v>5.5E-2</v>
          </cell>
          <cell r="DL71">
            <v>4.4999999999999998E-2</v>
          </cell>
          <cell r="DM71">
            <v>0.03</v>
          </cell>
          <cell r="DN71">
            <v>5.5E-2</v>
          </cell>
          <cell r="DO71">
            <v>4.4999999999999998E-2</v>
          </cell>
          <cell r="DP71">
            <v>0.03</v>
          </cell>
          <cell r="DQ71">
            <v>5.5E-2</v>
          </cell>
          <cell r="DR71">
            <v>4.4999999999999998E-2</v>
          </cell>
          <cell r="DS71">
            <v>0.03</v>
          </cell>
          <cell r="DT71">
            <v>5.5E-2</v>
          </cell>
          <cell r="DU71">
            <v>4.4999999999999998E-2</v>
          </cell>
          <cell r="DV71">
            <v>0.03</v>
          </cell>
          <cell r="DW71">
            <v>5.5E-2</v>
          </cell>
          <cell r="DX71">
            <v>4.4999999999999998E-2</v>
          </cell>
          <cell r="DY71">
            <v>0.03</v>
          </cell>
          <cell r="DZ71">
            <v>5.5E-2</v>
          </cell>
          <cell r="EA71">
            <v>4.4999999999999998E-2</v>
          </cell>
          <cell r="EB71">
            <v>0.03</v>
          </cell>
          <cell r="EC71">
            <v>5.5E-2</v>
          </cell>
          <cell r="ED71">
            <v>4.4999999999999998E-2</v>
          </cell>
          <cell r="EE71">
            <v>0.03</v>
          </cell>
          <cell r="EG71">
            <v>-4.7500000000000001E-2</v>
          </cell>
          <cell r="EH71">
            <v>3.2500000000000001E-2</v>
          </cell>
          <cell r="EI71">
            <v>3.2500000000000001E-2</v>
          </cell>
          <cell r="EJ71">
            <v>3.2500000000000001E-2</v>
          </cell>
          <cell r="EK71">
            <v>3.2500000000000001E-2</v>
          </cell>
          <cell r="EL71">
            <v>3.2500000000000001E-2</v>
          </cell>
          <cell r="EM71">
            <v>3.2500000000000001E-2</v>
          </cell>
          <cell r="EN71">
            <v>3.2500000000000001E-2</v>
          </cell>
          <cell r="EO71">
            <v>3.2500000000000001E-2</v>
          </cell>
          <cell r="EP71">
            <v>3.2500000000000001E-2</v>
          </cell>
          <cell r="EQ71">
            <v>3.2500000000000001E-2</v>
          </cell>
          <cell r="ER71">
            <v>3.2500000000000001E-2</v>
          </cell>
          <cell r="ES71">
            <v>3.2500000000000001E-2</v>
          </cell>
          <cell r="EU71">
            <v>0</v>
          </cell>
          <cell r="EV71">
            <v>0.08</v>
          </cell>
          <cell r="EW71">
            <v>0.08</v>
          </cell>
          <cell r="EX71">
            <v>0.08</v>
          </cell>
          <cell r="EY71">
            <v>0.08</v>
          </cell>
          <cell r="EZ71">
            <v>0.08</v>
          </cell>
          <cell r="FA71">
            <v>0.08</v>
          </cell>
          <cell r="FB71">
            <v>0.08</v>
          </cell>
          <cell r="FC71">
            <v>0.08</v>
          </cell>
          <cell r="FD71">
            <v>0.08</v>
          </cell>
          <cell r="FE71">
            <v>0.08</v>
          </cell>
          <cell r="FF71">
            <v>0.08</v>
          </cell>
          <cell r="FG71">
            <v>0.08</v>
          </cell>
        </row>
        <row r="72">
          <cell r="C72" t="str">
            <v>CORSA MCA GS HYBRID</v>
          </cell>
          <cell r="D72" t="str">
            <v>Corsa MCA GS Hybrid 136hp AT</v>
          </cell>
          <cell r="G72">
            <v>0.05</v>
          </cell>
          <cell r="H72">
            <v>0.05</v>
          </cell>
          <cell r="I72">
            <v>0.05</v>
          </cell>
          <cell r="J72">
            <v>0.05</v>
          </cell>
          <cell r="K72">
            <v>0.05</v>
          </cell>
          <cell r="L72">
            <v>0.05</v>
          </cell>
          <cell r="M72">
            <v>0.05</v>
          </cell>
          <cell r="N72">
            <v>0.05</v>
          </cell>
          <cell r="O72">
            <v>0.05</v>
          </cell>
          <cell r="P72">
            <v>0.05</v>
          </cell>
          <cell r="Q72">
            <v>0.05</v>
          </cell>
          <cell r="R72">
            <v>0.05</v>
          </cell>
          <cell r="U72">
            <v>0.5</v>
          </cell>
          <cell r="V72">
            <v>0</v>
          </cell>
          <cell r="W72">
            <v>0.5</v>
          </cell>
          <cell r="X72">
            <v>0.5</v>
          </cell>
          <cell r="Y72">
            <v>0</v>
          </cell>
          <cell r="Z72">
            <v>0.5</v>
          </cell>
          <cell r="AA72">
            <v>0.5</v>
          </cell>
          <cell r="AB72">
            <v>0</v>
          </cell>
          <cell r="AC72">
            <v>0.5</v>
          </cell>
          <cell r="AD72">
            <v>0.5</v>
          </cell>
          <cell r="AE72">
            <v>0</v>
          </cell>
          <cell r="AF72">
            <v>0.5</v>
          </cell>
          <cell r="AG72">
            <v>0.5</v>
          </cell>
          <cell r="AH72">
            <v>0</v>
          </cell>
          <cell r="AI72">
            <v>0.5</v>
          </cell>
          <cell r="AJ72">
            <v>0.5</v>
          </cell>
          <cell r="AK72">
            <v>0</v>
          </cell>
          <cell r="AL72">
            <v>0.5</v>
          </cell>
          <cell r="AM72">
            <v>0.5</v>
          </cell>
          <cell r="AN72">
            <v>0</v>
          </cell>
          <cell r="AO72">
            <v>0.5</v>
          </cell>
          <cell r="AP72">
            <v>0.5</v>
          </cell>
          <cell r="AQ72">
            <v>0</v>
          </cell>
          <cell r="AR72">
            <v>0.5</v>
          </cell>
          <cell r="AS72">
            <v>0.5</v>
          </cell>
          <cell r="AT72">
            <v>0</v>
          </cell>
          <cell r="AU72">
            <v>0.5</v>
          </cell>
          <cell r="AV72">
            <v>0.5</v>
          </cell>
          <cell r="AW72">
            <v>0</v>
          </cell>
          <cell r="AX72">
            <v>0.5</v>
          </cell>
          <cell r="AY72">
            <v>0.5</v>
          </cell>
          <cell r="AZ72">
            <v>0</v>
          </cell>
          <cell r="BA72">
            <v>0.5</v>
          </cell>
          <cell r="BB72">
            <v>0.5</v>
          </cell>
          <cell r="BC72">
            <v>0</v>
          </cell>
          <cell r="BD72">
            <v>0.5</v>
          </cell>
          <cell r="BG72">
            <v>6.0000000000000005E-2</v>
          </cell>
          <cell r="BH72">
            <v>7.9999999999999988E-2</v>
          </cell>
          <cell r="BI72">
            <v>9.9999999999999992E-2</v>
          </cell>
          <cell r="BJ72">
            <v>6.0000000000000005E-2</v>
          </cell>
          <cell r="BK72">
            <v>7.9999999999999988E-2</v>
          </cell>
          <cell r="BL72">
            <v>9.9999999999999992E-2</v>
          </cell>
          <cell r="BM72">
            <v>6.0000000000000005E-2</v>
          </cell>
          <cell r="BN72">
            <v>7.9999999999999988E-2</v>
          </cell>
          <cell r="BO72">
            <v>9.9999999999999992E-2</v>
          </cell>
          <cell r="BP72">
            <v>6.0000000000000005E-2</v>
          </cell>
          <cell r="BQ72">
            <v>7.9999999999999988E-2</v>
          </cell>
          <cell r="BR72">
            <v>9.9999999999999992E-2</v>
          </cell>
          <cell r="BS72">
            <v>6.0000000000000005E-2</v>
          </cell>
          <cell r="BT72">
            <v>7.9999999999999988E-2</v>
          </cell>
          <cell r="BU72">
            <v>9.9999999999999992E-2</v>
          </cell>
          <cell r="BV72">
            <v>6.0000000000000005E-2</v>
          </cell>
          <cell r="BW72">
            <v>7.9999999999999988E-2</v>
          </cell>
          <cell r="BX72">
            <v>9.9999999999999992E-2</v>
          </cell>
          <cell r="BY72">
            <v>6.0000000000000005E-2</v>
          </cell>
          <cell r="BZ72">
            <v>7.9999999999999988E-2</v>
          </cell>
          <cell r="CA72">
            <v>9.9999999999999992E-2</v>
          </cell>
          <cell r="CB72">
            <v>6.0000000000000005E-2</v>
          </cell>
          <cell r="CC72">
            <v>7.9999999999999988E-2</v>
          </cell>
          <cell r="CD72">
            <v>9.9999999999999992E-2</v>
          </cell>
          <cell r="CE72">
            <v>6.0000000000000005E-2</v>
          </cell>
          <cell r="CF72">
            <v>7.9999999999999988E-2</v>
          </cell>
          <cell r="CG72">
            <v>9.9999999999999992E-2</v>
          </cell>
          <cell r="CH72">
            <v>6.0000000000000005E-2</v>
          </cell>
          <cell r="CI72">
            <v>7.9999999999999988E-2</v>
          </cell>
          <cell r="CJ72">
            <v>9.9999999999999992E-2</v>
          </cell>
          <cell r="CK72">
            <v>6.0000000000000005E-2</v>
          </cell>
          <cell r="CL72">
            <v>7.9999999999999988E-2</v>
          </cell>
          <cell r="CM72">
            <v>9.9999999999999992E-2</v>
          </cell>
          <cell r="CN72">
            <v>6.0000000000000005E-2</v>
          </cell>
          <cell r="CO72">
            <v>7.9999999999999988E-2</v>
          </cell>
          <cell r="CP72">
            <v>9.9999999999999992E-2</v>
          </cell>
          <cell r="CQ72">
            <v>6.0000000000000005E-2</v>
          </cell>
          <cell r="CR72">
            <v>7.9999999999999988E-2</v>
          </cell>
          <cell r="CS72">
            <v>9.9999999999999992E-2</v>
          </cell>
          <cell r="CV72">
            <v>5.5E-2</v>
          </cell>
          <cell r="CW72">
            <v>4.4999999999999998E-2</v>
          </cell>
          <cell r="CX72">
            <v>0.03</v>
          </cell>
          <cell r="CY72">
            <v>5.5E-2</v>
          </cell>
          <cell r="CZ72">
            <v>4.4999999999999998E-2</v>
          </cell>
          <cell r="DA72">
            <v>0.03</v>
          </cell>
          <cell r="DB72">
            <v>5.5E-2</v>
          </cell>
          <cell r="DC72">
            <v>4.4999999999999998E-2</v>
          </cell>
          <cell r="DD72">
            <v>0.03</v>
          </cell>
          <cell r="DE72">
            <v>5.5E-2</v>
          </cell>
          <cell r="DF72">
            <v>4.4999999999999998E-2</v>
          </cell>
          <cell r="DG72">
            <v>0.03</v>
          </cell>
          <cell r="DH72">
            <v>5.5E-2</v>
          </cell>
          <cell r="DI72">
            <v>4.4999999999999998E-2</v>
          </cell>
          <cell r="DJ72">
            <v>0.03</v>
          </cell>
          <cell r="DK72">
            <v>5.5E-2</v>
          </cell>
          <cell r="DL72">
            <v>4.4999999999999998E-2</v>
          </cell>
          <cell r="DM72">
            <v>0.03</v>
          </cell>
          <cell r="DN72">
            <v>5.5E-2</v>
          </cell>
          <cell r="DO72">
            <v>4.4999999999999998E-2</v>
          </cell>
          <cell r="DP72">
            <v>0.03</v>
          </cell>
          <cell r="DQ72">
            <v>5.5E-2</v>
          </cell>
          <cell r="DR72">
            <v>4.4999999999999998E-2</v>
          </cell>
          <cell r="DS72">
            <v>0.03</v>
          </cell>
          <cell r="DT72">
            <v>5.5E-2</v>
          </cell>
          <cell r="DU72">
            <v>4.4999999999999998E-2</v>
          </cell>
          <cell r="DV72">
            <v>0.03</v>
          </cell>
          <cell r="DW72">
            <v>5.5E-2</v>
          </cell>
          <cell r="DX72">
            <v>4.4999999999999998E-2</v>
          </cell>
          <cell r="DY72">
            <v>0.03</v>
          </cell>
          <cell r="DZ72">
            <v>5.5E-2</v>
          </cell>
          <cell r="EA72">
            <v>4.4999999999999998E-2</v>
          </cell>
          <cell r="EB72">
            <v>0.03</v>
          </cell>
          <cell r="EC72">
            <v>5.5E-2</v>
          </cell>
          <cell r="ED72">
            <v>4.4999999999999998E-2</v>
          </cell>
          <cell r="EE72">
            <v>0.03</v>
          </cell>
          <cell r="EG72">
            <v>3.2500000000000001E-2</v>
          </cell>
          <cell r="EH72">
            <v>3.2500000000000001E-2</v>
          </cell>
          <cell r="EI72">
            <v>3.2500000000000001E-2</v>
          </cell>
          <cell r="EJ72">
            <v>3.2500000000000001E-2</v>
          </cell>
          <cell r="EK72">
            <v>3.2500000000000001E-2</v>
          </cell>
          <cell r="EL72">
            <v>3.2500000000000001E-2</v>
          </cell>
          <cell r="EM72">
            <v>3.2500000000000001E-2</v>
          </cell>
          <cell r="EN72">
            <v>3.2500000000000001E-2</v>
          </cell>
          <cell r="EO72">
            <v>3.2500000000000001E-2</v>
          </cell>
          <cell r="EP72">
            <v>3.2500000000000001E-2</v>
          </cell>
          <cell r="EQ72">
            <v>3.2500000000000001E-2</v>
          </cell>
          <cell r="ER72">
            <v>3.2500000000000001E-2</v>
          </cell>
          <cell r="ES72">
            <v>3.2500000000000001E-2</v>
          </cell>
          <cell r="EU72">
            <v>0.08</v>
          </cell>
          <cell r="EV72">
            <v>0.08</v>
          </cell>
          <cell r="EW72">
            <v>0.08</v>
          </cell>
          <cell r="EX72">
            <v>0.08</v>
          </cell>
          <cell r="EY72">
            <v>0.08</v>
          </cell>
          <cell r="EZ72">
            <v>0.08</v>
          </cell>
          <cell r="FA72">
            <v>0.08</v>
          </cell>
          <cell r="FB72">
            <v>0.08</v>
          </cell>
          <cell r="FC72">
            <v>0.08</v>
          </cell>
          <cell r="FD72">
            <v>0.08</v>
          </cell>
          <cell r="FE72">
            <v>0.08</v>
          </cell>
          <cell r="FF72">
            <v>0.08</v>
          </cell>
          <cell r="FG72">
            <v>0.08</v>
          </cell>
        </row>
        <row r="73">
          <cell r="D73"/>
          <cell r="G73">
            <v>0.05</v>
          </cell>
          <cell r="H73">
            <v>0.05</v>
          </cell>
          <cell r="I73">
            <v>0.05</v>
          </cell>
          <cell r="J73">
            <v>0.05</v>
          </cell>
          <cell r="K73">
            <v>0.05</v>
          </cell>
          <cell r="L73">
            <v>0.05</v>
          </cell>
          <cell r="M73">
            <v>0.05</v>
          </cell>
          <cell r="N73">
            <v>0.05</v>
          </cell>
          <cell r="O73">
            <v>0.05</v>
          </cell>
          <cell r="P73">
            <v>0.05</v>
          </cell>
          <cell r="Q73">
            <v>0.05</v>
          </cell>
          <cell r="R73">
            <v>0.05</v>
          </cell>
          <cell r="U73">
            <v>0.5</v>
          </cell>
          <cell r="V73">
            <v>0</v>
          </cell>
          <cell r="W73">
            <v>0.5</v>
          </cell>
          <cell r="X73">
            <v>0.5</v>
          </cell>
          <cell r="Y73">
            <v>0</v>
          </cell>
          <cell r="Z73">
            <v>0.5</v>
          </cell>
          <cell r="AA73">
            <v>0.5</v>
          </cell>
          <cell r="AB73">
            <v>0</v>
          </cell>
          <cell r="AC73">
            <v>0.5</v>
          </cell>
          <cell r="AD73">
            <v>0.5</v>
          </cell>
          <cell r="AE73">
            <v>0</v>
          </cell>
          <cell r="AF73">
            <v>0.5</v>
          </cell>
          <cell r="AG73">
            <v>0.5</v>
          </cell>
          <cell r="AH73">
            <v>0</v>
          </cell>
          <cell r="AI73">
            <v>0.5</v>
          </cell>
          <cell r="AJ73">
            <v>0.5</v>
          </cell>
          <cell r="AK73">
            <v>0</v>
          </cell>
          <cell r="AL73">
            <v>0.5</v>
          </cell>
          <cell r="AM73">
            <v>0.5</v>
          </cell>
          <cell r="AN73">
            <v>0</v>
          </cell>
          <cell r="AO73">
            <v>0.5</v>
          </cell>
          <cell r="AP73">
            <v>0.5</v>
          </cell>
          <cell r="AQ73">
            <v>0</v>
          </cell>
          <cell r="AR73">
            <v>0.5</v>
          </cell>
          <cell r="AS73">
            <v>0.5</v>
          </cell>
          <cell r="AT73">
            <v>0</v>
          </cell>
          <cell r="AU73">
            <v>0.5</v>
          </cell>
          <cell r="AV73">
            <v>0.5</v>
          </cell>
          <cell r="AW73">
            <v>0</v>
          </cell>
          <cell r="AX73">
            <v>0.5</v>
          </cell>
          <cell r="AY73">
            <v>0.5</v>
          </cell>
          <cell r="AZ73">
            <v>0</v>
          </cell>
          <cell r="BA73">
            <v>0.5</v>
          </cell>
          <cell r="BB73">
            <v>0.5</v>
          </cell>
          <cell r="BC73">
            <v>0</v>
          </cell>
          <cell r="BD73">
            <v>0.5</v>
          </cell>
          <cell r="BG73">
            <v>6.0000000000000005E-2</v>
          </cell>
          <cell r="BH73">
            <v>7.9999999999999988E-2</v>
          </cell>
          <cell r="BI73">
            <v>9.9999999999999992E-2</v>
          </cell>
          <cell r="BJ73">
            <v>6.0000000000000005E-2</v>
          </cell>
          <cell r="BK73">
            <v>7.9999999999999988E-2</v>
          </cell>
          <cell r="BL73">
            <v>9.9999999999999992E-2</v>
          </cell>
          <cell r="BM73">
            <v>6.0000000000000005E-2</v>
          </cell>
          <cell r="BN73">
            <v>7.9999999999999988E-2</v>
          </cell>
          <cell r="BO73">
            <v>9.9999999999999992E-2</v>
          </cell>
          <cell r="BP73">
            <v>6.0000000000000005E-2</v>
          </cell>
          <cell r="BQ73">
            <v>7.9999999999999988E-2</v>
          </cell>
          <cell r="BR73">
            <v>9.9999999999999992E-2</v>
          </cell>
          <cell r="BS73">
            <v>6.0000000000000005E-2</v>
          </cell>
          <cell r="BT73">
            <v>7.9999999999999988E-2</v>
          </cell>
          <cell r="BU73">
            <v>9.9999999999999992E-2</v>
          </cell>
          <cell r="BV73">
            <v>6.0000000000000005E-2</v>
          </cell>
          <cell r="BW73">
            <v>7.9999999999999988E-2</v>
          </cell>
          <cell r="BX73">
            <v>9.9999999999999992E-2</v>
          </cell>
          <cell r="BY73">
            <v>6.0000000000000005E-2</v>
          </cell>
          <cell r="BZ73">
            <v>7.9999999999999988E-2</v>
          </cell>
          <cell r="CA73">
            <v>9.9999999999999992E-2</v>
          </cell>
          <cell r="CB73">
            <v>6.0000000000000005E-2</v>
          </cell>
          <cell r="CC73">
            <v>7.9999999999999988E-2</v>
          </cell>
          <cell r="CD73">
            <v>9.9999999999999992E-2</v>
          </cell>
          <cell r="CE73">
            <v>6.0000000000000005E-2</v>
          </cell>
          <cell r="CF73">
            <v>7.9999999999999988E-2</v>
          </cell>
          <cell r="CG73">
            <v>9.9999999999999992E-2</v>
          </cell>
          <cell r="CH73">
            <v>6.0000000000000005E-2</v>
          </cell>
          <cell r="CI73">
            <v>7.9999999999999988E-2</v>
          </cell>
          <cell r="CJ73">
            <v>9.9999999999999992E-2</v>
          </cell>
          <cell r="CK73">
            <v>6.0000000000000005E-2</v>
          </cell>
          <cell r="CL73">
            <v>7.9999999999999988E-2</v>
          </cell>
          <cell r="CM73">
            <v>9.9999999999999992E-2</v>
          </cell>
          <cell r="CN73">
            <v>6.0000000000000005E-2</v>
          </cell>
          <cell r="CO73">
            <v>7.9999999999999988E-2</v>
          </cell>
          <cell r="CP73">
            <v>9.9999999999999992E-2</v>
          </cell>
          <cell r="CQ73">
            <v>6.0000000000000005E-2</v>
          </cell>
          <cell r="CR73">
            <v>7.9999999999999988E-2</v>
          </cell>
          <cell r="CS73">
            <v>9.9999999999999992E-2</v>
          </cell>
          <cell r="CV73">
            <v>5.5E-2</v>
          </cell>
          <cell r="CW73">
            <v>4.4999999999999998E-2</v>
          </cell>
          <cell r="CX73">
            <v>0.03</v>
          </cell>
          <cell r="CY73">
            <v>5.5E-2</v>
          </cell>
          <cell r="CZ73">
            <v>4.4999999999999998E-2</v>
          </cell>
          <cell r="DA73">
            <v>0.03</v>
          </cell>
          <cell r="DB73">
            <v>5.5E-2</v>
          </cell>
          <cell r="DC73">
            <v>4.4999999999999998E-2</v>
          </cell>
          <cell r="DD73">
            <v>0.03</v>
          </cell>
          <cell r="DE73">
            <v>5.5E-2</v>
          </cell>
          <cell r="DF73">
            <v>4.4999999999999998E-2</v>
          </cell>
          <cell r="DG73">
            <v>0.03</v>
          </cell>
          <cell r="DH73">
            <v>5.5E-2</v>
          </cell>
          <cell r="DI73">
            <v>4.4999999999999998E-2</v>
          </cell>
          <cell r="DJ73">
            <v>0.03</v>
          </cell>
          <cell r="DK73">
            <v>5.5E-2</v>
          </cell>
          <cell r="DL73">
            <v>4.4999999999999998E-2</v>
          </cell>
          <cell r="DM73">
            <v>0.03</v>
          </cell>
          <cell r="DN73">
            <v>5.5E-2</v>
          </cell>
          <cell r="DO73">
            <v>4.4999999999999998E-2</v>
          </cell>
          <cell r="DP73">
            <v>0.03</v>
          </cell>
          <cell r="DQ73">
            <v>5.5E-2</v>
          </cell>
          <cell r="DR73">
            <v>4.4999999999999998E-2</v>
          </cell>
          <cell r="DS73">
            <v>0.03</v>
          </cell>
          <cell r="DT73">
            <v>5.5E-2</v>
          </cell>
          <cell r="DU73">
            <v>4.4999999999999998E-2</v>
          </cell>
          <cell r="DV73">
            <v>0.03</v>
          </cell>
          <cell r="DW73">
            <v>5.5E-2</v>
          </cell>
          <cell r="DX73">
            <v>4.4999999999999998E-2</v>
          </cell>
          <cell r="DY73">
            <v>0.03</v>
          </cell>
          <cell r="DZ73">
            <v>5.5E-2</v>
          </cell>
          <cell r="EA73">
            <v>4.4999999999999998E-2</v>
          </cell>
          <cell r="EB73">
            <v>0.03</v>
          </cell>
          <cell r="EC73">
            <v>5.5E-2</v>
          </cell>
          <cell r="ED73">
            <v>4.4999999999999998E-2</v>
          </cell>
          <cell r="EE73">
            <v>0.03</v>
          </cell>
          <cell r="EG73">
            <v>3.2500000000000001E-2</v>
          </cell>
          <cell r="EH73">
            <v>3.2500000000000001E-2</v>
          </cell>
          <cell r="EI73">
            <v>3.2500000000000001E-2</v>
          </cell>
          <cell r="EJ73">
            <v>3.2500000000000001E-2</v>
          </cell>
          <cell r="EK73">
            <v>3.2500000000000001E-2</v>
          </cell>
          <cell r="EL73">
            <v>3.2500000000000001E-2</v>
          </cell>
          <cell r="EM73">
            <v>3.2500000000000001E-2</v>
          </cell>
          <cell r="EN73">
            <v>3.2500000000000001E-2</v>
          </cell>
          <cell r="EO73">
            <v>3.2500000000000001E-2</v>
          </cell>
          <cell r="EP73">
            <v>3.2500000000000001E-2</v>
          </cell>
          <cell r="EQ73">
            <v>3.2500000000000001E-2</v>
          </cell>
          <cell r="ER73">
            <v>3.2500000000000001E-2</v>
          </cell>
          <cell r="ES73">
            <v>3.2500000000000001E-2</v>
          </cell>
          <cell r="EU73">
            <v>0.08</v>
          </cell>
          <cell r="EV73">
            <v>0.08</v>
          </cell>
          <cell r="EW73">
            <v>0.08</v>
          </cell>
          <cell r="EX73">
            <v>0.08</v>
          </cell>
          <cell r="EY73">
            <v>0.08</v>
          </cell>
          <cell r="EZ73">
            <v>0.08</v>
          </cell>
          <cell r="FA73">
            <v>0.08</v>
          </cell>
          <cell r="FB73">
            <v>0.08</v>
          </cell>
          <cell r="FC73">
            <v>0.08</v>
          </cell>
          <cell r="FD73">
            <v>0.08</v>
          </cell>
          <cell r="FE73">
            <v>0.08</v>
          </cell>
          <cell r="FF73">
            <v>0.08</v>
          </cell>
          <cell r="FG73">
            <v>0.08</v>
          </cell>
        </row>
        <row r="74">
          <cell r="C74" t="str">
            <v>New Crossland GS 130Hp MT</v>
          </cell>
          <cell r="D74" t="str">
            <v>New Crossland GS 130Hp MT</v>
          </cell>
          <cell r="G74">
            <v>0.05</v>
          </cell>
          <cell r="H74">
            <v>0.05</v>
          </cell>
          <cell r="I74">
            <v>0.05</v>
          </cell>
          <cell r="J74">
            <v>0.05</v>
          </cell>
          <cell r="K74">
            <v>0.05</v>
          </cell>
          <cell r="L74">
            <v>0.05</v>
          </cell>
          <cell r="M74">
            <v>0.05</v>
          </cell>
          <cell r="N74">
            <v>0.05</v>
          </cell>
          <cell r="O74">
            <v>0.05</v>
          </cell>
          <cell r="P74">
            <v>0.05</v>
          </cell>
          <cell r="Q74">
            <v>0.05</v>
          </cell>
          <cell r="R74">
            <v>0.05</v>
          </cell>
          <cell r="U74">
            <v>0.5</v>
          </cell>
          <cell r="V74">
            <v>0</v>
          </cell>
          <cell r="W74">
            <v>0.5</v>
          </cell>
          <cell r="X74">
            <v>0.5</v>
          </cell>
          <cell r="Y74">
            <v>0</v>
          </cell>
          <cell r="Z74">
            <v>0.5</v>
          </cell>
          <cell r="AA74">
            <v>0.5</v>
          </cell>
          <cell r="AB74">
            <v>0</v>
          </cell>
          <cell r="AC74">
            <v>0.5</v>
          </cell>
          <cell r="AD74">
            <v>0.5</v>
          </cell>
          <cell r="AE74">
            <v>0</v>
          </cell>
          <cell r="AF74">
            <v>0.5</v>
          </cell>
          <cell r="AG74">
            <v>0.5</v>
          </cell>
          <cell r="AH74">
            <v>0</v>
          </cell>
          <cell r="AI74">
            <v>0.5</v>
          </cell>
          <cell r="AJ74">
            <v>0.5</v>
          </cell>
          <cell r="AK74">
            <v>0</v>
          </cell>
          <cell r="AL74">
            <v>0.5</v>
          </cell>
          <cell r="AM74">
            <v>0.5</v>
          </cell>
          <cell r="AN74">
            <v>0</v>
          </cell>
          <cell r="AO74">
            <v>0.5</v>
          </cell>
          <cell r="AP74">
            <v>0.5</v>
          </cell>
          <cell r="AQ74">
            <v>0</v>
          </cell>
          <cell r="AR74">
            <v>0.5</v>
          </cell>
          <cell r="AS74">
            <v>0.5</v>
          </cell>
          <cell r="AT74">
            <v>0</v>
          </cell>
          <cell r="AU74">
            <v>0.5</v>
          </cell>
          <cell r="AV74">
            <v>0.5</v>
          </cell>
          <cell r="AW74">
            <v>0</v>
          </cell>
          <cell r="AX74">
            <v>0.5</v>
          </cell>
          <cell r="AY74">
            <v>0.5</v>
          </cell>
          <cell r="AZ74">
            <v>0</v>
          </cell>
          <cell r="BA74">
            <v>0.5</v>
          </cell>
          <cell r="BB74">
            <v>0.5</v>
          </cell>
          <cell r="BC74">
            <v>0</v>
          </cell>
          <cell r="BD74">
            <v>0.5</v>
          </cell>
          <cell r="BG74">
            <v>6.0000000000000005E-2</v>
          </cell>
          <cell r="BH74">
            <v>7.9999999999999988E-2</v>
          </cell>
          <cell r="BI74">
            <v>9.9999999999999992E-2</v>
          </cell>
          <cell r="BJ74">
            <v>6.0000000000000005E-2</v>
          </cell>
          <cell r="BK74">
            <v>7.9999999999999988E-2</v>
          </cell>
          <cell r="BL74">
            <v>9.9999999999999992E-2</v>
          </cell>
          <cell r="BM74">
            <v>6.0000000000000005E-2</v>
          </cell>
          <cell r="BN74">
            <v>7.9999999999999988E-2</v>
          </cell>
          <cell r="BO74">
            <v>9.9999999999999992E-2</v>
          </cell>
          <cell r="BP74">
            <v>6.0000000000000005E-2</v>
          </cell>
          <cell r="BQ74">
            <v>7.9999999999999988E-2</v>
          </cell>
          <cell r="BR74">
            <v>9.9999999999999992E-2</v>
          </cell>
          <cell r="BS74">
            <v>6.0000000000000005E-2</v>
          </cell>
          <cell r="BT74">
            <v>7.9999999999999988E-2</v>
          </cell>
          <cell r="BU74">
            <v>9.9999999999999992E-2</v>
          </cell>
          <cell r="BV74">
            <v>6.0000000000000005E-2</v>
          </cell>
          <cell r="BW74">
            <v>7.9999999999999988E-2</v>
          </cell>
          <cell r="BX74">
            <v>9.9999999999999992E-2</v>
          </cell>
          <cell r="BY74">
            <v>6.0000000000000005E-2</v>
          </cell>
          <cell r="BZ74">
            <v>7.9999999999999988E-2</v>
          </cell>
          <cell r="CA74">
            <v>9.9999999999999992E-2</v>
          </cell>
          <cell r="CB74">
            <v>6.0000000000000005E-2</v>
          </cell>
          <cell r="CC74">
            <v>7.9999999999999988E-2</v>
          </cell>
          <cell r="CD74">
            <v>9.9999999999999992E-2</v>
          </cell>
          <cell r="CE74">
            <v>6.0000000000000005E-2</v>
          </cell>
          <cell r="CF74">
            <v>7.9999999999999988E-2</v>
          </cell>
          <cell r="CG74">
            <v>9.9999999999999992E-2</v>
          </cell>
          <cell r="CH74">
            <v>6.0000000000000005E-2</v>
          </cell>
          <cell r="CI74">
            <v>7.9999999999999988E-2</v>
          </cell>
          <cell r="CJ74">
            <v>9.9999999999999992E-2</v>
          </cell>
          <cell r="CK74">
            <v>6.0000000000000005E-2</v>
          </cell>
          <cell r="CL74">
            <v>7.9999999999999988E-2</v>
          </cell>
          <cell r="CM74">
            <v>9.9999999999999992E-2</v>
          </cell>
          <cell r="CN74">
            <v>6.0000000000000005E-2</v>
          </cell>
          <cell r="CO74">
            <v>7.9999999999999988E-2</v>
          </cell>
          <cell r="CP74">
            <v>9.9999999999999992E-2</v>
          </cell>
          <cell r="CQ74">
            <v>6.0000000000000005E-2</v>
          </cell>
          <cell r="CR74">
            <v>7.9999999999999988E-2</v>
          </cell>
          <cell r="CS74">
            <v>9.9999999999999992E-2</v>
          </cell>
          <cell r="CV74">
            <v>0.06</v>
          </cell>
          <cell r="CW74">
            <v>0.05</v>
          </cell>
          <cell r="CX74">
            <v>0.03</v>
          </cell>
          <cell r="CY74">
            <v>0.06</v>
          </cell>
          <cell r="CZ74">
            <v>0.05</v>
          </cell>
          <cell r="DA74">
            <v>0.03</v>
          </cell>
          <cell r="DB74">
            <v>0.06</v>
          </cell>
          <cell r="DC74">
            <v>0.05</v>
          </cell>
          <cell r="DD74">
            <v>0.03</v>
          </cell>
          <cell r="DE74">
            <v>0.06</v>
          </cell>
          <cell r="DF74">
            <v>0.05</v>
          </cell>
          <cell r="DG74">
            <v>0.03</v>
          </cell>
          <cell r="DH74">
            <v>0.06</v>
          </cell>
          <cell r="DI74">
            <v>0.05</v>
          </cell>
          <cell r="DJ74">
            <v>0.03</v>
          </cell>
          <cell r="DK74">
            <v>0.06</v>
          </cell>
          <cell r="DL74">
            <v>0.05</v>
          </cell>
          <cell r="DM74">
            <v>0.03</v>
          </cell>
          <cell r="DN74">
            <v>0.06</v>
          </cell>
          <cell r="DO74">
            <v>0.05</v>
          </cell>
          <cell r="DP74">
            <v>0.03</v>
          </cell>
          <cell r="DQ74">
            <v>0.06</v>
          </cell>
          <cell r="DR74">
            <v>0.05</v>
          </cell>
          <cell r="DS74">
            <v>0.03</v>
          </cell>
          <cell r="DT74">
            <v>0.06</v>
          </cell>
          <cell r="DU74">
            <v>0.05</v>
          </cell>
          <cell r="DV74">
            <v>0.03</v>
          </cell>
          <cell r="DW74">
            <v>0.06</v>
          </cell>
          <cell r="DX74">
            <v>0.05</v>
          </cell>
          <cell r="DY74">
            <v>0.03</v>
          </cell>
          <cell r="DZ74">
            <v>0.06</v>
          </cell>
          <cell r="EA74">
            <v>0.05</v>
          </cell>
          <cell r="EB74">
            <v>0.03</v>
          </cell>
          <cell r="EC74">
            <v>0.06</v>
          </cell>
          <cell r="ED74">
            <v>0.05</v>
          </cell>
          <cell r="EE74">
            <v>0.03</v>
          </cell>
          <cell r="EG74">
            <v>3.5000000000000003E-2</v>
          </cell>
          <cell r="EH74">
            <v>3.5000000000000003E-2</v>
          </cell>
          <cell r="EI74">
            <v>3.5000000000000003E-2</v>
          </cell>
          <cell r="EJ74">
            <v>3.5000000000000003E-2</v>
          </cell>
          <cell r="EK74">
            <v>3.5000000000000003E-2</v>
          </cell>
          <cell r="EL74">
            <v>3.5000000000000003E-2</v>
          </cell>
          <cell r="EM74">
            <v>3.5000000000000003E-2</v>
          </cell>
          <cell r="EN74">
            <v>3.5000000000000003E-2</v>
          </cell>
          <cell r="EO74">
            <v>3.5000000000000003E-2</v>
          </cell>
          <cell r="EP74">
            <v>3.5000000000000003E-2</v>
          </cell>
          <cell r="EQ74">
            <v>3.5000000000000003E-2</v>
          </cell>
          <cell r="ER74">
            <v>3.5000000000000003E-2</v>
          </cell>
          <cell r="ES74">
            <v>3.5000000000000003E-2</v>
          </cell>
          <cell r="EU74">
            <v>0.08</v>
          </cell>
          <cell r="EV74">
            <v>0.08</v>
          </cell>
          <cell r="EW74">
            <v>0.08</v>
          </cell>
          <cell r="EX74">
            <v>0.08</v>
          </cell>
          <cell r="EY74">
            <v>0.08</v>
          </cell>
          <cell r="EZ74">
            <v>0.08</v>
          </cell>
          <cell r="FA74">
            <v>0.08</v>
          </cell>
          <cell r="FB74">
            <v>0.08</v>
          </cell>
          <cell r="FC74">
            <v>0.08</v>
          </cell>
          <cell r="FD74">
            <v>0.08</v>
          </cell>
          <cell r="FE74">
            <v>0.08</v>
          </cell>
          <cell r="FF74">
            <v>0.08</v>
          </cell>
          <cell r="FG74">
            <v>0.08</v>
          </cell>
        </row>
        <row r="75">
          <cell r="C75" t="str">
            <v>New Crossland GS Hybrid</v>
          </cell>
          <cell r="D75" t="str">
            <v>New Crossland GS 5P Hybrid 136 HP</v>
          </cell>
          <cell r="G75">
            <v>0.05</v>
          </cell>
          <cell r="H75">
            <v>0.05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0.05</v>
          </cell>
          <cell r="N75">
            <v>0.05</v>
          </cell>
          <cell r="O75">
            <v>0.05</v>
          </cell>
          <cell r="P75">
            <v>0.05</v>
          </cell>
          <cell r="Q75">
            <v>0.05</v>
          </cell>
          <cell r="R75">
            <v>0.05</v>
          </cell>
          <cell r="U75">
            <v>0.5</v>
          </cell>
          <cell r="V75">
            <v>0</v>
          </cell>
          <cell r="W75">
            <v>0.5</v>
          </cell>
          <cell r="X75">
            <v>0.5</v>
          </cell>
          <cell r="Y75">
            <v>0</v>
          </cell>
          <cell r="Z75">
            <v>0.5</v>
          </cell>
          <cell r="AA75">
            <v>0.5</v>
          </cell>
          <cell r="AB75">
            <v>0</v>
          </cell>
          <cell r="AC75">
            <v>0.5</v>
          </cell>
          <cell r="AD75">
            <v>0.5</v>
          </cell>
          <cell r="AE75">
            <v>0</v>
          </cell>
          <cell r="AF75">
            <v>0.5</v>
          </cell>
          <cell r="AG75">
            <v>0.5</v>
          </cell>
          <cell r="AH75">
            <v>0</v>
          </cell>
          <cell r="AI75">
            <v>0.5</v>
          </cell>
          <cell r="AJ75">
            <v>0.5</v>
          </cell>
          <cell r="AK75">
            <v>0</v>
          </cell>
          <cell r="AL75">
            <v>0.5</v>
          </cell>
          <cell r="AM75">
            <v>0.5</v>
          </cell>
          <cell r="AN75">
            <v>0</v>
          </cell>
          <cell r="AO75">
            <v>0.5</v>
          </cell>
          <cell r="AP75">
            <v>0.5</v>
          </cell>
          <cell r="AQ75">
            <v>0</v>
          </cell>
          <cell r="AR75">
            <v>0.5</v>
          </cell>
          <cell r="AS75">
            <v>0.5</v>
          </cell>
          <cell r="AT75">
            <v>0</v>
          </cell>
          <cell r="AU75">
            <v>0.5</v>
          </cell>
          <cell r="AV75">
            <v>0.5</v>
          </cell>
          <cell r="AW75">
            <v>0</v>
          </cell>
          <cell r="AX75">
            <v>0.5</v>
          </cell>
          <cell r="AY75">
            <v>0.5</v>
          </cell>
          <cell r="AZ75">
            <v>0</v>
          </cell>
          <cell r="BA75">
            <v>0.5</v>
          </cell>
          <cell r="BB75">
            <v>0.5</v>
          </cell>
          <cell r="BC75">
            <v>0</v>
          </cell>
          <cell r="BD75">
            <v>0.5</v>
          </cell>
          <cell r="BG75">
            <v>6.0000000000000005E-2</v>
          </cell>
          <cell r="BH75">
            <v>7.9999999999999988E-2</v>
          </cell>
          <cell r="BI75">
            <v>9.9999999999999992E-2</v>
          </cell>
          <cell r="BJ75">
            <v>6.0000000000000005E-2</v>
          </cell>
          <cell r="BK75">
            <v>7.9999999999999988E-2</v>
          </cell>
          <cell r="BL75">
            <v>9.9999999999999992E-2</v>
          </cell>
          <cell r="BM75">
            <v>6.0000000000000005E-2</v>
          </cell>
          <cell r="BN75">
            <v>7.9999999999999988E-2</v>
          </cell>
          <cell r="BO75">
            <v>9.9999999999999992E-2</v>
          </cell>
          <cell r="BP75">
            <v>6.0000000000000005E-2</v>
          </cell>
          <cell r="BQ75">
            <v>7.9999999999999988E-2</v>
          </cell>
          <cell r="BR75">
            <v>9.9999999999999992E-2</v>
          </cell>
          <cell r="BS75">
            <v>6.0000000000000005E-2</v>
          </cell>
          <cell r="BT75">
            <v>7.9999999999999988E-2</v>
          </cell>
          <cell r="BU75">
            <v>9.9999999999999992E-2</v>
          </cell>
          <cell r="BV75">
            <v>6.0000000000000005E-2</v>
          </cell>
          <cell r="BW75">
            <v>7.9999999999999988E-2</v>
          </cell>
          <cell r="BX75">
            <v>9.9999999999999992E-2</v>
          </cell>
          <cell r="BY75">
            <v>6.0000000000000005E-2</v>
          </cell>
          <cell r="BZ75">
            <v>7.9999999999999988E-2</v>
          </cell>
          <cell r="CA75">
            <v>9.9999999999999992E-2</v>
          </cell>
          <cell r="CB75">
            <v>6.0000000000000005E-2</v>
          </cell>
          <cell r="CC75">
            <v>7.9999999999999988E-2</v>
          </cell>
          <cell r="CD75">
            <v>9.9999999999999992E-2</v>
          </cell>
          <cell r="CE75">
            <v>6.0000000000000005E-2</v>
          </cell>
          <cell r="CF75">
            <v>7.9999999999999988E-2</v>
          </cell>
          <cell r="CG75">
            <v>9.9999999999999992E-2</v>
          </cell>
          <cell r="CH75">
            <v>6.0000000000000005E-2</v>
          </cell>
          <cell r="CI75">
            <v>7.9999999999999988E-2</v>
          </cell>
          <cell r="CJ75">
            <v>9.9999999999999992E-2</v>
          </cell>
          <cell r="CK75">
            <v>6.0000000000000005E-2</v>
          </cell>
          <cell r="CL75">
            <v>7.9999999999999988E-2</v>
          </cell>
          <cell r="CM75">
            <v>9.9999999999999992E-2</v>
          </cell>
          <cell r="CN75">
            <v>6.0000000000000005E-2</v>
          </cell>
          <cell r="CO75">
            <v>7.9999999999999988E-2</v>
          </cell>
          <cell r="CP75">
            <v>9.9999999999999992E-2</v>
          </cell>
          <cell r="CQ75">
            <v>6.0000000000000005E-2</v>
          </cell>
          <cell r="CR75">
            <v>7.9999999999999988E-2</v>
          </cell>
          <cell r="CS75">
            <v>9.9999999999999992E-2</v>
          </cell>
          <cell r="CV75">
            <v>0.06</v>
          </cell>
          <cell r="CW75">
            <v>0.05</v>
          </cell>
          <cell r="CX75">
            <v>0.03</v>
          </cell>
          <cell r="CY75">
            <v>0.06</v>
          </cell>
          <cell r="CZ75">
            <v>0.05</v>
          </cell>
          <cell r="DA75">
            <v>0.03</v>
          </cell>
          <cell r="DB75">
            <v>0.06</v>
          </cell>
          <cell r="DC75">
            <v>0.05</v>
          </cell>
          <cell r="DD75">
            <v>0.03</v>
          </cell>
          <cell r="DE75">
            <v>0.06</v>
          </cell>
          <cell r="DF75">
            <v>0.05</v>
          </cell>
          <cell r="DG75">
            <v>0.03</v>
          </cell>
          <cell r="DH75">
            <v>0.06</v>
          </cell>
          <cell r="DI75">
            <v>0.05</v>
          </cell>
          <cell r="DJ75">
            <v>0.03</v>
          </cell>
          <cell r="DK75">
            <v>0.06</v>
          </cell>
          <cell r="DL75">
            <v>0.05</v>
          </cell>
          <cell r="DM75">
            <v>0.03</v>
          </cell>
          <cell r="DN75">
            <v>0.06</v>
          </cell>
          <cell r="DO75">
            <v>0.05</v>
          </cell>
          <cell r="DP75">
            <v>0.03</v>
          </cell>
          <cell r="DQ75">
            <v>0.06</v>
          </cell>
          <cell r="DR75">
            <v>0.05</v>
          </cell>
          <cell r="DS75">
            <v>0.03</v>
          </cell>
          <cell r="DT75">
            <v>0.06</v>
          </cell>
          <cell r="DU75">
            <v>0.05</v>
          </cell>
          <cell r="DV75">
            <v>0.03</v>
          </cell>
          <cell r="DW75">
            <v>0.06</v>
          </cell>
          <cell r="DX75">
            <v>0.05</v>
          </cell>
          <cell r="DY75">
            <v>0.03</v>
          </cell>
          <cell r="DZ75">
            <v>0.06</v>
          </cell>
          <cell r="EA75">
            <v>0.05</v>
          </cell>
          <cell r="EB75">
            <v>0.03</v>
          </cell>
          <cell r="EC75">
            <v>0.06</v>
          </cell>
          <cell r="ED75">
            <v>0.05</v>
          </cell>
          <cell r="EE75">
            <v>0.03</v>
          </cell>
          <cell r="EG75">
            <v>3.5000000000000003E-2</v>
          </cell>
          <cell r="EH75">
            <v>3.5000000000000003E-2</v>
          </cell>
          <cell r="EI75">
            <v>3.5000000000000003E-2</v>
          </cell>
          <cell r="EJ75">
            <v>3.5000000000000003E-2</v>
          </cell>
          <cell r="EK75">
            <v>3.5000000000000003E-2</v>
          </cell>
          <cell r="EL75">
            <v>3.5000000000000003E-2</v>
          </cell>
          <cell r="EM75">
            <v>3.5000000000000003E-2</v>
          </cell>
          <cell r="EN75">
            <v>3.5000000000000003E-2</v>
          </cell>
          <cell r="EO75">
            <v>3.5000000000000003E-2</v>
          </cell>
          <cell r="EP75">
            <v>3.5000000000000003E-2</v>
          </cell>
          <cell r="EQ75">
            <v>3.5000000000000003E-2</v>
          </cell>
          <cell r="ER75">
            <v>3.5000000000000003E-2</v>
          </cell>
          <cell r="ES75">
            <v>3.5000000000000003E-2</v>
          </cell>
          <cell r="EU75">
            <v>0.08</v>
          </cell>
          <cell r="EV75">
            <v>0.08</v>
          </cell>
          <cell r="EW75">
            <v>0.08</v>
          </cell>
          <cell r="EX75">
            <v>0.08</v>
          </cell>
          <cell r="EY75">
            <v>0.08</v>
          </cell>
          <cell r="EZ75">
            <v>0.08</v>
          </cell>
          <cell r="FA75">
            <v>0.08</v>
          </cell>
          <cell r="FB75">
            <v>0.08</v>
          </cell>
          <cell r="FC75">
            <v>0.08</v>
          </cell>
          <cell r="FD75">
            <v>0.08</v>
          </cell>
          <cell r="FE75">
            <v>0.08</v>
          </cell>
          <cell r="FF75">
            <v>0.08</v>
          </cell>
          <cell r="FG75">
            <v>0.08</v>
          </cell>
        </row>
        <row r="76">
          <cell r="C76" t="str">
            <v>New Crossland GS Hybrid 7P</v>
          </cell>
          <cell r="D76" t="str">
            <v>New Crossland GS 7P Hybrid 136 HP</v>
          </cell>
          <cell r="G76">
            <v>0.05</v>
          </cell>
          <cell r="H76">
            <v>0.05</v>
          </cell>
          <cell r="I76">
            <v>0.05</v>
          </cell>
          <cell r="J76">
            <v>0.05</v>
          </cell>
          <cell r="K76">
            <v>0.05</v>
          </cell>
          <cell r="L76">
            <v>0.05</v>
          </cell>
          <cell r="M76">
            <v>0.05</v>
          </cell>
          <cell r="N76">
            <v>0.05</v>
          </cell>
          <cell r="O76">
            <v>0.05</v>
          </cell>
          <cell r="P76">
            <v>0.05</v>
          </cell>
          <cell r="Q76">
            <v>0.05</v>
          </cell>
          <cell r="R76">
            <v>0.05</v>
          </cell>
          <cell r="U76">
            <v>0.5</v>
          </cell>
          <cell r="V76">
            <v>0</v>
          </cell>
          <cell r="W76">
            <v>0.5</v>
          </cell>
          <cell r="X76">
            <v>0.5</v>
          </cell>
          <cell r="Y76">
            <v>0</v>
          </cell>
          <cell r="Z76">
            <v>0.5</v>
          </cell>
          <cell r="AA76">
            <v>0.5</v>
          </cell>
          <cell r="AB76">
            <v>0</v>
          </cell>
          <cell r="AC76">
            <v>0.5</v>
          </cell>
          <cell r="AD76">
            <v>0.5</v>
          </cell>
          <cell r="AE76">
            <v>0</v>
          </cell>
          <cell r="AF76">
            <v>0.5</v>
          </cell>
          <cell r="AG76">
            <v>0.5</v>
          </cell>
          <cell r="AH76">
            <v>0</v>
          </cell>
          <cell r="AI76">
            <v>0.5</v>
          </cell>
          <cell r="AJ76">
            <v>0.5</v>
          </cell>
          <cell r="AK76">
            <v>0</v>
          </cell>
          <cell r="AL76">
            <v>0.5</v>
          </cell>
          <cell r="AM76">
            <v>0.5</v>
          </cell>
          <cell r="AN76">
            <v>0</v>
          </cell>
          <cell r="AO76">
            <v>0.5</v>
          </cell>
          <cell r="AP76">
            <v>0.5</v>
          </cell>
          <cell r="AQ76">
            <v>0</v>
          </cell>
          <cell r="AR76">
            <v>0.5</v>
          </cell>
          <cell r="AS76">
            <v>0.5</v>
          </cell>
          <cell r="AT76">
            <v>0</v>
          </cell>
          <cell r="AU76">
            <v>0.5</v>
          </cell>
          <cell r="AV76">
            <v>0.5</v>
          </cell>
          <cell r="AW76">
            <v>0</v>
          </cell>
          <cell r="AX76">
            <v>0.5</v>
          </cell>
          <cell r="AY76">
            <v>0.5</v>
          </cell>
          <cell r="AZ76">
            <v>0</v>
          </cell>
          <cell r="BA76">
            <v>0.5</v>
          </cell>
          <cell r="BB76">
            <v>0.5</v>
          </cell>
          <cell r="BC76">
            <v>0</v>
          </cell>
          <cell r="BD76">
            <v>0.5</v>
          </cell>
          <cell r="BG76">
            <v>6.0000000000000005E-2</v>
          </cell>
          <cell r="BH76">
            <v>7.9999999999999988E-2</v>
          </cell>
          <cell r="BI76">
            <v>9.9999999999999992E-2</v>
          </cell>
          <cell r="BJ76">
            <v>6.0000000000000005E-2</v>
          </cell>
          <cell r="BK76">
            <v>7.9999999999999988E-2</v>
          </cell>
          <cell r="BL76">
            <v>9.9999999999999992E-2</v>
          </cell>
          <cell r="BM76">
            <v>6.0000000000000005E-2</v>
          </cell>
          <cell r="BN76">
            <v>7.9999999999999988E-2</v>
          </cell>
          <cell r="BO76">
            <v>9.9999999999999992E-2</v>
          </cell>
          <cell r="BP76">
            <v>6.0000000000000005E-2</v>
          </cell>
          <cell r="BQ76">
            <v>7.9999999999999988E-2</v>
          </cell>
          <cell r="BR76">
            <v>9.9999999999999992E-2</v>
          </cell>
          <cell r="BS76">
            <v>6.0000000000000005E-2</v>
          </cell>
          <cell r="BT76">
            <v>7.9999999999999988E-2</v>
          </cell>
          <cell r="BU76">
            <v>9.9999999999999992E-2</v>
          </cell>
          <cell r="BV76">
            <v>6.0000000000000005E-2</v>
          </cell>
          <cell r="BW76">
            <v>7.9999999999999988E-2</v>
          </cell>
          <cell r="BX76">
            <v>9.9999999999999992E-2</v>
          </cell>
          <cell r="BY76">
            <v>6.0000000000000005E-2</v>
          </cell>
          <cell r="BZ76">
            <v>7.9999999999999988E-2</v>
          </cell>
          <cell r="CA76">
            <v>9.9999999999999992E-2</v>
          </cell>
          <cell r="CB76">
            <v>6.0000000000000005E-2</v>
          </cell>
          <cell r="CC76">
            <v>7.9999999999999988E-2</v>
          </cell>
          <cell r="CD76">
            <v>9.9999999999999992E-2</v>
          </cell>
          <cell r="CE76">
            <v>6.0000000000000005E-2</v>
          </cell>
          <cell r="CF76">
            <v>7.9999999999999988E-2</v>
          </cell>
          <cell r="CG76">
            <v>9.9999999999999992E-2</v>
          </cell>
          <cell r="CH76">
            <v>6.0000000000000005E-2</v>
          </cell>
          <cell r="CI76">
            <v>7.9999999999999988E-2</v>
          </cell>
          <cell r="CJ76">
            <v>9.9999999999999992E-2</v>
          </cell>
          <cell r="CK76">
            <v>6.0000000000000005E-2</v>
          </cell>
          <cell r="CL76">
            <v>7.9999999999999988E-2</v>
          </cell>
          <cell r="CM76">
            <v>9.9999999999999992E-2</v>
          </cell>
          <cell r="CN76">
            <v>6.0000000000000005E-2</v>
          </cell>
          <cell r="CO76">
            <v>7.9999999999999988E-2</v>
          </cell>
          <cell r="CP76">
            <v>9.9999999999999992E-2</v>
          </cell>
          <cell r="CQ76">
            <v>6.0000000000000005E-2</v>
          </cell>
          <cell r="CR76">
            <v>7.9999999999999988E-2</v>
          </cell>
          <cell r="CS76">
            <v>9.9999999999999992E-2</v>
          </cell>
          <cell r="CV76">
            <v>0.06</v>
          </cell>
          <cell r="CW76">
            <v>0.05</v>
          </cell>
          <cell r="CX76">
            <v>0.03</v>
          </cell>
          <cell r="CY76">
            <v>0.06</v>
          </cell>
          <cell r="CZ76">
            <v>0.05</v>
          </cell>
          <cell r="DA76">
            <v>0.03</v>
          </cell>
          <cell r="DB76">
            <v>0.06</v>
          </cell>
          <cell r="DC76">
            <v>0.05</v>
          </cell>
          <cell r="DD76">
            <v>0.03</v>
          </cell>
          <cell r="DE76">
            <v>0.06</v>
          </cell>
          <cell r="DF76">
            <v>0.05</v>
          </cell>
          <cell r="DG76">
            <v>0.03</v>
          </cell>
          <cell r="DH76">
            <v>0.06</v>
          </cell>
          <cell r="DI76">
            <v>0.05</v>
          </cell>
          <cell r="DJ76">
            <v>0.03</v>
          </cell>
          <cell r="DK76">
            <v>0.06</v>
          </cell>
          <cell r="DL76">
            <v>0.05</v>
          </cell>
          <cell r="DM76">
            <v>0.03</v>
          </cell>
          <cell r="DN76">
            <v>0.06</v>
          </cell>
          <cell r="DO76">
            <v>0.05</v>
          </cell>
          <cell r="DP76">
            <v>0.03</v>
          </cell>
          <cell r="DQ76">
            <v>0.06</v>
          </cell>
          <cell r="DR76">
            <v>0.05</v>
          </cell>
          <cell r="DS76">
            <v>0.03</v>
          </cell>
          <cell r="DT76">
            <v>0.06</v>
          </cell>
          <cell r="DU76">
            <v>0.05</v>
          </cell>
          <cell r="DV76">
            <v>0.03</v>
          </cell>
          <cell r="DW76">
            <v>0.06</v>
          </cell>
          <cell r="DX76">
            <v>0.05</v>
          </cell>
          <cell r="DY76">
            <v>0.03</v>
          </cell>
          <cell r="DZ76">
            <v>0.06</v>
          </cell>
          <cell r="EA76">
            <v>0.05</v>
          </cell>
          <cell r="EB76">
            <v>0.03</v>
          </cell>
          <cell r="EC76">
            <v>0.06</v>
          </cell>
          <cell r="ED76">
            <v>0.05</v>
          </cell>
          <cell r="EE76">
            <v>0.03</v>
          </cell>
          <cell r="EG76">
            <v>3.5000000000000003E-2</v>
          </cell>
          <cell r="EH76">
            <v>3.5000000000000003E-2</v>
          </cell>
          <cell r="EI76">
            <v>3.5000000000000003E-2</v>
          </cell>
          <cell r="EJ76">
            <v>3.5000000000000003E-2</v>
          </cell>
          <cell r="EK76">
            <v>3.5000000000000003E-2</v>
          </cell>
          <cell r="EL76">
            <v>3.5000000000000003E-2</v>
          </cell>
          <cell r="EM76">
            <v>3.5000000000000003E-2</v>
          </cell>
          <cell r="EN76">
            <v>3.5000000000000003E-2</v>
          </cell>
          <cell r="EO76">
            <v>3.5000000000000003E-2</v>
          </cell>
          <cell r="EP76">
            <v>3.5000000000000003E-2</v>
          </cell>
          <cell r="EQ76">
            <v>3.5000000000000003E-2</v>
          </cell>
          <cell r="ER76">
            <v>3.5000000000000003E-2</v>
          </cell>
          <cell r="ES76">
            <v>3.5000000000000003E-2</v>
          </cell>
          <cell r="EU76">
            <v>0.08</v>
          </cell>
          <cell r="EV76">
            <v>0.08</v>
          </cell>
          <cell r="EW76">
            <v>0.08</v>
          </cell>
          <cell r="EX76">
            <v>0.08</v>
          </cell>
          <cell r="EY76">
            <v>0.08</v>
          </cell>
          <cell r="EZ76">
            <v>0.08</v>
          </cell>
          <cell r="FA76">
            <v>0.08</v>
          </cell>
          <cell r="FB76">
            <v>0.08</v>
          </cell>
          <cell r="FC76">
            <v>0.08</v>
          </cell>
          <cell r="FD76">
            <v>0.08</v>
          </cell>
          <cell r="FE76">
            <v>0.08</v>
          </cell>
          <cell r="FF76">
            <v>0.08</v>
          </cell>
          <cell r="FG76">
            <v>0.08</v>
          </cell>
        </row>
        <row r="77">
          <cell r="C77" t="str">
            <v>New Crossland GS Eletric</v>
          </cell>
          <cell r="D77" t="str">
            <v>New Crossland GS Electric 113 AT (300 kms.)</v>
          </cell>
          <cell r="G77">
            <v>0.05</v>
          </cell>
          <cell r="H77">
            <v>0.05</v>
          </cell>
          <cell r="I77">
            <v>0.05</v>
          </cell>
          <cell r="J77">
            <v>0.05</v>
          </cell>
          <cell r="K77">
            <v>0.05</v>
          </cell>
          <cell r="L77">
            <v>0.05</v>
          </cell>
          <cell r="M77">
            <v>0.05</v>
          </cell>
          <cell r="N77">
            <v>0.05</v>
          </cell>
          <cell r="O77">
            <v>0.05</v>
          </cell>
          <cell r="P77">
            <v>0.05</v>
          </cell>
          <cell r="Q77">
            <v>0.05</v>
          </cell>
          <cell r="R77">
            <v>0.05</v>
          </cell>
          <cell r="U77">
            <v>0.5</v>
          </cell>
          <cell r="V77">
            <v>0</v>
          </cell>
          <cell r="W77">
            <v>0.5</v>
          </cell>
          <cell r="X77">
            <v>0.5</v>
          </cell>
          <cell r="Y77">
            <v>0</v>
          </cell>
          <cell r="Z77">
            <v>0.5</v>
          </cell>
          <cell r="AA77">
            <v>0.5</v>
          </cell>
          <cell r="AB77">
            <v>0</v>
          </cell>
          <cell r="AC77">
            <v>0.5</v>
          </cell>
          <cell r="AD77">
            <v>0.5</v>
          </cell>
          <cell r="AE77">
            <v>0</v>
          </cell>
          <cell r="AF77">
            <v>0.5</v>
          </cell>
          <cell r="AG77">
            <v>0.5</v>
          </cell>
          <cell r="AH77">
            <v>0</v>
          </cell>
          <cell r="AI77">
            <v>0.5</v>
          </cell>
          <cell r="AJ77">
            <v>0.5</v>
          </cell>
          <cell r="AK77">
            <v>0</v>
          </cell>
          <cell r="AL77">
            <v>0.5</v>
          </cell>
          <cell r="AM77">
            <v>0.5</v>
          </cell>
          <cell r="AN77">
            <v>0</v>
          </cell>
          <cell r="AO77">
            <v>0.5</v>
          </cell>
          <cell r="AP77">
            <v>0.5</v>
          </cell>
          <cell r="AQ77">
            <v>0</v>
          </cell>
          <cell r="AR77">
            <v>0.5</v>
          </cell>
          <cell r="AS77">
            <v>0.5</v>
          </cell>
          <cell r="AT77">
            <v>0</v>
          </cell>
          <cell r="AU77">
            <v>0.5</v>
          </cell>
          <cell r="AV77">
            <v>0.5</v>
          </cell>
          <cell r="AW77">
            <v>0</v>
          </cell>
          <cell r="AX77">
            <v>0.5</v>
          </cell>
          <cell r="AY77">
            <v>0.5</v>
          </cell>
          <cell r="AZ77">
            <v>0</v>
          </cell>
          <cell r="BA77">
            <v>0.5</v>
          </cell>
          <cell r="BB77">
            <v>0.5</v>
          </cell>
          <cell r="BC77">
            <v>0</v>
          </cell>
          <cell r="BD77">
            <v>0.5</v>
          </cell>
          <cell r="BG77">
            <v>6.0000000000000005E-2</v>
          </cell>
          <cell r="BH77">
            <v>7.9999999999999988E-2</v>
          </cell>
          <cell r="BI77">
            <v>9.9999999999999992E-2</v>
          </cell>
          <cell r="BJ77">
            <v>6.0000000000000005E-2</v>
          </cell>
          <cell r="BK77">
            <v>7.9999999999999988E-2</v>
          </cell>
          <cell r="BL77">
            <v>9.9999999999999992E-2</v>
          </cell>
          <cell r="BM77">
            <v>6.0000000000000005E-2</v>
          </cell>
          <cell r="BN77">
            <v>7.9999999999999988E-2</v>
          </cell>
          <cell r="BO77">
            <v>9.9999999999999992E-2</v>
          </cell>
          <cell r="BP77">
            <v>6.0000000000000005E-2</v>
          </cell>
          <cell r="BQ77">
            <v>7.9999999999999988E-2</v>
          </cell>
          <cell r="BR77">
            <v>9.9999999999999992E-2</v>
          </cell>
          <cell r="BS77">
            <v>6.0000000000000005E-2</v>
          </cell>
          <cell r="BT77">
            <v>7.9999999999999988E-2</v>
          </cell>
          <cell r="BU77">
            <v>9.9999999999999992E-2</v>
          </cell>
          <cell r="BV77">
            <v>6.0000000000000005E-2</v>
          </cell>
          <cell r="BW77">
            <v>7.9999999999999988E-2</v>
          </cell>
          <cell r="BX77">
            <v>9.9999999999999992E-2</v>
          </cell>
          <cell r="BY77">
            <v>6.0000000000000005E-2</v>
          </cell>
          <cell r="BZ77">
            <v>7.9999999999999988E-2</v>
          </cell>
          <cell r="CA77">
            <v>9.9999999999999992E-2</v>
          </cell>
          <cell r="CB77">
            <v>6.0000000000000005E-2</v>
          </cell>
          <cell r="CC77">
            <v>7.9999999999999988E-2</v>
          </cell>
          <cell r="CD77">
            <v>9.9999999999999992E-2</v>
          </cell>
          <cell r="CE77">
            <v>6.0000000000000005E-2</v>
          </cell>
          <cell r="CF77">
            <v>7.9999999999999988E-2</v>
          </cell>
          <cell r="CG77">
            <v>9.9999999999999992E-2</v>
          </cell>
          <cell r="CH77">
            <v>6.0000000000000005E-2</v>
          </cell>
          <cell r="CI77">
            <v>7.9999999999999988E-2</v>
          </cell>
          <cell r="CJ77">
            <v>9.9999999999999992E-2</v>
          </cell>
          <cell r="CK77">
            <v>6.0000000000000005E-2</v>
          </cell>
          <cell r="CL77">
            <v>7.9999999999999988E-2</v>
          </cell>
          <cell r="CM77">
            <v>9.9999999999999992E-2</v>
          </cell>
          <cell r="CN77">
            <v>6.0000000000000005E-2</v>
          </cell>
          <cell r="CO77">
            <v>7.9999999999999988E-2</v>
          </cell>
          <cell r="CP77">
            <v>9.9999999999999992E-2</v>
          </cell>
          <cell r="CQ77">
            <v>6.0000000000000005E-2</v>
          </cell>
          <cell r="CR77">
            <v>7.9999999999999988E-2</v>
          </cell>
          <cell r="CS77">
            <v>9.9999999999999992E-2</v>
          </cell>
          <cell r="CV77">
            <v>0.06</v>
          </cell>
          <cell r="CW77">
            <v>0.05</v>
          </cell>
          <cell r="CX77">
            <v>0.03</v>
          </cell>
          <cell r="CY77">
            <v>0.06</v>
          </cell>
          <cell r="CZ77">
            <v>0.05</v>
          </cell>
          <cell r="DA77">
            <v>0.03</v>
          </cell>
          <cell r="DB77">
            <v>0.06</v>
          </cell>
          <cell r="DC77">
            <v>0.05</v>
          </cell>
          <cell r="DD77">
            <v>0.03</v>
          </cell>
          <cell r="DE77">
            <v>0.06</v>
          </cell>
          <cell r="DF77">
            <v>0.05</v>
          </cell>
          <cell r="DG77">
            <v>0.03</v>
          </cell>
          <cell r="DH77">
            <v>0.06</v>
          </cell>
          <cell r="DI77">
            <v>0.05</v>
          </cell>
          <cell r="DJ77">
            <v>0.03</v>
          </cell>
          <cell r="DK77">
            <v>0.06</v>
          </cell>
          <cell r="DL77">
            <v>0.05</v>
          </cell>
          <cell r="DM77">
            <v>0.03</v>
          </cell>
          <cell r="DN77">
            <v>0.06</v>
          </cell>
          <cell r="DO77">
            <v>0.05</v>
          </cell>
          <cell r="DP77">
            <v>0.03</v>
          </cell>
          <cell r="DQ77">
            <v>0.06</v>
          </cell>
          <cell r="DR77">
            <v>0.05</v>
          </cell>
          <cell r="DS77">
            <v>0.03</v>
          </cell>
          <cell r="DT77">
            <v>0.06</v>
          </cell>
          <cell r="DU77">
            <v>0.05</v>
          </cell>
          <cell r="DV77">
            <v>0.03</v>
          </cell>
          <cell r="DW77">
            <v>0.06</v>
          </cell>
          <cell r="DX77">
            <v>0.05</v>
          </cell>
          <cell r="DY77">
            <v>0.03</v>
          </cell>
          <cell r="DZ77">
            <v>0.06</v>
          </cell>
          <cell r="EA77">
            <v>0.05</v>
          </cell>
          <cell r="EB77">
            <v>0.03</v>
          </cell>
          <cell r="EC77">
            <v>0.06</v>
          </cell>
          <cell r="ED77">
            <v>0.05</v>
          </cell>
          <cell r="EE77">
            <v>0.03</v>
          </cell>
          <cell r="EG77">
            <v>3.5000000000000003E-2</v>
          </cell>
          <cell r="EH77">
            <v>3.5000000000000003E-2</v>
          </cell>
          <cell r="EI77">
            <v>3.5000000000000003E-2</v>
          </cell>
          <cell r="EJ77">
            <v>3.5000000000000003E-2</v>
          </cell>
          <cell r="EK77">
            <v>3.5000000000000003E-2</v>
          </cell>
          <cell r="EL77">
            <v>3.5000000000000003E-2</v>
          </cell>
          <cell r="EM77">
            <v>3.5000000000000003E-2</v>
          </cell>
          <cell r="EN77">
            <v>3.5000000000000003E-2</v>
          </cell>
          <cell r="EO77">
            <v>3.5000000000000003E-2</v>
          </cell>
          <cell r="EP77">
            <v>3.5000000000000003E-2</v>
          </cell>
          <cell r="EQ77">
            <v>3.5000000000000003E-2</v>
          </cell>
          <cell r="ER77">
            <v>3.5000000000000003E-2</v>
          </cell>
          <cell r="ES77">
            <v>3.5000000000000003E-2</v>
          </cell>
          <cell r="EU77">
            <v>0.08</v>
          </cell>
          <cell r="EV77">
            <v>0.08</v>
          </cell>
          <cell r="EW77">
            <v>0.08</v>
          </cell>
          <cell r="EX77">
            <v>0.08</v>
          </cell>
          <cell r="EY77">
            <v>0.08</v>
          </cell>
          <cell r="EZ77">
            <v>0.08</v>
          </cell>
          <cell r="FA77">
            <v>0.08</v>
          </cell>
          <cell r="FB77">
            <v>0.08</v>
          </cell>
          <cell r="FC77">
            <v>0.08</v>
          </cell>
          <cell r="FD77">
            <v>0.08</v>
          </cell>
          <cell r="FE77">
            <v>0.08</v>
          </cell>
          <cell r="FF77">
            <v>0.08</v>
          </cell>
          <cell r="FG77">
            <v>0.08</v>
          </cell>
        </row>
        <row r="78">
          <cell r="D78"/>
          <cell r="G78">
            <v>0.05</v>
          </cell>
          <cell r="H78">
            <v>0.05</v>
          </cell>
          <cell r="I78">
            <v>0.05</v>
          </cell>
          <cell r="J78">
            <v>0.05</v>
          </cell>
          <cell r="K78">
            <v>0.05</v>
          </cell>
          <cell r="L78">
            <v>0.05</v>
          </cell>
          <cell r="M78">
            <v>0.05</v>
          </cell>
          <cell r="N78">
            <v>0.05</v>
          </cell>
          <cell r="O78">
            <v>0.05</v>
          </cell>
          <cell r="P78">
            <v>0.05</v>
          </cell>
          <cell r="Q78">
            <v>0.05</v>
          </cell>
          <cell r="R78">
            <v>0.05</v>
          </cell>
          <cell r="U78">
            <v>0.5</v>
          </cell>
          <cell r="V78">
            <v>0</v>
          </cell>
          <cell r="W78">
            <v>0.5</v>
          </cell>
          <cell r="X78">
            <v>0.5</v>
          </cell>
          <cell r="Y78">
            <v>0</v>
          </cell>
          <cell r="Z78">
            <v>0.5</v>
          </cell>
          <cell r="AA78">
            <v>0.5</v>
          </cell>
          <cell r="AB78">
            <v>0</v>
          </cell>
          <cell r="AC78">
            <v>0.5</v>
          </cell>
          <cell r="AD78">
            <v>0.5</v>
          </cell>
          <cell r="AE78">
            <v>0</v>
          </cell>
          <cell r="AF78">
            <v>0.5</v>
          </cell>
          <cell r="AG78">
            <v>0.5</v>
          </cell>
          <cell r="AH78">
            <v>0</v>
          </cell>
          <cell r="AI78">
            <v>0.5</v>
          </cell>
          <cell r="AJ78">
            <v>0.5</v>
          </cell>
          <cell r="AK78">
            <v>0</v>
          </cell>
          <cell r="AL78">
            <v>0.5</v>
          </cell>
          <cell r="AM78">
            <v>0.5</v>
          </cell>
          <cell r="AN78">
            <v>0</v>
          </cell>
          <cell r="AO78">
            <v>0.5</v>
          </cell>
          <cell r="AP78">
            <v>0.5</v>
          </cell>
          <cell r="AQ78">
            <v>0</v>
          </cell>
          <cell r="AR78">
            <v>0.5</v>
          </cell>
          <cell r="AS78">
            <v>0.5</v>
          </cell>
          <cell r="AT78">
            <v>0</v>
          </cell>
          <cell r="AU78">
            <v>0.5</v>
          </cell>
          <cell r="AV78">
            <v>0.5</v>
          </cell>
          <cell r="AW78">
            <v>0</v>
          </cell>
          <cell r="AX78">
            <v>0.5</v>
          </cell>
          <cell r="AY78">
            <v>0.5</v>
          </cell>
          <cell r="AZ78">
            <v>0</v>
          </cell>
          <cell r="BA78">
            <v>0.5</v>
          </cell>
          <cell r="BB78">
            <v>0.5</v>
          </cell>
          <cell r="BC78">
            <v>0</v>
          </cell>
          <cell r="BD78">
            <v>0.5</v>
          </cell>
          <cell r="BG78">
            <v>6.0000000000000005E-2</v>
          </cell>
          <cell r="BH78">
            <v>7.9999999999999988E-2</v>
          </cell>
          <cell r="BI78">
            <v>9.9999999999999992E-2</v>
          </cell>
          <cell r="BJ78">
            <v>6.0000000000000005E-2</v>
          </cell>
          <cell r="BK78">
            <v>7.9999999999999988E-2</v>
          </cell>
          <cell r="BL78">
            <v>9.9999999999999992E-2</v>
          </cell>
          <cell r="BM78">
            <v>6.0000000000000005E-2</v>
          </cell>
          <cell r="BN78">
            <v>7.9999999999999988E-2</v>
          </cell>
          <cell r="BO78">
            <v>9.9999999999999992E-2</v>
          </cell>
          <cell r="BP78">
            <v>6.0000000000000005E-2</v>
          </cell>
          <cell r="BQ78">
            <v>7.9999999999999988E-2</v>
          </cell>
          <cell r="BR78">
            <v>9.9999999999999992E-2</v>
          </cell>
          <cell r="BS78">
            <v>6.0000000000000005E-2</v>
          </cell>
          <cell r="BT78">
            <v>7.9999999999999988E-2</v>
          </cell>
          <cell r="BU78">
            <v>9.9999999999999992E-2</v>
          </cell>
          <cell r="BV78">
            <v>6.0000000000000005E-2</v>
          </cell>
          <cell r="BW78">
            <v>7.9999999999999988E-2</v>
          </cell>
          <cell r="BX78">
            <v>9.9999999999999992E-2</v>
          </cell>
          <cell r="BY78">
            <v>6.0000000000000005E-2</v>
          </cell>
          <cell r="BZ78">
            <v>7.9999999999999988E-2</v>
          </cell>
          <cell r="CA78">
            <v>9.9999999999999992E-2</v>
          </cell>
          <cell r="CB78">
            <v>6.0000000000000005E-2</v>
          </cell>
          <cell r="CC78">
            <v>7.9999999999999988E-2</v>
          </cell>
          <cell r="CD78">
            <v>9.9999999999999992E-2</v>
          </cell>
          <cell r="CE78">
            <v>6.0000000000000005E-2</v>
          </cell>
          <cell r="CF78">
            <v>7.9999999999999988E-2</v>
          </cell>
          <cell r="CG78">
            <v>9.9999999999999992E-2</v>
          </cell>
          <cell r="CH78">
            <v>6.0000000000000005E-2</v>
          </cell>
          <cell r="CI78">
            <v>7.9999999999999988E-2</v>
          </cell>
          <cell r="CJ78">
            <v>9.9999999999999992E-2</v>
          </cell>
          <cell r="CK78">
            <v>6.0000000000000005E-2</v>
          </cell>
          <cell r="CL78">
            <v>7.9999999999999988E-2</v>
          </cell>
          <cell r="CM78">
            <v>9.9999999999999992E-2</v>
          </cell>
          <cell r="CN78">
            <v>6.0000000000000005E-2</v>
          </cell>
          <cell r="CO78">
            <v>7.9999999999999988E-2</v>
          </cell>
          <cell r="CP78">
            <v>9.9999999999999992E-2</v>
          </cell>
          <cell r="CQ78">
            <v>6.0000000000000005E-2</v>
          </cell>
          <cell r="CR78">
            <v>7.9999999999999988E-2</v>
          </cell>
          <cell r="CS78">
            <v>9.9999999999999992E-2</v>
          </cell>
          <cell r="CV78">
            <v>0.06</v>
          </cell>
          <cell r="CW78">
            <v>0.05</v>
          </cell>
          <cell r="CX78">
            <v>0.03</v>
          </cell>
          <cell r="CY78">
            <v>0.06</v>
          </cell>
          <cell r="CZ78">
            <v>0.05</v>
          </cell>
          <cell r="DA78">
            <v>0.03</v>
          </cell>
          <cell r="DB78">
            <v>0.06</v>
          </cell>
          <cell r="DC78">
            <v>0.05</v>
          </cell>
          <cell r="DD78">
            <v>0.03</v>
          </cell>
          <cell r="DE78">
            <v>0.06</v>
          </cell>
          <cell r="DF78">
            <v>0.05</v>
          </cell>
          <cell r="DG78">
            <v>0.03</v>
          </cell>
          <cell r="DH78">
            <v>0.06</v>
          </cell>
          <cell r="DI78">
            <v>0.05</v>
          </cell>
          <cell r="DJ78">
            <v>0.03</v>
          </cell>
          <cell r="DK78">
            <v>0.06</v>
          </cell>
          <cell r="DL78">
            <v>0.05</v>
          </cell>
          <cell r="DM78">
            <v>0.03</v>
          </cell>
          <cell r="DN78">
            <v>0.06</v>
          </cell>
          <cell r="DO78">
            <v>0.05</v>
          </cell>
          <cell r="DP78">
            <v>0.03</v>
          </cell>
          <cell r="DQ78">
            <v>0.06</v>
          </cell>
          <cell r="DR78">
            <v>0.05</v>
          </cell>
          <cell r="DS78">
            <v>0.03</v>
          </cell>
          <cell r="DT78">
            <v>0.06</v>
          </cell>
          <cell r="DU78">
            <v>0.05</v>
          </cell>
          <cell r="DV78">
            <v>0.03</v>
          </cell>
          <cell r="DW78">
            <v>0.06</v>
          </cell>
          <cell r="DX78">
            <v>0.05</v>
          </cell>
          <cell r="DY78">
            <v>0.03</v>
          </cell>
          <cell r="DZ78">
            <v>0.06</v>
          </cell>
          <cell r="EA78">
            <v>0.05</v>
          </cell>
          <cell r="EB78">
            <v>0.03</v>
          </cell>
          <cell r="EC78">
            <v>0.06</v>
          </cell>
          <cell r="ED78">
            <v>0.05</v>
          </cell>
          <cell r="EE78">
            <v>0.03</v>
          </cell>
          <cell r="EG78">
            <v>3.5000000000000003E-2</v>
          </cell>
          <cell r="EH78">
            <v>3.5000000000000003E-2</v>
          </cell>
          <cell r="EI78">
            <v>3.5000000000000003E-2</v>
          </cell>
          <cell r="EJ78">
            <v>3.5000000000000003E-2</v>
          </cell>
          <cell r="EK78">
            <v>3.5000000000000003E-2</v>
          </cell>
          <cell r="EL78">
            <v>3.5000000000000003E-2</v>
          </cell>
          <cell r="EM78">
            <v>3.5000000000000003E-2</v>
          </cell>
          <cell r="EN78">
            <v>3.5000000000000003E-2</v>
          </cell>
          <cell r="EO78">
            <v>3.5000000000000003E-2</v>
          </cell>
          <cell r="EP78">
            <v>3.5000000000000003E-2</v>
          </cell>
          <cell r="EQ78">
            <v>3.5000000000000003E-2</v>
          </cell>
          <cell r="ER78">
            <v>3.5000000000000003E-2</v>
          </cell>
          <cell r="ES78">
            <v>3.5000000000000003E-2</v>
          </cell>
          <cell r="EU78">
            <v>0.08</v>
          </cell>
          <cell r="EV78">
            <v>0.08</v>
          </cell>
          <cell r="EW78">
            <v>0.08</v>
          </cell>
          <cell r="EX78">
            <v>0.08</v>
          </cell>
          <cell r="EY78">
            <v>0.08</v>
          </cell>
          <cell r="EZ78">
            <v>0.08</v>
          </cell>
          <cell r="FA78">
            <v>0.08</v>
          </cell>
          <cell r="FB78">
            <v>0.08</v>
          </cell>
          <cell r="FC78">
            <v>0.08</v>
          </cell>
          <cell r="FD78">
            <v>0.08</v>
          </cell>
          <cell r="FE78">
            <v>0.08</v>
          </cell>
          <cell r="FF78">
            <v>0.08</v>
          </cell>
          <cell r="FG78">
            <v>0.08</v>
          </cell>
        </row>
        <row r="79">
          <cell r="C79" t="str">
            <v>MOKKA MCA EDITION 1.2T MT6</v>
          </cell>
          <cell r="D79" t="str">
            <v>Mokka MCA Edition Plus Gasolina 130HP MT</v>
          </cell>
          <cell r="G79">
            <v>0.05</v>
          </cell>
          <cell r="H79">
            <v>0.05</v>
          </cell>
          <cell r="I79">
            <v>0.05</v>
          </cell>
          <cell r="J79">
            <v>0.05</v>
          </cell>
          <cell r="K79">
            <v>0.05</v>
          </cell>
          <cell r="L79">
            <v>0.05</v>
          </cell>
          <cell r="M79">
            <v>0.05</v>
          </cell>
          <cell r="N79">
            <v>0.05</v>
          </cell>
          <cell r="O79">
            <v>0.05</v>
          </cell>
          <cell r="P79">
            <v>0.05</v>
          </cell>
          <cell r="Q79">
            <v>0.05</v>
          </cell>
          <cell r="R79">
            <v>0.05</v>
          </cell>
          <cell r="U79">
            <v>0.5</v>
          </cell>
          <cell r="V79">
            <v>0</v>
          </cell>
          <cell r="W79">
            <v>0.5</v>
          </cell>
          <cell r="X79">
            <v>0.5</v>
          </cell>
          <cell r="Y79">
            <v>0</v>
          </cell>
          <cell r="Z79">
            <v>0.5</v>
          </cell>
          <cell r="AA79">
            <v>0.5</v>
          </cell>
          <cell r="AB79">
            <v>0</v>
          </cell>
          <cell r="AC79">
            <v>0.5</v>
          </cell>
          <cell r="AD79">
            <v>0.5</v>
          </cell>
          <cell r="AE79">
            <v>0</v>
          </cell>
          <cell r="AF79">
            <v>0.5</v>
          </cell>
          <cell r="AG79">
            <v>0.5</v>
          </cell>
          <cell r="AH79">
            <v>0</v>
          </cell>
          <cell r="AI79">
            <v>0.5</v>
          </cell>
          <cell r="AJ79">
            <v>0.5</v>
          </cell>
          <cell r="AK79">
            <v>0</v>
          </cell>
          <cell r="AL79">
            <v>0.5</v>
          </cell>
          <cell r="AM79">
            <v>0.5</v>
          </cell>
          <cell r="AN79">
            <v>0</v>
          </cell>
          <cell r="AO79">
            <v>0.5</v>
          </cell>
          <cell r="AP79">
            <v>0.5</v>
          </cell>
          <cell r="AQ79">
            <v>0</v>
          </cell>
          <cell r="AR79">
            <v>0.5</v>
          </cell>
          <cell r="AS79">
            <v>0.5</v>
          </cell>
          <cell r="AT79">
            <v>0</v>
          </cell>
          <cell r="AU79">
            <v>0.5</v>
          </cell>
          <cell r="AV79">
            <v>0.5</v>
          </cell>
          <cell r="AW79">
            <v>0</v>
          </cell>
          <cell r="AX79">
            <v>0.5</v>
          </cell>
          <cell r="AY79">
            <v>0.5</v>
          </cell>
          <cell r="AZ79">
            <v>0</v>
          </cell>
          <cell r="BA79">
            <v>0.5</v>
          </cell>
          <cell r="BB79">
            <v>0.5</v>
          </cell>
          <cell r="BC79">
            <v>0</v>
          </cell>
          <cell r="BD79">
            <v>0.5</v>
          </cell>
          <cell r="BG79">
            <v>6.0000000000000005E-2</v>
          </cell>
          <cell r="BH79">
            <v>7.9999999999999988E-2</v>
          </cell>
          <cell r="BI79">
            <v>9.9999999999999992E-2</v>
          </cell>
          <cell r="BJ79">
            <v>6.0000000000000005E-2</v>
          </cell>
          <cell r="BK79">
            <v>7.9999999999999988E-2</v>
          </cell>
          <cell r="BL79">
            <v>9.9999999999999992E-2</v>
          </cell>
          <cell r="BM79">
            <v>6.0000000000000005E-2</v>
          </cell>
          <cell r="BN79">
            <v>7.9999999999999988E-2</v>
          </cell>
          <cell r="BO79">
            <v>9.9999999999999992E-2</v>
          </cell>
          <cell r="BP79">
            <v>6.0000000000000005E-2</v>
          </cell>
          <cell r="BQ79">
            <v>7.9999999999999988E-2</v>
          </cell>
          <cell r="BR79">
            <v>9.9999999999999992E-2</v>
          </cell>
          <cell r="BS79">
            <v>6.0000000000000005E-2</v>
          </cell>
          <cell r="BT79">
            <v>7.9999999999999988E-2</v>
          </cell>
          <cell r="BU79">
            <v>9.9999999999999992E-2</v>
          </cell>
          <cell r="BV79">
            <v>6.0000000000000005E-2</v>
          </cell>
          <cell r="BW79">
            <v>7.9999999999999988E-2</v>
          </cell>
          <cell r="BX79">
            <v>9.9999999999999992E-2</v>
          </cell>
          <cell r="BY79">
            <v>6.0000000000000005E-2</v>
          </cell>
          <cell r="BZ79">
            <v>7.9999999999999988E-2</v>
          </cell>
          <cell r="CA79">
            <v>9.9999999999999992E-2</v>
          </cell>
          <cell r="CB79">
            <v>6.0000000000000005E-2</v>
          </cell>
          <cell r="CC79">
            <v>7.9999999999999988E-2</v>
          </cell>
          <cell r="CD79">
            <v>9.9999999999999992E-2</v>
          </cell>
          <cell r="CE79">
            <v>6.0000000000000005E-2</v>
          </cell>
          <cell r="CF79">
            <v>7.9999999999999988E-2</v>
          </cell>
          <cell r="CG79">
            <v>9.9999999999999992E-2</v>
          </cell>
          <cell r="CH79">
            <v>6.0000000000000005E-2</v>
          </cell>
          <cell r="CI79">
            <v>7.9999999999999988E-2</v>
          </cell>
          <cell r="CJ79">
            <v>9.9999999999999992E-2</v>
          </cell>
          <cell r="CK79">
            <v>6.0000000000000005E-2</v>
          </cell>
          <cell r="CL79">
            <v>7.9999999999999988E-2</v>
          </cell>
          <cell r="CM79">
            <v>9.9999999999999992E-2</v>
          </cell>
          <cell r="CN79">
            <v>6.0000000000000005E-2</v>
          </cell>
          <cell r="CO79">
            <v>7.9999999999999988E-2</v>
          </cell>
          <cell r="CP79">
            <v>9.9999999999999992E-2</v>
          </cell>
          <cell r="CQ79">
            <v>6.0000000000000005E-2</v>
          </cell>
          <cell r="CR79">
            <v>7.9999999999999988E-2</v>
          </cell>
          <cell r="CS79">
            <v>9.9999999999999992E-2</v>
          </cell>
          <cell r="CV79">
            <v>0.06</v>
          </cell>
          <cell r="CW79">
            <v>0.05</v>
          </cell>
          <cell r="CX79">
            <v>0.03</v>
          </cell>
          <cell r="CY79">
            <v>0.06</v>
          </cell>
          <cell r="CZ79">
            <v>0.05</v>
          </cell>
          <cell r="DA79">
            <v>0.03</v>
          </cell>
          <cell r="DB79">
            <v>0.06</v>
          </cell>
          <cell r="DC79">
            <v>0.05</v>
          </cell>
          <cell r="DD79">
            <v>0.03</v>
          </cell>
          <cell r="DE79">
            <v>0.06</v>
          </cell>
          <cell r="DF79">
            <v>0.05</v>
          </cell>
          <cell r="DG79">
            <v>0.03</v>
          </cell>
          <cell r="DH79">
            <v>0.06</v>
          </cell>
          <cell r="DI79">
            <v>0.05</v>
          </cell>
          <cell r="DJ79">
            <v>0.03</v>
          </cell>
          <cell r="DK79">
            <v>0.06</v>
          </cell>
          <cell r="DL79">
            <v>0.05</v>
          </cell>
          <cell r="DM79">
            <v>0.03</v>
          </cell>
          <cell r="DN79">
            <v>0.06</v>
          </cell>
          <cell r="DO79">
            <v>0.05</v>
          </cell>
          <cell r="DP79">
            <v>0.03</v>
          </cell>
          <cell r="DQ79">
            <v>0.06</v>
          </cell>
          <cell r="DR79">
            <v>0.05</v>
          </cell>
          <cell r="DS79">
            <v>0.03</v>
          </cell>
          <cell r="DT79">
            <v>0.06</v>
          </cell>
          <cell r="DU79">
            <v>0.05</v>
          </cell>
          <cell r="DV79">
            <v>0.03</v>
          </cell>
          <cell r="DW79">
            <v>0.06</v>
          </cell>
          <cell r="DX79">
            <v>0.05</v>
          </cell>
          <cell r="DY79">
            <v>0.03</v>
          </cell>
          <cell r="DZ79">
            <v>0.06</v>
          </cell>
          <cell r="EA79">
            <v>0.05</v>
          </cell>
          <cell r="EB79">
            <v>0.03</v>
          </cell>
          <cell r="EC79">
            <v>0.06</v>
          </cell>
          <cell r="ED79">
            <v>0.05</v>
          </cell>
          <cell r="EE79">
            <v>0.03</v>
          </cell>
          <cell r="EG79">
            <v>3.5000000000000003E-2</v>
          </cell>
          <cell r="EH79">
            <v>3.5000000000000003E-2</v>
          </cell>
          <cell r="EI79">
            <v>3.5000000000000003E-2</v>
          </cell>
          <cell r="EJ79">
            <v>3.5000000000000003E-2</v>
          </cell>
          <cell r="EK79">
            <v>3.5000000000000003E-2</v>
          </cell>
          <cell r="EL79">
            <v>3.5000000000000003E-2</v>
          </cell>
          <cell r="EM79">
            <v>3.5000000000000003E-2</v>
          </cell>
          <cell r="EN79">
            <v>3.5000000000000003E-2</v>
          </cell>
          <cell r="EO79">
            <v>3.5000000000000003E-2</v>
          </cell>
          <cell r="EP79">
            <v>3.5000000000000003E-2</v>
          </cell>
          <cell r="EQ79">
            <v>3.5000000000000003E-2</v>
          </cell>
          <cell r="ER79">
            <v>3.5000000000000003E-2</v>
          </cell>
          <cell r="ES79">
            <v>3.5000000000000003E-2</v>
          </cell>
          <cell r="EU79">
            <v>0.08</v>
          </cell>
          <cell r="EV79">
            <v>0.08</v>
          </cell>
          <cell r="EW79">
            <v>0.08</v>
          </cell>
          <cell r="EX79">
            <v>0.08</v>
          </cell>
          <cell r="EY79">
            <v>0.08</v>
          </cell>
          <cell r="EZ79">
            <v>0.08</v>
          </cell>
          <cell r="FA79">
            <v>0.08</v>
          </cell>
          <cell r="FB79">
            <v>0.08</v>
          </cell>
          <cell r="FC79">
            <v>0.08</v>
          </cell>
          <cell r="FD79">
            <v>0.08</v>
          </cell>
          <cell r="FE79">
            <v>0.08</v>
          </cell>
          <cell r="FF79">
            <v>0.08</v>
          </cell>
          <cell r="FG79">
            <v>0.08</v>
          </cell>
        </row>
        <row r="80">
          <cell r="C80" t="str">
            <v>MOKKA MCA EDITION 1.2T AT8</v>
          </cell>
          <cell r="D80" t="str">
            <v>Mokka MCA Edition Gasolina 130HP AT</v>
          </cell>
          <cell r="G80">
            <v>0.05</v>
          </cell>
          <cell r="H80">
            <v>0.05</v>
          </cell>
          <cell r="I80">
            <v>0.05</v>
          </cell>
          <cell r="J80">
            <v>0.05</v>
          </cell>
          <cell r="K80">
            <v>0.05</v>
          </cell>
          <cell r="L80">
            <v>0.05</v>
          </cell>
          <cell r="M80">
            <v>0.05</v>
          </cell>
          <cell r="N80">
            <v>0.05</v>
          </cell>
          <cell r="O80">
            <v>0.05</v>
          </cell>
          <cell r="P80">
            <v>0.05</v>
          </cell>
          <cell r="Q80">
            <v>0.05</v>
          </cell>
          <cell r="R80">
            <v>0.05</v>
          </cell>
          <cell r="U80">
            <v>0.5</v>
          </cell>
          <cell r="V80">
            <v>0</v>
          </cell>
          <cell r="W80">
            <v>0.5</v>
          </cell>
          <cell r="X80">
            <v>0.5</v>
          </cell>
          <cell r="Y80">
            <v>0</v>
          </cell>
          <cell r="Z80">
            <v>0.5</v>
          </cell>
          <cell r="AA80">
            <v>0.5</v>
          </cell>
          <cell r="AB80">
            <v>0</v>
          </cell>
          <cell r="AC80">
            <v>0.5</v>
          </cell>
          <cell r="AD80">
            <v>0.5</v>
          </cell>
          <cell r="AE80">
            <v>0</v>
          </cell>
          <cell r="AF80">
            <v>0.5</v>
          </cell>
          <cell r="AG80">
            <v>0.5</v>
          </cell>
          <cell r="AH80">
            <v>0</v>
          </cell>
          <cell r="AI80">
            <v>0.5</v>
          </cell>
          <cell r="AJ80">
            <v>0.5</v>
          </cell>
          <cell r="AK80">
            <v>0</v>
          </cell>
          <cell r="AL80">
            <v>0.5</v>
          </cell>
          <cell r="AM80">
            <v>0.5</v>
          </cell>
          <cell r="AN80">
            <v>0</v>
          </cell>
          <cell r="AO80">
            <v>0.5</v>
          </cell>
          <cell r="AP80">
            <v>0.5</v>
          </cell>
          <cell r="AQ80">
            <v>0</v>
          </cell>
          <cell r="AR80">
            <v>0.5</v>
          </cell>
          <cell r="AS80">
            <v>0.5</v>
          </cell>
          <cell r="AT80">
            <v>0</v>
          </cell>
          <cell r="AU80">
            <v>0.5</v>
          </cell>
          <cell r="AV80">
            <v>0.5</v>
          </cell>
          <cell r="AW80">
            <v>0</v>
          </cell>
          <cell r="AX80">
            <v>0.5</v>
          </cell>
          <cell r="AY80">
            <v>0.5</v>
          </cell>
          <cell r="AZ80">
            <v>0</v>
          </cell>
          <cell r="BA80">
            <v>0.5</v>
          </cell>
          <cell r="BB80">
            <v>0.5</v>
          </cell>
          <cell r="BC80">
            <v>0</v>
          </cell>
          <cell r="BD80">
            <v>0.5</v>
          </cell>
          <cell r="BG80">
            <v>6.0000000000000005E-2</v>
          </cell>
          <cell r="BH80">
            <v>7.9999999999999988E-2</v>
          </cell>
          <cell r="BI80">
            <v>9.9999999999999992E-2</v>
          </cell>
          <cell r="BJ80">
            <v>6.0000000000000005E-2</v>
          </cell>
          <cell r="BK80">
            <v>7.9999999999999988E-2</v>
          </cell>
          <cell r="BL80">
            <v>9.9999999999999992E-2</v>
          </cell>
          <cell r="BM80">
            <v>6.0000000000000005E-2</v>
          </cell>
          <cell r="BN80">
            <v>7.9999999999999988E-2</v>
          </cell>
          <cell r="BO80">
            <v>9.9999999999999992E-2</v>
          </cell>
          <cell r="BP80">
            <v>6.0000000000000005E-2</v>
          </cell>
          <cell r="BQ80">
            <v>7.9999999999999988E-2</v>
          </cell>
          <cell r="BR80">
            <v>9.9999999999999992E-2</v>
          </cell>
          <cell r="BS80">
            <v>6.0000000000000005E-2</v>
          </cell>
          <cell r="BT80">
            <v>7.9999999999999988E-2</v>
          </cell>
          <cell r="BU80">
            <v>9.9999999999999992E-2</v>
          </cell>
          <cell r="BV80">
            <v>6.0000000000000005E-2</v>
          </cell>
          <cell r="BW80">
            <v>7.9999999999999988E-2</v>
          </cell>
          <cell r="BX80">
            <v>9.9999999999999992E-2</v>
          </cell>
          <cell r="BY80">
            <v>6.0000000000000005E-2</v>
          </cell>
          <cell r="BZ80">
            <v>7.9999999999999988E-2</v>
          </cell>
          <cell r="CA80">
            <v>9.9999999999999992E-2</v>
          </cell>
          <cell r="CB80">
            <v>6.0000000000000005E-2</v>
          </cell>
          <cell r="CC80">
            <v>7.9999999999999988E-2</v>
          </cell>
          <cell r="CD80">
            <v>9.9999999999999992E-2</v>
          </cell>
          <cell r="CE80">
            <v>6.0000000000000005E-2</v>
          </cell>
          <cell r="CF80">
            <v>7.9999999999999988E-2</v>
          </cell>
          <cell r="CG80">
            <v>9.9999999999999992E-2</v>
          </cell>
          <cell r="CH80">
            <v>6.0000000000000005E-2</v>
          </cell>
          <cell r="CI80">
            <v>7.9999999999999988E-2</v>
          </cell>
          <cell r="CJ80">
            <v>9.9999999999999992E-2</v>
          </cell>
          <cell r="CK80">
            <v>6.0000000000000005E-2</v>
          </cell>
          <cell r="CL80">
            <v>7.9999999999999988E-2</v>
          </cell>
          <cell r="CM80">
            <v>9.9999999999999992E-2</v>
          </cell>
          <cell r="CN80">
            <v>6.0000000000000005E-2</v>
          </cell>
          <cell r="CO80">
            <v>7.9999999999999988E-2</v>
          </cell>
          <cell r="CP80">
            <v>9.9999999999999992E-2</v>
          </cell>
          <cell r="CQ80">
            <v>6.0000000000000005E-2</v>
          </cell>
          <cell r="CR80">
            <v>7.9999999999999988E-2</v>
          </cell>
          <cell r="CS80">
            <v>9.9999999999999992E-2</v>
          </cell>
          <cell r="CV80">
            <v>0.06</v>
          </cell>
          <cell r="CW80">
            <v>0.05</v>
          </cell>
          <cell r="CX80">
            <v>0.03</v>
          </cell>
          <cell r="CY80">
            <v>0.06</v>
          </cell>
          <cell r="CZ80">
            <v>0.05</v>
          </cell>
          <cell r="DA80">
            <v>0.03</v>
          </cell>
          <cell r="DB80">
            <v>0.06</v>
          </cell>
          <cell r="DC80">
            <v>0.05</v>
          </cell>
          <cell r="DD80">
            <v>0.03</v>
          </cell>
          <cell r="DE80">
            <v>0.06</v>
          </cell>
          <cell r="DF80">
            <v>0.05</v>
          </cell>
          <cell r="DG80">
            <v>0.03</v>
          </cell>
          <cell r="DH80">
            <v>0.06</v>
          </cell>
          <cell r="DI80">
            <v>0.05</v>
          </cell>
          <cell r="DJ80">
            <v>0.03</v>
          </cell>
          <cell r="DK80">
            <v>0.06</v>
          </cell>
          <cell r="DL80">
            <v>0.05</v>
          </cell>
          <cell r="DM80">
            <v>0.03</v>
          </cell>
          <cell r="DN80">
            <v>0.06</v>
          </cell>
          <cell r="DO80">
            <v>0.05</v>
          </cell>
          <cell r="DP80">
            <v>0.03</v>
          </cell>
          <cell r="DQ80">
            <v>0.06</v>
          </cell>
          <cell r="DR80">
            <v>0.05</v>
          </cell>
          <cell r="DS80">
            <v>0.03</v>
          </cell>
          <cell r="DT80">
            <v>0.06</v>
          </cell>
          <cell r="DU80">
            <v>0.05</v>
          </cell>
          <cell r="DV80">
            <v>0.03</v>
          </cell>
          <cell r="DW80">
            <v>0.06</v>
          </cell>
          <cell r="DX80">
            <v>0.05</v>
          </cell>
          <cell r="DY80">
            <v>0.03</v>
          </cell>
          <cell r="DZ80">
            <v>0.06</v>
          </cell>
          <cell r="EA80">
            <v>0.05</v>
          </cell>
          <cell r="EB80">
            <v>0.03</v>
          </cell>
          <cell r="EC80">
            <v>0.06</v>
          </cell>
          <cell r="ED80">
            <v>0.05</v>
          </cell>
          <cell r="EE80">
            <v>0.03</v>
          </cell>
          <cell r="EG80">
            <v>3.5000000000000003E-2</v>
          </cell>
          <cell r="EH80">
            <v>3.5000000000000003E-2</v>
          </cell>
          <cell r="EI80">
            <v>3.5000000000000003E-2</v>
          </cell>
          <cell r="EJ80">
            <v>3.5000000000000003E-2</v>
          </cell>
          <cell r="EK80">
            <v>3.5000000000000003E-2</v>
          </cell>
          <cell r="EL80">
            <v>3.5000000000000003E-2</v>
          </cell>
          <cell r="EM80">
            <v>3.5000000000000003E-2</v>
          </cell>
          <cell r="EN80">
            <v>3.5000000000000003E-2</v>
          </cell>
          <cell r="EO80">
            <v>3.5000000000000003E-2</v>
          </cell>
          <cell r="EP80">
            <v>3.5000000000000003E-2</v>
          </cell>
          <cell r="EQ80">
            <v>3.5000000000000003E-2</v>
          </cell>
          <cell r="ER80">
            <v>3.5000000000000003E-2</v>
          </cell>
          <cell r="ES80">
            <v>3.5000000000000003E-2</v>
          </cell>
          <cell r="EU80">
            <v>0.08</v>
          </cell>
          <cell r="EV80">
            <v>0.08</v>
          </cell>
          <cell r="EW80">
            <v>0.08</v>
          </cell>
          <cell r="EX80">
            <v>0.08</v>
          </cell>
          <cell r="EY80">
            <v>0.08</v>
          </cell>
          <cell r="EZ80">
            <v>0.08</v>
          </cell>
          <cell r="FA80">
            <v>0.08</v>
          </cell>
          <cell r="FB80">
            <v>0.08</v>
          </cell>
          <cell r="FC80">
            <v>0.08</v>
          </cell>
          <cell r="FD80">
            <v>0.08</v>
          </cell>
          <cell r="FE80">
            <v>0.08</v>
          </cell>
          <cell r="FF80">
            <v>0.08</v>
          </cell>
          <cell r="FG80">
            <v>0.08</v>
          </cell>
        </row>
        <row r="81">
          <cell r="C81" t="str">
            <v>MOKKA MCA EDITION PLUS 1.2T AT8</v>
          </cell>
          <cell r="D81" t="str">
            <v>Mokka MCA Edition Plus Gasolina 130HP AT</v>
          </cell>
          <cell r="G81">
            <v>0.05</v>
          </cell>
          <cell r="H81">
            <v>0.05</v>
          </cell>
          <cell r="I81">
            <v>0.05</v>
          </cell>
          <cell r="J81">
            <v>0.05</v>
          </cell>
          <cell r="K81">
            <v>0.05</v>
          </cell>
          <cell r="L81">
            <v>0.05</v>
          </cell>
          <cell r="M81">
            <v>0.05</v>
          </cell>
          <cell r="N81">
            <v>0.05</v>
          </cell>
          <cell r="O81">
            <v>0.05</v>
          </cell>
          <cell r="P81">
            <v>0.05</v>
          </cell>
          <cell r="Q81">
            <v>0.05</v>
          </cell>
          <cell r="R81">
            <v>0.05</v>
          </cell>
          <cell r="U81">
            <v>0.5</v>
          </cell>
          <cell r="V81">
            <v>0</v>
          </cell>
          <cell r="W81">
            <v>0.5</v>
          </cell>
          <cell r="X81">
            <v>0.5</v>
          </cell>
          <cell r="Y81">
            <v>0</v>
          </cell>
          <cell r="Z81">
            <v>0.5</v>
          </cell>
          <cell r="AA81">
            <v>0.5</v>
          </cell>
          <cell r="AB81">
            <v>0</v>
          </cell>
          <cell r="AC81">
            <v>0.5</v>
          </cell>
          <cell r="AD81">
            <v>0.5</v>
          </cell>
          <cell r="AE81">
            <v>0</v>
          </cell>
          <cell r="AF81">
            <v>0.5</v>
          </cell>
          <cell r="AG81">
            <v>0.5</v>
          </cell>
          <cell r="AH81">
            <v>0</v>
          </cell>
          <cell r="AI81">
            <v>0.5</v>
          </cell>
          <cell r="AJ81">
            <v>0.5</v>
          </cell>
          <cell r="AK81">
            <v>0</v>
          </cell>
          <cell r="AL81">
            <v>0.5</v>
          </cell>
          <cell r="AM81">
            <v>0.5</v>
          </cell>
          <cell r="AN81">
            <v>0</v>
          </cell>
          <cell r="AO81">
            <v>0.5</v>
          </cell>
          <cell r="AP81">
            <v>0.5</v>
          </cell>
          <cell r="AQ81">
            <v>0</v>
          </cell>
          <cell r="AR81">
            <v>0.5</v>
          </cell>
          <cell r="AS81">
            <v>0.5</v>
          </cell>
          <cell r="AT81">
            <v>0</v>
          </cell>
          <cell r="AU81">
            <v>0.5</v>
          </cell>
          <cell r="AV81">
            <v>0.5</v>
          </cell>
          <cell r="AW81">
            <v>0</v>
          </cell>
          <cell r="AX81">
            <v>0.5</v>
          </cell>
          <cell r="AY81">
            <v>0.5</v>
          </cell>
          <cell r="AZ81">
            <v>0</v>
          </cell>
          <cell r="BA81">
            <v>0.5</v>
          </cell>
          <cell r="BB81">
            <v>0.5</v>
          </cell>
          <cell r="BC81">
            <v>0</v>
          </cell>
          <cell r="BD81">
            <v>0.5</v>
          </cell>
          <cell r="BG81">
            <v>6.0000000000000005E-2</v>
          </cell>
          <cell r="BH81">
            <v>7.9999999999999988E-2</v>
          </cell>
          <cell r="BI81">
            <v>9.9999999999999992E-2</v>
          </cell>
          <cell r="BJ81">
            <v>6.0000000000000005E-2</v>
          </cell>
          <cell r="BK81">
            <v>7.9999999999999988E-2</v>
          </cell>
          <cell r="BL81">
            <v>9.9999999999999992E-2</v>
          </cell>
          <cell r="BM81">
            <v>6.0000000000000005E-2</v>
          </cell>
          <cell r="BN81">
            <v>7.9999999999999988E-2</v>
          </cell>
          <cell r="BO81">
            <v>9.9999999999999992E-2</v>
          </cell>
          <cell r="BP81">
            <v>6.0000000000000005E-2</v>
          </cell>
          <cell r="BQ81">
            <v>7.9999999999999988E-2</v>
          </cell>
          <cell r="BR81">
            <v>9.9999999999999992E-2</v>
          </cell>
          <cell r="BS81">
            <v>6.0000000000000005E-2</v>
          </cell>
          <cell r="BT81">
            <v>7.9999999999999988E-2</v>
          </cell>
          <cell r="BU81">
            <v>9.9999999999999992E-2</v>
          </cell>
          <cell r="BV81">
            <v>6.0000000000000005E-2</v>
          </cell>
          <cell r="BW81">
            <v>7.9999999999999988E-2</v>
          </cell>
          <cell r="BX81">
            <v>9.9999999999999992E-2</v>
          </cell>
          <cell r="BY81">
            <v>6.0000000000000005E-2</v>
          </cell>
          <cell r="BZ81">
            <v>7.9999999999999988E-2</v>
          </cell>
          <cell r="CA81">
            <v>9.9999999999999992E-2</v>
          </cell>
          <cell r="CB81">
            <v>6.0000000000000005E-2</v>
          </cell>
          <cell r="CC81">
            <v>7.9999999999999988E-2</v>
          </cell>
          <cell r="CD81">
            <v>9.9999999999999992E-2</v>
          </cell>
          <cell r="CE81">
            <v>6.0000000000000005E-2</v>
          </cell>
          <cell r="CF81">
            <v>7.9999999999999988E-2</v>
          </cell>
          <cell r="CG81">
            <v>9.9999999999999992E-2</v>
          </cell>
          <cell r="CH81">
            <v>6.0000000000000005E-2</v>
          </cell>
          <cell r="CI81">
            <v>7.9999999999999988E-2</v>
          </cell>
          <cell r="CJ81">
            <v>9.9999999999999992E-2</v>
          </cell>
          <cell r="CK81">
            <v>6.0000000000000005E-2</v>
          </cell>
          <cell r="CL81">
            <v>7.9999999999999988E-2</v>
          </cell>
          <cell r="CM81">
            <v>9.9999999999999992E-2</v>
          </cell>
          <cell r="CN81">
            <v>6.0000000000000005E-2</v>
          </cell>
          <cell r="CO81">
            <v>7.9999999999999988E-2</v>
          </cell>
          <cell r="CP81">
            <v>9.9999999999999992E-2</v>
          </cell>
          <cell r="CQ81">
            <v>6.0000000000000005E-2</v>
          </cell>
          <cell r="CR81">
            <v>7.9999999999999988E-2</v>
          </cell>
          <cell r="CS81">
            <v>9.9999999999999992E-2</v>
          </cell>
          <cell r="CV81">
            <v>0.06</v>
          </cell>
          <cell r="CW81">
            <v>0.05</v>
          </cell>
          <cell r="CX81">
            <v>0.03</v>
          </cell>
          <cell r="CY81">
            <v>0.06</v>
          </cell>
          <cell r="CZ81">
            <v>0.05</v>
          </cell>
          <cell r="DA81">
            <v>0.03</v>
          </cell>
          <cell r="DB81">
            <v>0.06</v>
          </cell>
          <cell r="DC81">
            <v>0.05</v>
          </cell>
          <cell r="DD81">
            <v>0.03</v>
          </cell>
          <cell r="DE81">
            <v>0.06</v>
          </cell>
          <cell r="DF81">
            <v>0.05</v>
          </cell>
          <cell r="DG81">
            <v>0.03</v>
          </cell>
          <cell r="DH81">
            <v>0.06</v>
          </cell>
          <cell r="DI81">
            <v>0.05</v>
          </cell>
          <cell r="DJ81">
            <v>0.03</v>
          </cell>
          <cell r="DK81">
            <v>0.06</v>
          </cell>
          <cell r="DL81">
            <v>0.05</v>
          </cell>
          <cell r="DM81">
            <v>0.03</v>
          </cell>
          <cell r="DN81">
            <v>0.06</v>
          </cell>
          <cell r="DO81">
            <v>0.05</v>
          </cell>
          <cell r="DP81">
            <v>0.03</v>
          </cell>
          <cell r="DQ81">
            <v>0.06</v>
          </cell>
          <cell r="DR81">
            <v>0.05</v>
          </cell>
          <cell r="DS81">
            <v>0.03</v>
          </cell>
          <cell r="DT81">
            <v>0.06</v>
          </cell>
          <cell r="DU81">
            <v>0.05</v>
          </cell>
          <cell r="DV81">
            <v>0.03</v>
          </cell>
          <cell r="DW81">
            <v>0.06</v>
          </cell>
          <cell r="DX81">
            <v>0.05</v>
          </cell>
          <cell r="DY81">
            <v>0.03</v>
          </cell>
          <cell r="DZ81">
            <v>0.06</v>
          </cell>
          <cell r="EA81">
            <v>0.05</v>
          </cell>
          <cell r="EB81">
            <v>0.03</v>
          </cell>
          <cell r="EC81">
            <v>0.06</v>
          </cell>
          <cell r="ED81">
            <v>0.05</v>
          </cell>
          <cell r="EE81">
            <v>0.03</v>
          </cell>
          <cell r="EG81">
            <v>3.5000000000000003E-2</v>
          </cell>
          <cell r="EH81">
            <v>3.5000000000000003E-2</v>
          </cell>
          <cell r="EI81">
            <v>3.5000000000000003E-2</v>
          </cell>
          <cell r="EJ81">
            <v>3.5000000000000003E-2</v>
          </cell>
          <cell r="EK81">
            <v>3.5000000000000003E-2</v>
          </cell>
          <cell r="EL81">
            <v>3.5000000000000003E-2</v>
          </cell>
          <cell r="EM81">
            <v>3.5000000000000003E-2</v>
          </cell>
          <cell r="EN81">
            <v>3.5000000000000003E-2</v>
          </cell>
          <cell r="EO81">
            <v>3.5000000000000003E-2</v>
          </cell>
          <cell r="EP81">
            <v>3.5000000000000003E-2</v>
          </cell>
          <cell r="EQ81">
            <v>3.5000000000000003E-2</v>
          </cell>
          <cell r="ER81">
            <v>3.5000000000000003E-2</v>
          </cell>
          <cell r="ES81">
            <v>3.5000000000000003E-2</v>
          </cell>
          <cell r="EU81">
            <v>0.08</v>
          </cell>
          <cell r="EV81">
            <v>0.08</v>
          </cell>
          <cell r="EW81">
            <v>0.08</v>
          </cell>
          <cell r="EX81">
            <v>0.08</v>
          </cell>
          <cell r="EY81">
            <v>0.08</v>
          </cell>
          <cell r="EZ81">
            <v>0.08</v>
          </cell>
          <cell r="FA81">
            <v>0.08</v>
          </cell>
          <cell r="FB81">
            <v>0.08</v>
          </cell>
          <cell r="FC81">
            <v>0.08</v>
          </cell>
          <cell r="FD81">
            <v>0.08</v>
          </cell>
          <cell r="FE81">
            <v>0.08</v>
          </cell>
          <cell r="FF81">
            <v>0.08</v>
          </cell>
          <cell r="FG81">
            <v>0.08</v>
          </cell>
        </row>
        <row r="82">
          <cell r="C82" t="str">
            <v>MOKKA MCA GS 1.2T AT8</v>
          </cell>
          <cell r="D82" t="str">
            <v>Mokka MCA GS Plus Gasolina 130HP AT</v>
          </cell>
          <cell r="G82">
            <v>0.05</v>
          </cell>
          <cell r="H82">
            <v>0.05</v>
          </cell>
          <cell r="I82">
            <v>0.05</v>
          </cell>
          <cell r="J82">
            <v>0.05</v>
          </cell>
          <cell r="K82">
            <v>0.05</v>
          </cell>
          <cell r="L82">
            <v>0.05</v>
          </cell>
          <cell r="M82">
            <v>0.05</v>
          </cell>
          <cell r="N82">
            <v>0.05</v>
          </cell>
          <cell r="O82">
            <v>0.05</v>
          </cell>
          <cell r="P82">
            <v>0.05</v>
          </cell>
          <cell r="Q82">
            <v>0.05</v>
          </cell>
          <cell r="R82">
            <v>0.05</v>
          </cell>
          <cell r="U82">
            <v>0.5</v>
          </cell>
          <cell r="V82">
            <v>0</v>
          </cell>
          <cell r="W82">
            <v>0.5</v>
          </cell>
          <cell r="X82">
            <v>0.5</v>
          </cell>
          <cell r="Y82">
            <v>0</v>
          </cell>
          <cell r="Z82">
            <v>0.5</v>
          </cell>
          <cell r="AA82">
            <v>0.5</v>
          </cell>
          <cell r="AB82">
            <v>0</v>
          </cell>
          <cell r="AC82">
            <v>0.5</v>
          </cell>
          <cell r="AD82">
            <v>0.5</v>
          </cell>
          <cell r="AE82">
            <v>0</v>
          </cell>
          <cell r="AF82">
            <v>0.5</v>
          </cell>
          <cell r="AG82">
            <v>0.5</v>
          </cell>
          <cell r="AH82">
            <v>0</v>
          </cell>
          <cell r="AI82">
            <v>0.5</v>
          </cell>
          <cell r="AJ82">
            <v>0.5</v>
          </cell>
          <cell r="AK82">
            <v>0</v>
          </cell>
          <cell r="AL82">
            <v>0.5</v>
          </cell>
          <cell r="AM82">
            <v>0.5</v>
          </cell>
          <cell r="AN82">
            <v>0</v>
          </cell>
          <cell r="AO82">
            <v>0.5</v>
          </cell>
          <cell r="AP82">
            <v>0.5</v>
          </cell>
          <cell r="AQ82">
            <v>0</v>
          </cell>
          <cell r="AR82">
            <v>0.5</v>
          </cell>
          <cell r="AS82">
            <v>0.5</v>
          </cell>
          <cell r="AT82">
            <v>0</v>
          </cell>
          <cell r="AU82">
            <v>0.5</v>
          </cell>
          <cell r="AV82">
            <v>0.5</v>
          </cell>
          <cell r="AW82">
            <v>0</v>
          </cell>
          <cell r="AX82">
            <v>0.5</v>
          </cell>
          <cell r="AY82">
            <v>0.5</v>
          </cell>
          <cell r="AZ82">
            <v>0</v>
          </cell>
          <cell r="BA82">
            <v>0.5</v>
          </cell>
          <cell r="BB82">
            <v>0.5</v>
          </cell>
          <cell r="BC82">
            <v>0</v>
          </cell>
          <cell r="BD82">
            <v>0.5</v>
          </cell>
          <cell r="BG82">
            <v>6.0000000000000005E-2</v>
          </cell>
          <cell r="BH82">
            <v>7.9999999999999988E-2</v>
          </cell>
          <cell r="BI82">
            <v>9.9999999999999992E-2</v>
          </cell>
          <cell r="BJ82">
            <v>6.0000000000000005E-2</v>
          </cell>
          <cell r="BK82">
            <v>7.9999999999999988E-2</v>
          </cell>
          <cell r="BL82">
            <v>9.9999999999999992E-2</v>
          </cell>
          <cell r="BM82">
            <v>6.0000000000000005E-2</v>
          </cell>
          <cell r="BN82">
            <v>7.9999999999999988E-2</v>
          </cell>
          <cell r="BO82">
            <v>9.9999999999999992E-2</v>
          </cell>
          <cell r="BP82">
            <v>6.0000000000000005E-2</v>
          </cell>
          <cell r="BQ82">
            <v>7.9999999999999988E-2</v>
          </cell>
          <cell r="BR82">
            <v>9.9999999999999992E-2</v>
          </cell>
          <cell r="BS82">
            <v>6.0000000000000005E-2</v>
          </cell>
          <cell r="BT82">
            <v>7.9999999999999988E-2</v>
          </cell>
          <cell r="BU82">
            <v>9.9999999999999992E-2</v>
          </cell>
          <cell r="BV82">
            <v>6.0000000000000005E-2</v>
          </cell>
          <cell r="BW82">
            <v>7.9999999999999988E-2</v>
          </cell>
          <cell r="BX82">
            <v>9.9999999999999992E-2</v>
          </cell>
          <cell r="BY82">
            <v>6.0000000000000005E-2</v>
          </cell>
          <cell r="BZ82">
            <v>7.9999999999999988E-2</v>
          </cell>
          <cell r="CA82">
            <v>9.9999999999999992E-2</v>
          </cell>
          <cell r="CB82">
            <v>6.0000000000000005E-2</v>
          </cell>
          <cell r="CC82">
            <v>7.9999999999999988E-2</v>
          </cell>
          <cell r="CD82">
            <v>9.9999999999999992E-2</v>
          </cell>
          <cell r="CE82">
            <v>6.0000000000000005E-2</v>
          </cell>
          <cell r="CF82">
            <v>7.9999999999999988E-2</v>
          </cell>
          <cell r="CG82">
            <v>9.9999999999999992E-2</v>
          </cell>
          <cell r="CH82">
            <v>6.0000000000000005E-2</v>
          </cell>
          <cell r="CI82">
            <v>7.9999999999999988E-2</v>
          </cell>
          <cell r="CJ82">
            <v>9.9999999999999992E-2</v>
          </cell>
          <cell r="CK82">
            <v>6.0000000000000005E-2</v>
          </cell>
          <cell r="CL82">
            <v>7.9999999999999988E-2</v>
          </cell>
          <cell r="CM82">
            <v>9.9999999999999992E-2</v>
          </cell>
          <cell r="CN82">
            <v>6.0000000000000005E-2</v>
          </cell>
          <cell r="CO82">
            <v>7.9999999999999988E-2</v>
          </cell>
          <cell r="CP82">
            <v>9.9999999999999992E-2</v>
          </cell>
          <cell r="CQ82">
            <v>6.0000000000000005E-2</v>
          </cell>
          <cell r="CR82">
            <v>7.9999999999999988E-2</v>
          </cell>
          <cell r="CS82">
            <v>9.9999999999999992E-2</v>
          </cell>
          <cell r="CV82">
            <v>0.06</v>
          </cell>
          <cell r="CW82">
            <v>0.05</v>
          </cell>
          <cell r="CX82">
            <v>0.03</v>
          </cell>
          <cell r="CY82">
            <v>0.06</v>
          </cell>
          <cell r="CZ82">
            <v>0.05</v>
          </cell>
          <cell r="DA82">
            <v>0.03</v>
          </cell>
          <cell r="DB82">
            <v>0.06</v>
          </cell>
          <cell r="DC82">
            <v>0.05</v>
          </cell>
          <cell r="DD82">
            <v>0.03</v>
          </cell>
          <cell r="DE82">
            <v>0.06</v>
          </cell>
          <cell r="DF82">
            <v>0.05</v>
          </cell>
          <cell r="DG82">
            <v>0.03</v>
          </cell>
          <cell r="DH82">
            <v>0.06</v>
          </cell>
          <cell r="DI82">
            <v>0.05</v>
          </cell>
          <cell r="DJ82">
            <v>0.03</v>
          </cell>
          <cell r="DK82">
            <v>0.06</v>
          </cell>
          <cell r="DL82">
            <v>0.05</v>
          </cell>
          <cell r="DM82">
            <v>0.03</v>
          </cell>
          <cell r="DN82">
            <v>0.06</v>
          </cell>
          <cell r="DO82">
            <v>0.05</v>
          </cell>
          <cell r="DP82">
            <v>0.03</v>
          </cell>
          <cell r="DQ82">
            <v>0.06</v>
          </cell>
          <cell r="DR82">
            <v>0.05</v>
          </cell>
          <cell r="DS82">
            <v>0.03</v>
          </cell>
          <cell r="DT82">
            <v>0.06</v>
          </cell>
          <cell r="DU82">
            <v>0.05</v>
          </cell>
          <cell r="DV82">
            <v>0.03</v>
          </cell>
          <cell r="DW82">
            <v>0.06</v>
          </cell>
          <cell r="DX82">
            <v>0.05</v>
          </cell>
          <cell r="DY82">
            <v>0.03</v>
          </cell>
          <cell r="DZ82">
            <v>0.06</v>
          </cell>
          <cell r="EA82">
            <v>0.05</v>
          </cell>
          <cell r="EB82">
            <v>0.03</v>
          </cell>
          <cell r="EC82">
            <v>0.06</v>
          </cell>
          <cell r="ED82">
            <v>0.05</v>
          </cell>
          <cell r="EE82">
            <v>0.03</v>
          </cell>
          <cell r="EG82">
            <v>3.5000000000000003E-2</v>
          </cell>
          <cell r="EH82">
            <v>3.5000000000000003E-2</v>
          </cell>
          <cell r="EI82">
            <v>3.5000000000000003E-2</v>
          </cell>
          <cell r="EJ82">
            <v>3.5000000000000003E-2</v>
          </cell>
          <cell r="EK82">
            <v>3.5000000000000003E-2</v>
          </cell>
          <cell r="EL82">
            <v>3.5000000000000003E-2</v>
          </cell>
          <cell r="EM82">
            <v>3.5000000000000003E-2</v>
          </cell>
          <cell r="EN82">
            <v>3.5000000000000003E-2</v>
          </cell>
          <cell r="EO82">
            <v>3.5000000000000003E-2</v>
          </cell>
          <cell r="EP82">
            <v>3.5000000000000003E-2</v>
          </cell>
          <cell r="EQ82">
            <v>3.5000000000000003E-2</v>
          </cell>
          <cell r="ER82">
            <v>3.5000000000000003E-2</v>
          </cell>
          <cell r="ES82">
            <v>3.5000000000000003E-2</v>
          </cell>
          <cell r="EU82">
            <v>0.08</v>
          </cell>
          <cell r="EV82">
            <v>0.08</v>
          </cell>
          <cell r="EW82">
            <v>0.08</v>
          </cell>
          <cell r="EX82">
            <v>0.08</v>
          </cell>
          <cell r="EY82">
            <v>0.08</v>
          </cell>
          <cell r="EZ82">
            <v>0.08</v>
          </cell>
          <cell r="FA82">
            <v>0.08</v>
          </cell>
          <cell r="FB82">
            <v>0.08</v>
          </cell>
          <cell r="FC82">
            <v>0.08</v>
          </cell>
          <cell r="FD82">
            <v>0.08</v>
          </cell>
          <cell r="FE82">
            <v>0.08</v>
          </cell>
          <cell r="FF82">
            <v>0.08</v>
          </cell>
          <cell r="FG82">
            <v>0.08</v>
          </cell>
        </row>
        <row r="83">
          <cell r="D83"/>
          <cell r="G83">
            <v>0.05</v>
          </cell>
          <cell r="H83">
            <v>0.05</v>
          </cell>
          <cell r="I83">
            <v>0.05</v>
          </cell>
          <cell r="J83">
            <v>0.05</v>
          </cell>
          <cell r="K83">
            <v>0.05</v>
          </cell>
          <cell r="L83">
            <v>0.05</v>
          </cell>
          <cell r="M83">
            <v>0.05</v>
          </cell>
          <cell r="N83">
            <v>0.05</v>
          </cell>
          <cell r="O83">
            <v>0.05</v>
          </cell>
          <cell r="P83">
            <v>0.05</v>
          </cell>
          <cell r="Q83">
            <v>0.05</v>
          </cell>
          <cell r="R83">
            <v>0.05</v>
          </cell>
          <cell r="U83">
            <v>0.5</v>
          </cell>
          <cell r="V83">
            <v>0</v>
          </cell>
          <cell r="W83">
            <v>0.5</v>
          </cell>
          <cell r="X83">
            <v>0.5</v>
          </cell>
          <cell r="Y83">
            <v>0</v>
          </cell>
          <cell r="Z83">
            <v>0.5</v>
          </cell>
          <cell r="AA83">
            <v>0.5</v>
          </cell>
          <cell r="AB83">
            <v>0</v>
          </cell>
          <cell r="AC83">
            <v>0.5</v>
          </cell>
          <cell r="AD83">
            <v>0.5</v>
          </cell>
          <cell r="AE83">
            <v>0</v>
          </cell>
          <cell r="AF83">
            <v>0.5</v>
          </cell>
          <cell r="AG83">
            <v>0.5</v>
          </cell>
          <cell r="AH83">
            <v>0</v>
          </cell>
          <cell r="AI83">
            <v>0.5</v>
          </cell>
          <cell r="AJ83">
            <v>0.5</v>
          </cell>
          <cell r="AK83">
            <v>0</v>
          </cell>
          <cell r="AL83">
            <v>0.5</v>
          </cell>
          <cell r="AM83">
            <v>0.5</v>
          </cell>
          <cell r="AN83">
            <v>0</v>
          </cell>
          <cell r="AO83">
            <v>0.5</v>
          </cell>
          <cell r="AP83">
            <v>0.5</v>
          </cell>
          <cell r="AQ83">
            <v>0</v>
          </cell>
          <cell r="AR83">
            <v>0.5</v>
          </cell>
          <cell r="AS83">
            <v>0.5</v>
          </cell>
          <cell r="AT83">
            <v>0</v>
          </cell>
          <cell r="AU83">
            <v>0.5</v>
          </cell>
          <cell r="AV83">
            <v>0.5</v>
          </cell>
          <cell r="AW83">
            <v>0</v>
          </cell>
          <cell r="AX83">
            <v>0.5</v>
          </cell>
          <cell r="AY83">
            <v>0.5</v>
          </cell>
          <cell r="AZ83">
            <v>0</v>
          </cell>
          <cell r="BA83">
            <v>0.5</v>
          </cell>
          <cell r="BB83">
            <v>0.5</v>
          </cell>
          <cell r="BC83">
            <v>0</v>
          </cell>
          <cell r="BD83">
            <v>0.5</v>
          </cell>
          <cell r="BG83">
            <v>6.0000000000000005E-2</v>
          </cell>
          <cell r="BH83">
            <v>7.9999999999999988E-2</v>
          </cell>
          <cell r="BI83">
            <v>9.9999999999999992E-2</v>
          </cell>
          <cell r="BJ83">
            <v>6.0000000000000005E-2</v>
          </cell>
          <cell r="BK83">
            <v>7.9999999999999988E-2</v>
          </cell>
          <cell r="BL83">
            <v>9.9999999999999992E-2</v>
          </cell>
          <cell r="BM83">
            <v>6.0000000000000005E-2</v>
          </cell>
          <cell r="BN83">
            <v>7.9999999999999988E-2</v>
          </cell>
          <cell r="BO83">
            <v>9.9999999999999992E-2</v>
          </cell>
          <cell r="BP83">
            <v>6.0000000000000005E-2</v>
          </cell>
          <cell r="BQ83">
            <v>7.9999999999999988E-2</v>
          </cell>
          <cell r="BR83">
            <v>9.9999999999999992E-2</v>
          </cell>
          <cell r="BS83">
            <v>6.0000000000000005E-2</v>
          </cell>
          <cell r="BT83">
            <v>7.9999999999999988E-2</v>
          </cell>
          <cell r="BU83">
            <v>9.9999999999999992E-2</v>
          </cell>
          <cell r="BV83">
            <v>6.0000000000000005E-2</v>
          </cell>
          <cell r="BW83">
            <v>7.9999999999999988E-2</v>
          </cell>
          <cell r="BX83">
            <v>9.9999999999999992E-2</v>
          </cell>
          <cell r="BY83">
            <v>6.0000000000000005E-2</v>
          </cell>
          <cell r="BZ83">
            <v>7.9999999999999988E-2</v>
          </cell>
          <cell r="CA83">
            <v>9.9999999999999992E-2</v>
          </cell>
          <cell r="CB83">
            <v>6.0000000000000005E-2</v>
          </cell>
          <cell r="CC83">
            <v>7.9999999999999988E-2</v>
          </cell>
          <cell r="CD83">
            <v>9.9999999999999992E-2</v>
          </cell>
          <cell r="CE83">
            <v>6.0000000000000005E-2</v>
          </cell>
          <cell r="CF83">
            <v>7.9999999999999988E-2</v>
          </cell>
          <cell r="CG83">
            <v>9.9999999999999992E-2</v>
          </cell>
          <cell r="CH83">
            <v>6.0000000000000005E-2</v>
          </cell>
          <cell r="CI83">
            <v>7.9999999999999988E-2</v>
          </cell>
          <cell r="CJ83">
            <v>9.9999999999999992E-2</v>
          </cell>
          <cell r="CK83">
            <v>6.0000000000000005E-2</v>
          </cell>
          <cell r="CL83">
            <v>7.9999999999999988E-2</v>
          </cell>
          <cell r="CM83">
            <v>9.9999999999999992E-2</v>
          </cell>
          <cell r="CN83">
            <v>6.0000000000000005E-2</v>
          </cell>
          <cell r="CO83">
            <v>7.9999999999999988E-2</v>
          </cell>
          <cell r="CP83">
            <v>9.9999999999999992E-2</v>
          </cell>
          <cell r="CQ83">
            <v>6.0000000000000005E-2</v>
          </cell>
          <cell r="CR83">
            <v>7.9999999999999988E-2</v>
          </cell>
          <cell r="CS83">
            <v>9.9999999999999992E-2</v>
          </cell>
          <cell r="CV83">
            <v>0.06</v>
          </cell>
          <cell r="CW83">
            <v>0.05</v>
          </cell>
          <cell r="CX83">
            <v>0.03</v>
          </cell>
          <cell r="CY83">
            <v>0.06</v>
          </cell>
          <cell r="CZ83">
            <v>0.05</v>
          </cell>
          <cell r="DA83">
            <v>0.03</v>
          </cell>
          <cell r="DB83">
            <v>0.06</v>
          </cell>
          <cell r="DC83">
            <v>0.05</v>
          </cell>
          <cell r="DD83">
            <v>0.03</v>
          </cell>
          <cell r="DE83">
            <v>0.06</v>
          </cell>
          <cell r="DF83">
            <v>0.05</v>
          </cell>
          <cell r="DG83">
            <v>0.03</v>
          </cell>
          <cell r="DH83">
            <v>0.06</v>
          </cell>
          <cell r="DI83">
            <v>0.05</v>
          </cell>
          <cell r="DJ83">
            <v>0.03</v>
          </cell>
          <cell r="DK83">
            <v>0.06</v>
          </cell>
          <cell r="DL83">
            <v>0.05</v>
          </cell>
          <cell r="DM83">
            <v>0.03</v>
          </cell>
          <cell r="DN83">
            <v>0.06</v>
          </cell>
          <cell r="DO83">
            <v>0.05</v>
          </cell>
          <cell r="DP83">
            <v>0.03</v>
          </cell>
          <cell r="DQ83">
            <v>0.06</v>
          </cell>
          <cell r="DR83">
            <v>0.05</v>
          </cell>
          <cell r="DS83">
            <v>0.03</v>
          </cell>
          <cell r="DT83">
            <v>0.06</v>
          </cell>
          <cell r="DU83">
            <v>0.05</v>
          </cell>
          <cell r="DV83">
            <v>0.03</v>
          </cell>
          <cell r="DW83">
            <v>0.06</v>
          </cell>
          <cell r="DX83">
            <v>0.05</v>
          </cell>
          <cell r="DY83">
            <v>0.03</v>
          </cell>
          <cell r="DZ83">
            <v>0.06</v>
          </cell>
          <cell r="EA83">
            <v>0.05</v>
          </cell>
          <cell r="EB83">
            <v>0.03</v>
          </cell>
          <cell r="EC83">
            <v>0.06</v>
          </cell>
          <cell r="ED83">
            <v>0.05</v>
          </cell>
          <cell r="EE83">
            <v>0.03</v>
          </cell>
          <cell r="EG83">
            <v>3.5000000000000003E-2</v>
          </cell>
          <cell r="EH83">
            <v>3.5000000000000003E-2</v>
          </cell>
          <cell r="EI83">
            <v>3.5000000000000003E-2</v>
          </cell>
          <cell r="EJ83">
            <v>3.5000000000000003E-2</v>
          </cell>
          <cell r="EK83">
            <v>3.5000000000000003E-2</v>
          </cell>
          <cell r="EL83">
            <v>3.5000000000000003E-2</v>
          </cell>
          <cell r="EM83">
            <v>3.5000000000000003E-2</v>
          </cell>
          <cell r="EN83">
            <v>3.5000000000000003E-2</v>
          </cell>
          <cell r="EO83">
            <v>3.5000000000000003E-2</v>
          </cell>
          <cell r="EP83">
            <v>3.5000000000000003E-2</v>
          </cell>
          <cell r="EQ83">
            <v>3.5000000000000003E-2</v>
          </cell>
          <cell r="ER83">
            <v>3.5000000000000003E-2</v>
          </cell>
          <cell r="ES83">
            <v>3.5000000000000003E-2</v>
          </cell>
          <cell r="EU83">
            <v>0.08</v>
          </cell>
          <cell r="EV83">
            <v>0.08</v>
          </cell>
          <cell r="EW83">
            <v>0.08</v>
          </cell>
          <cell r="EX83">
            <v>0.08</v>
          </cell>
          <cell r="EY83">
            <v>0.08</v>
          </cell>
          <cell r="EZ83">
            <v>0.08</v>
          </cell>
          <cell r="FA83">
            <v>0.08</v>
          </cell>
          <cell r="FB83">
            <v>0.08</v>
          </cell>
          <cell r="FC83">
            <v>0.08</v>
          </cell>
          <cell r="FD83">
            <v>0.08</v>
          </cell>
          <cell r="FE83">
            <v>0.08</v>
          </cell>
          <cell r="FF83">
            <v>0.08</v>
          </cell>
          <cell r="FG83">
            <v>0.08</v>
          </cell>
        </row>
        <row r="84">
          <cell r="D84"/>
          <cell r="G84">
            <v>0.05</v>
          </cell>
          <cell r="H84">
            <v>0.05</v>
          </cell>
          <cell r="I84">
            <v>0.05</v>
          </cell>
          <cell r="J84">
            <v>0.05</v>
          </cell>
          <cell r="K84">
            <v>0.05</v>
          </cell>
          <cell r="L84">
            <v>0.05</v>
          </cell>
          <cell r="M84">
            <v>0.05</v>
          </cell>
          <cell r="N84">
            <v>0.05</v>
          </cell>
          <cell r="O84">
            <v>0.05</v>
          </cell>
          <cell r="P84">
            <v>0.05</v>
          </cell>
          <cell r="Q84">
            <v>0.05</v>
          </cell>
          <cell r="R84">
            <v>0.05</v>
          </cell>
          <cell r="U84">
            <v>0.5</v>
          </cell>
          <cell r="V84">
            <v>0</v>
          </cell>
          <cell r="W84">
            <v>0.5</v>
          </cell>
          <cell r="X84">
            <v>0.5</v>
          </cell>
          <cell r="Y84">
            <v>0</v>
          </cell>
          <cell r="Z84">
            <v>0.5</v>
          </cell>
          <cell r="AA84">
            <v>0.5</v>
          </cell>
          <cell r="AB84">
            <v>0</v>
          </cell>
          <cell r="AC84">
            <v>0.5</v>
          </cell>
          <cell r="AD84">
            <v>0.5</v>
          </cell>
          <cell r="AE84">
            <v>0</v>
          </cell>
          <cell r="AF84">
            <v>0.5</v>
          </cell>
          <cell r="AG84">
            <v>0.5</v>
          </cell>
          <cell r="AH84">
            <v>0</v>
          </cell>
          <cell r="AI84">
            <v>0.5</v>
          </cell>
          <cell r="AJ84">
            <v>0.5</v>
          </cell>
          <cell r="AK84">
            <v>0</v>
          </cell>
          <cell r="AL84">
            <v>0.5</v>
          </cell>
          <cell r="AM84">
            <v>0.5</v>
          </cell>
          <cell r="AN84">
            <v>0</v>
          </cell>
          <cell r="AO84">
            <v>0.5</v>
          </cell>
          <cell r="AP84">
            <v>0.5</v>
          </cell>
          <cell r="AQ84">
            <v>0</v>
          </cell>
          <cell r="AR84">
            <v>0.5</v>
          </cell>
          <cell r="AS84">
            <v>0.5</v>
          </cell>
          <cell r="AT84">
            <v>0</v>
          </cell>
          <cell r="AU84">
            <v>0.5</v>
          </cell>
          <cell r="AV84">
            <v>0.5</v>
          </cell>
          <cell r="AW84">
            <v>0</v>
          </cell>
          <cell r="AX84">
            <v>0.5</v>
          </cell>
          <cell r="AY84">
            <v>0.5</v>
          </cell>
          <cell r="AZ84">
            <v>0</v>
          </cell>
          <cell r="BA84">
            <v>0.5</v>
          </cell>
          <cell r="BB84">
            <v>0.5</v>
          </cell>
          <cell r="BC84">
            <v>0</v>
          </cell>
          <cell r="BD84">
            <v>0.5</v>
          </cell>
          <cell r="BG84">
            <v>6.0000000000000005E-2</v>
          </cell>
          <cell r="BH84">
            <v>7.9999999999999988E-2</v>
          </cell>
          <cell r="BI84">
            <v>9.9999999999999992E-2</v>
          </cell>
          <cell r="BJ84">
            <v>6.0000000000000005E-2</v>
          </cell>
          <cell r="BK84">
            <v>7.9999999999999988E-2</v>
          </cell>
          <cell r="BL84">
            <v>9.9999999999999992E-2</v>
          </cell>
          <cell r="BM84">
            <v>6.0000000000000005E-2</v>
          </cell>
          <cell r="BN84">
            <v>7.9999999999999988E-2</v>
          </cell>
          <cell r="BO84">
            <v>9.9999999999999992E-2</v>
          </cell>
          <cell r="BP84">
            <v>6.0000000000000005E-2</v>
          </cell>
          <cell r="BQ84">
            <v>7.9999999999999988E-2</v>
          </cell>
          <cell r="BR84">
            <v>9.9999999999999992E-2</v>
          </cell>
          <cell r="BS84">
            <v>6.0000000000000005E-2</v>
          </cell>
          <cell r="BT84">
            <v>7.9999999999999988E-2</v>
          </cell>
          <cell r="BU84">
            <v>9.9999999999999992E-2</v>
          </cell>
          <cell r="BV84">
            <v>6.0000000000000005E-2</v>
          </cell>
          <cell r="BW84">
            <v>7.9999999999999988E-2</v>
          </cell>
          <cell r="BX84">
            <v>9.9999999999999992E-2</v>
          </cell>
          <cell r="BY84">
            <v>6.0000000000000005E-2</v>
          </cell>
          <cell r="BZ84">
            <v>7.9999999999999988E-2</v>
          </cell>
          <cell r="CA84">
            <v>9.9999999999999992E-2</v>
          </cell>
          <cell r="CB84">
            <v>6.0000000000000005E-2</v>
          </cell>
          <cell r="CC84">
            <v>7.9999999999999988E-2</v>
          </cell>
          <cell r="CD84">
            <v>9.9999999999999992E-2</v>
          </cell>
          <cell r="CE84">
            <v>6.0000000000000005E-2</v>
          </cell>
          <cell r="CF84">
            <v>7.9999999999999988E-2</v>
          </cell>
          <cell r="CG84">
            <v>9.9999999999999992E-2</v>
          </cell>
          <cell r="CH84">
            <v>6.0000000000000005E-2</v>
          </cell>
          <cell r="CI84">
            <v>7.9999999999999988E-2</v>
          </cell>
          <cell r="CJ84">
            <v>9.9999999999999992E-2</v>
          </cell>
          <cell r="CK84">
            <v>6.0000000000000005E-2</v>
          </cell>
          <cell r="CL84">
            <v>7.9999999999999988E-2</v>
          </cell>
          <cell r="CM84">
            <v>9.9999999999999992E-2</v>
          </cell>
          <cell r="CN84">
            <v>6.0000000000000005E-2</v>
          </cell>
          <cell r="CO84">
            <v>7.9999999999999988E-2</v>
          </cell>
          <cell r="CP84">
            <v>9.9999999999999992E-2</v>
          </cell>
          <cell r="CQ84">
            <v>6.0000000000000005E-2</v>
          </cell>
          <cell r="CR84">
            <v>7.9999999999999988E-2</v>
          </cell>
          <cell r="CS84">
            <v>9.9999999999999992E-2</v>
          </cell>
          <cell r="CV84">
            <v>0.06</v>
          </cell>
          <cell r="CW84">
            <v>0.05</v>
          </cell>
          <cell r="CX84">
            <v>0.03</v>
          </cell>
          <cell r="CY84">
            <v>0.06</v>
          </cell>
          <cell r="CZ84">
            <v>0.05</v>
          </cell>
          <cell r="DA84">
            <v>0.03</v>
          </cell>
          <cell r="DB84">
            <v>0.06</v>
          </cell>
          <cell r="DC84">
            <v>0.05</v>
          </cell>
          <cell r="DD84">
            <v>0.03</v>
          </cell>
          <cell r="DE84">
            <v>0.06</v>
          </cell>
          <cell r="DF84">
            <v>0.05</v>
          </cell>
          <cell r="DG84">
            <v>0.03</v>
          </cell>
          <cell r="DH84">
            <v>0.06</v>
          </cell>
          <cell r="DI84">
            <v>0.05</v>
          </cell>
          <cell r="DJ84">
            <v>0.03</v>
          </cell>
          <cell r="DK84">
            <v>0.06</v>
          </cell>
          <cell r="DL84">
            <v>0.05</v>
          </cell>
          <cell r="DM84">
            <v>0.03</v>
          </cell>
          <cell r="DN84">
            <v>0.06</v>
          </cell>
          <cell r="DO84">
            <v>0.05</v>
          </cell>
          <cell r="DP84">
            <v>0.03</v>
          </cell>
          <cell r="DQ84">
            <v>0.06</v>
          </cell>
          <cell r="DR84">
            <v>0.05</v>
          </cell>
          <cell r="DS84">
            <v>0.03</v>
          </cell>
          <cell r="DT84">
            <v>0.06</v>
          </cell>
          <cell r="DU84">
            <v>0.05</v>
          </cell>
          <cell r="DV84">
            <v>0.03</v>
          </cell>
          <cell r="DW84">
            <v>0.06</v>
          </cell>
          <cell r="DX84">
            <v>0.05</v>
          </cell>
          <cell r="DY84">
            <v>0.03</v>
          </cell>
          <cell r="DZ84">
            <v>0.06</v>
          </cell>
          <cell r="EA84">
            <v>0.05</v>
          </cell>
          <cell r="EB84">
            <v>0.03</v>
          </cell>
          <cell r="EC84">
            <v>0.06</v>
          </cell>
          <cell r="ED84">
            <v>0.05</v>
          </cell>
          <cell r="EE84">
            <v>0.03</v>
          </cell>
          <cell r="EG84">
            <v>3.5000000000000003E-2</v>
          </cell>
          <cell r="EH84">
            <v>3.5000000000000003E-2</v>
          </cell>
          <cell r="EI84">
            <v>3.5000000000000003E-2</v>
          </cell>
          <cell r="EJ84">
            <v>3.5000000000000003E-2</v>
          </cell>
          <cell r="EK84">
            <v>3.5000000000000003E-2</v>
          </cell>
          <cell r="EL84">
            <v>3.5000000000000003E-2</v>
          </cell>
          <cell r="EM84">
            <v>3.5000000000000003E-2</v>
          </cell>
          <cell r="EN84">
            <v>3.5000000000000003E-2</v>
          </cell>
          <cell r="EO84">
            <v>3.5000000000000003E-2</v>
          </cell>
          <cell r="EP84">
            <v>3.5000000000000003E-2</v>
          </cell>
          <cell r="EQ84">
            <v>3.5000000000000003E-2</v>
          </cell>
          <cell r="ER84">
            <v>3.5000000000000003E-2</v>
          </cell>
          <cell r="ES84">
            <v>3.5000000000000003E-2</v>
          </cell>
          <cell r="EU84">
            <v>0.08</v>
          </cell>
          <cell r="EV84">
            <v>0.08</v>
          </cell>
          <cell r="EW84">
            <v>0.08</v>
          </cell>
          <cell r="EX84">
            <v>0.08</v>
          </cell>
          <cell r="EY84">
            <v>0.08</v>
          </cell>
          <cell r="EZ84">
            <v>0.08</v>
          </cell>
          <cell r="FA84">
            <v>0.08</v>
          </cell>
          <cell r="FB84">
            <v>0.08</v>
          </cell>
          <cell r="FC84">
            <v>0.08</v>
          </cell>
          <cell r="FD84">
            <v>0.08</v>
          </cell>
          <cell r="FE84">
            <v>0.08</v>
          </cell>
          <cell r="FF84">
            <v>0.08</v>
          </cell>
          <cell r="FG84">
            <v>0.08</v>
          </cell>
        </row>
        <row r="85">
          <cell r="C85" t="str">
            <v>MOKKA MCA EDITION HYBRID</v>
          </cell>
          <cell r="D85" t="str">
            <v>Mokka MCA Edition Hybrid 136hp AT</v>
          </cell>
          <cell r="G85">
            <v>0.05</v>
          </cell>
          <cell r="H85">
            <v>0.05</v>
          </cell>
          <cell r="I85">
            <v>0.05</v>
          </cell>
          <cell r="J85">
            <v>0.05</v>
          </cell>
          <cell r="K85">
            <v>0.05</v>
          </cell>
          <cell r="L85">
            <v>0.05</v>
          </cell>
          <cell r="M85">
            <v>0.05</v>
          </cell>
          <cell r="N85">
            <v>0.05</v>
          </cell>
          <cell r="O85">
            <v>0.05</v>
          </cell>
          <cell r="P85">
            <v>0.05</v>
          </cell>
          <cell r="Q85">
            <v>0.05</v>
          </cell>
          <cell r="R85">
            <v>0.05</v>
          </cell>
          <cell r="U85">
            <v>0.5</v>
          </cell>
          <cell r="V85">
            <v>0</v>
          </cell>
          <cell r="W85">
            <v>0.5</v>
          </cell>
          <cell r="X85">
            <v>0.5</v>
          </cell>
          <cell r="Y85">
            <v>0</v>
          </cell>
          <cell r="Z85">
            <v>0.5</v>
          </cell>
          <cell r="AA85">
            <v>0.5</v>
          </cell>
          <cell r="AB85">
            <v>0</v>
          </cell>
          <cell r="AC85">
            <v>0.5</v>
          </cell>
          <cell r="AD85">
            <v>0.5</v>
          </cell>
          <cell r="AE85">
            <v>0</v>
          </cell>
          <cell r="AF85">
            <v>0.5</v>
          </cell>
          <cell r="AG85">
            <v>0.5</v>
          </cell>
          <cell r="AH85">
            <v>0</v>
          </cell>
          <cell r="AI85">
            <v>0.5</v>
          </cell>
          <cell r="AJ85">
            <v>0.5</v>
          </cell>
          <cell r="AK85">
            <v>0</v>
          </cell>
          <cell r="AL85">
            <v>0.5</v>
          </cell>
          <cell r="AM85">
            <v>0.5</v>
          </cell>
          <cell r="AN85">
            <v>0</v>
          </cell>
          <cell r="AO85">
            <v>0.5</v>
          </cell>
          <cell r="AP85">
            <v>0.5</v>
          </cell>
          <cell r="AQ85">
            <v>0</v>
          </cell>
          <cell r="AR85">
            <v>0.5</v>
          </cell>
          <cell r="AS85">
            <v>0.5</v>
          </cell>
          <cell r="AT85">
            <v>0</v>
          </cell>
          <cell r="AU85">
            <v>0.5</v>
          </cell>
          <cell r="AV85">
            <v>0.5</v>
          </cell>
          <cell r="AW85">
            <v>0</v>
          </cell>
          <cell r="AX85">
            <v>0.5</v>
          </cell>
          <cell r="AY85">
            <v>0.5</v>
          </cell>
          <cell r="AZ85">
            <v>0</v>
          </cell>
          <cell r="BA85">
            <v>0.5</v>
          </cell>
          <cell r="BB85">
            <v>0.5</v>
          </cell>
          <cell r="BC85">
            <v>0</v>
          </cell>
          <cell r="BD85">
            <v>0.5</v>
          </cell>
          <cell r="BG85">
            <v>6.0000000000000005E-2</v>
          </cell>
          <cell r="BH85">
            <v>7.9999999999999988E-2</v>
          </cell>
          <cell r="BI85">
            <v>9.9999999999999992E-2</v>
          </cell>
          <cell r="BJ85">
            <v>6.0000000000000005E-2</v>
          </cell>
          <cell r="BK85">
            <v>7.9999999999999988E-2</v>
          </cell>
          <cell r="BL85">
            <v>9.9999999999999992E-2</v>
          </cell>
          <cell r="BM85">
            <v>6.0000000000000005E-2</v>
          </cell>
          <cell r="BN85">
            <v>7.9999999999999988E-2</v>
          </cell>
          <cell r="BO85">
            <v>9.9999999999999992E-2</v>
          </cell>
          <cell r="BP85">
            <v>6.0000000000000005E-2</v>
          </cell>
          <cell r="BQ85">
            <v>7.9999999999999988E-2</v>
          </cell>
          <cell r="BR85">
            <v>9.9999999999999992E-2</v>
          </cell>
          <cell r="BS85">
            <v>6.0000000000000005E-2</v>
          </cell>
          <cell r="BT85">
            <v>7.9999999999999988E-2</v>
          </cell>
          <cell r="BU85">
            <v>9.9999999999999992E-2</v>
          </cell>
          <cell r="BV85">
            <v>6.0000000000000005E-2</v>
          </cell>
          <cell r="BW85">
            <v>7.9999999999999988E-2</v>
          </cell>
          <cell r="BX85">
            <v>9.9999999999999992E-2</v>
          </cell>
          <cell r="BY85">
            <v>6.0000000000000005E-2</v>
          </cell>
          <cell r="BZ85">
            <v>7.9999999999999988E-2</v>
          </cell>
          <cell r="CA85">
            <v>9.9999999999999992E-2</v>
          </cell>
          <cell r="CB85">
            <v>6.0000000000000005E-2</v>
          </cell>
          <cell r="CC85">
            <v>7.9999999999999988E-2</v>
          </cell>
          <cell r="CD85">
            <v>9.9999999999999992E-2</v>
          </cell>
          <cell r="CE85">
            <v>6.0000000000000005E-2</v>
          </cell>
          <cell r="CF85">
            <v>7.9999999999999988E-2</v>
          </cell>
          <cell r="CG85">
            <v>9.9999999999999992E-2</v>
          </cell>
          <cell r="CH85">
            <v>6.0000000000000005E-2</v>
          </cell>
          <cell r="CI85">
            <v>7.9999999999999988E-2</v>
          </cell>
          <cell r="CJ85">
            <v>9.9999999999999992E-2</v>
          </cell>
          <cell r="CK85">
            <v>6.0000000000000005E-2</v>
          </cell>
          <cell r="CL85">
            <v>7.9999999999999988E-2</v>
          </cell>
          <cell r="CM85">
            <v>9.9999999999999992E-2</v>
          </cell>
          <cell r="CN85">
            <v>6.0000000000000005E-2</v>
          </cell>
          <cell r="CO85">
            <v>7.9999999999999988E-2</v>
          </cell>
          <cell r="CP85">
            <v>9.9999999999999992E-2</v>
          </cell>
          <cell r="CQ85">
            <v>6.0000000000000005E-2</v>
          </cell>
          <cell r="CR85">
            <v>7.9999999999999988E-2</v>
          </cell>
          <cell r="CS85">
            <v>9.9999999999999992E-2</v>
          </cell>
          <cell r="CV85">
            <v>5.5E-2</v>
          </cell>
          <cell r="CW85">
            <v>4.4999999999999998E-2</v>
          </cell>
          <cell r="CX85">
            <v>0.03</v>
          </cell>
          <cell r="CY85">
            <v>5.5E-2</v>
          </cell>
          <cell r="CZ85">
            <v>4.4999999999999998E-2</v>
          </cell>
          <cell r="DA85">
            <v>0.03</v>
          </cell>
          <cell r="DB85">
            <v>5.5E-2</v>
          </cell>
          <cell r="DC85">
            <v>4.4999999999999998E-2</v>
          </cell>
          <cell r="DD85">
            <v>0.03</v>
          </cell>
          <cell r="DE85">
            <v>5.5E-2</v>
          </cell>
          <cell r="DF85">
            <v>4.4999999999999998E-2</v>
          </cell>
          <cell r="DG85">
            <v>0.03</v>
          </cell>
          <cell r="DH85">
            <v>5.5E-2</v>
          </cell>
          <cell r="DI85">
            <v>4.4999999999999998E-2</v>
          </cell>
          <cell r="DJ85">
            <v>0.03</v>
          </cell>
          <cell r="DK85">
            <v>5.5E-2</v>
          </cell>
          <cell r="DL85">
            <v>4.4999999999999998E-2</v>
          </cell>
          <cell r="DM85">
            <v>0.03</v>
          </cell>
          <cell r="DN85">
            <v>5.5E-2</v>
          </cell>
          <cell r="DO85">
            <v>4.4999999999999998E-2</v>
          </cell>
          <cell r="DP85">
            <v>0.03</v>
          </cell>
          <cell r="DQ85">
            <v>5.5E-2</v>
          </cell>
          <cell r="DR85">
            <v>4.4999999999999998E-2</v>
          </cell>
          <cell r="DS85">
            <v>0.03</v>
          </cell>
          <cell r="DT85">
            <v>5.5E-2</v>
          </cell>
          <cell r="DU85">
            <v>4.4999999999999998E-2</v>
          </cell>
          <cell r="DV85">
            <v>0.03</v>
          </cell>
          <cell r="DW85">
            <v>5.5E-2</v>
          </cell>
          <cell r="DX85">
            <v>4.4999999999999998E-2</v>
          </cell>
          <cell r="DY85">
            <v>0.03</v>
          </cell>
          <cell r="DZ85">
            <v>5.5E-2</v>
          </cell>
          <cell r="EA85">
            <v>4.4999999999999998E-2</v>
          </cell>
          <cell r="EB85">
            <v>0.03</v>
          </cell>
          <cell r="EC85">
            <v>5.5E-2</v>
          </cell>
          <cell r="ED85">
            <v>4.4999999999999998E-2</v>
          </cell>
          <cell r="EE85">
            <v>0.03</v>
          </cell>
          <cell r="EG85">
            <v>3.2500000000000001E-2</v>
          </cell>
          <cell r="EH85">
            <v>3.2500000000000001E-2</v>
          </cell>
          <cell r="EI85">
            <v>3.2500000000000001E-2</v>
          </cell>
          <cell r="EJ85">
            <v>3.2500000000000001E-2</v>
          </cell>
          <cell r="EK85">
            <v>3.2500000000000001E-2</v>
          </cell>
          <cell r="EL85">
            <v>3.2500000000000001E-2</v>
          </cell>
          <cell r="EM85">
            <v>3.2500000000000001E-2</v>
          </cell>
          <cell r="EN85">
            <v>3.2500000000000001E-2</v>
          </cell>
          <cell r="EO85">
            <v>3.2500000000000001E-2</v>
          </cell>
          <cell r="EP85">
            <v>3.2500000000000001E-2</v>
          </cell>
          <cell r="EQ85">
            <v>3.2500000000000001E-2</v>
          </cell>
          <cell r="ER85">
            <v>3.2500000000000001E-2</v>
          </cell>
          <cell r="ES85">
            <v>3.2500000000000001E-2</v>
          </cell>
          <cell r="EU85">
            <v>0.08</v>
          </cell>
          <cell r="EV85">
            <v>0.08</v>
          </cell>
          <cell r="EW85">
            <v>0.08</v>
          </cell>
          <cell r="EX85">
            <v>0.08</v>
          </cell>
          <cell r="EY85">
            <v>0.08</v>
          </cell>
          <cell r="EZ85">
            <v>0.08</v>
          </cell>
          <cell r="FA85">
            <v>0.08</v>
          </cell>
          <cell r="FB85">
            <v>0.08</v>
          </cell>
          <cell r="FC85">
            <v>0.08</v>
          </cell>
          <cell r="FD85">
            <v>0.08</v>
          </cell>
          <cell r="FE85">
            <v>0.08</v>
          </cell>
          <cell r="FF85">
            <v>0.08</v>
          </cell>
          <cell r="FG85">
            <v>0.08</v>
          </cell>
        </row>
        <row r="86">
          <cell r="C86" t="str">
            <v>MOKKA MCA GS HYBRID</v>
          </cell>
          <cell r="D86" t="str">
            <v>Mokka MCA GS Hybrid 136hp AT</v>
          </cell>
          <cell r="G86">
            <v>0.05</v>
          </cell>
          <cell r="H86">
            <v>0.05</v>
          </cell>
          <cell r="I86">
            <v>0.05</v>
          </cell>
          <cell r="J86">
            <v>0.05</v>
          </cell>
          <cell r="K86">
            <v>0.05</v>
          </cell>
          <cell r="L86">
            <v>0.05</v>
          </cell>
          <cell r="M86">
            <v>0.05</v>
          </cell>
          <cell r="N86">
            <v>0.05</v>
          </cell>
          <cell r="O86">
            <v>0.05</v>
          </cell>
          <cell r="P86">
            <v>0.05</v>
          </cell>
          <cell r="Q86">
            <v>0.05</v>
          </cell>
          <cell r="R86">
            <v>0.05</v>
          </cell>
          <cell r="U86">
            <v>0.5</v>
          </cell>
          <cell r="V86">
            <v>0</v>
          </cell>
          <cell r="W86">
            <v>0.5</v>
          </cell>
          <cell r="X86">
            <v>0.5</v>
          </cell>
          <cell r="Y86">
            <v>0</v>
          </cell>
          <cell r="Z86">
            <v>0.5</v>
          </cell>
          <cell r="AA86">
            <v>0.5</v>
          </cell>
          <cell r="AB86">
            <v>0</v>
          </cell>
          <cell r="AC86">
            <v>0.5</v>
          </cell>
          <cell r="AD86">
            <v>0.5</v>
          </cell>
          <cell r="AE86">
            <v>0</v>
          </cell>
          <cell r="AF86">
            <v>0.5</v>
          </cell>
          <cell r="AG86">
            <v>0.5</v>
          </cell>
          <cell r="AH86">
            <v>0</v>
          </cell>
          <cell r="AI86">
            <v>0.5</v>
          </cell>
          <cell r="AJ86">
            <v>0.5</v>
          </cell>
          <cell r="AK86">
            <v>0</v>
          </cell>
          <cell r="AL86">
            <v>0.5</v>
          </cell>
          <cell r="AM86">
            <v>0.5</v>
          </cell>
          <cell r="AN86">
            <v>0</v>
          </cell>
          <cell r="AO86">
            <v>0.5</v>
          </cell>
          <cell r="AP86">
            <v>0.5</v>
          </cell>
          <cell r="AQ86">
            <v>0</v>
          </cell>
          <cell r="AR86">
            <v>0.5</v>
          </cell>
          <cell r="AS86">
            <v>0.5</v>
          </cell>
          <cell r="AT86">
            <v>0</v>
          </cell>
          <cell r="AU86">
            <v>0.5</v>
          </cell>
          <cell r="AV86">
            <v>0.5</v>
          </cell>
          <cell r="AW86">
            <v>0</v>
          </cell>
          <cell r="AX86">
            <v>0.5</v>
          </cell>
          <cell r="AY86">
            <v>0.5</v>
          </cell>
          <cell r="AZ86">
            <v>0</v>
          </cell>
          <cell r="BA86">
            <v>0.5</v>
          </cell>
          <cell r="BB86">
            <v>0.5</v>
          </cell>
          <cell r="BC86">
            <v>0</v>
          </cell>
          <cell r="BD86">
            <v>0.5</v>
          </cell>
          <cell r="BG86">
            <v>6.0000000000000005E-2</v>
          </cell>
          <cell r="BH86">
            <v>7.9999999999999988E-2</v>
          </cell>
          <cell r="BI86">
            <v>9.9999999999999992E-2</v>
          </cell>
          <cell r="BJ86">
            <v>6.0000000000000005E-2</v>
          </cell>
          <cell r="BK86">
            <v>7.9999999999999988E-2</v>
          </cell>
          <cell r="BL86">
            <v>9.9999999999999992E-2</v>
          </cell>
          <cell r="BM86">
            <v>6.0000000000000005E-2</v>
          </cell>
          <cell r="BN86">
            <v>7.9999999999999988E-2</v>
          </cell>
          <cell r="BO86">
            <v>9.9999999999999992E-2</v>
          </cell>
          <cell r="BP86">
            <v>6.0000000000000005E-2</v>
          </cell>
          <cell r="BQ86">
            <v>7.9999999999999988E-2</v>
          </cell>
          <cell r="BR86">
            <v>9.9999999999999992E-2</v>
          </cell>
          <cell r="BS86">
            <v>6.0000000000000005E-2</v>
          </cell>
          <cell r="BT86">
            <v>7.9999999999999988E-2</v>
          </cell>
          <cell r="BU86">
            <v>9.9999999999999992E-2</v>
          </cell>
          <cell r="BV86">
            <v>6.0000000000000005E-2</v>
          </cell>
          <cell r="BW86">
            <v>7.9999999999999988E-2</v>
          </cell>
          <cell r="BX86">
            <v>9.9999999999999992E-2</v>
          </cell>
          <cell r="BY86">
            <v>6.0000000000000005E-2</v>
          </cell>
          <cell r="BZ86">
            <v>7.9999999999999988E-2</v>
          </cell>
          <cell r="CA86">
            <v>9.9999999999999992E-2</v>
          </cell>
          <cell r="CB86">
            <v>6.0000000000000005E-2</v>
          </cell>
          <cell r="CC86">
            <v>7.9999999999999988E-2</v>
          </cell>
          <cell r="CD86">
            <v>9.9999999999999992E-2</v>
          </cell>
          <cell r="CE86">
            <v>6.0000000000000005E-2</v>
          </cell>
          <cell r="CF86">
            <v>7.9999999999999988E-2</v>
          </cell>
          <cell r="CG86">
            <v>9.9999999999999992E-2</v>
          </cell>
          <cell r="CH86">
            <v>6.0000000000000005E-2</v>
          </cell>
          <cell r="CI86">
            <v>7.9999999999999988E-2</v>
          </cell>
          <cell r="CJ86">
            <v>9.9999999999999992E-2</v>
          </cell>
          <cell r="CK86">
            <v>6.0000000000000005E-2</v>
          </cell>
          <cell r="CL86">
            <v>7.9999999999999988E-2</v>
          </cell>
          <cell r="CM86">
            <v>9.9999999999999992E-2</v>
          </cell>
          <cell r="CN86">
            <v>6.0000000000000005E-2</v>
          </cell>
          <cell r="CO86">
            <v>7.9999999999999988E-2</v>
          </cell>
          <cell r="CP86">
            <v>9.9999999999999992E-2</v>
          </cell>
          <cell r="CQ86">
            <v>6.0000000000000005E-2</v>
          </cell>
          <cell r="CR86">
            <v>7.9999999999999988E-2</v>
          </cell>
          <cell r="CS86">
            <v>9.9999999999999992E-2</v>
          </cell>
          <cell r="CV86">
            <v>5.5E-2</v>
          </cell>
          <cell r="CW86">
            <v>4.4999999999999998E-2</v>
          </cell>
          <cell r="CX86">
            <v>0.03</v>
          </cell>
          <cell r="CY86">
            <v>5.5E-2</v>
          </cell>
          <cell r="CZ86">
            <v>4.4999999999999998E-2</v>
          </cell>
          <cell r="DA86">
            <v>0.03</v>
          </cell>
          <cell r="DB86">
            <v>5.5E-2</v>
          </cell>
          <cell r="DC86">
            <v>4.4999999999999998E-2</v>
          </cell>
          <cell r="DD86">
            <v>0.03</v>
          </cell>
          <cell r="DE86">
            <v>5.5E-2</v>
          </cell>
          <cell r="DF86">
            <v>4.4999999999999998E-2</v>
          </cell>
          <cell r="DG86">
            <v>0.03</v>
          </cell>
          <cell r="DH86">
            <v>5.5E-2</v>
          </cell>
          <cell r="DI86">
            <v>4.4999999999999998E-2</v>
          </cell>
          <cell r="DJ86">
            <v>0.03</v>
          </cell>
          <cell r="DK86">
            <v>5.5E-2</v>
          </cell>
          <cell r="DL86">
            <v>4.4999999999999998E-2</v>
          </cell>
          <cell r="DM86">
            <v>0.03</v>
          </cell>
          <cell r="DN86">
            <v>5.5E-2</v>
          </cell>
          <cell r="DO86">
            <v>4.4999999999999998E-2</v>
          </cell>
          <cell r="DP86">
            <v>0.03</v>
          </cell>
          <cell r="DQ86">
            <v>5.5E-2</v>
          </cell>
          <cell r="DR86">
            <v>4.4999999999999998E-2</v>
          </cell>
          <cell r="DS86">
            <v>0.03</v>
          </cell>
          <cell r="DT86">
            <v>5.5E-2</v>
          </cell>
          <cell r="DU86">
            <v>4.4999999999999998E-2</v>
          </cell>
          <cell r="DV86">
            <v>0.03</v>
          </cell>
          <cell r="DW86">
            <v>5.5E-2</v>
          </cell>
          <cell r="DX86">
            <v>4.4999999999999998E-2</v>
          </cell>
          <cell r="DY86">
            <v>0.03</v>
          </cell>
          <cell r="DZ86">
            <v>5.5E-2</v>
          </cell>
          <cell r="EA86">
            <v>4.4999999999999998E-2</v>
          </cell>
          <cell r="EB86">
            <v>0.03</v>
          </cell>
          <cell r="EC86">
            <v>5.5E-2</v>
          </cell>
          <cell r="ED86">
            <v>4.4999999999999998E-2</v>
          </cell>
          <cell r="EE86">
            <v>0.03</v>
          </cell>
          <cell r="EG86">
            <v>3.2500000000000001E-2</v>
          </cell>
          <cell r="EH86">
            <v>3.2500000000000001E-2</v>
          </cell>
          <cell r="EI86">
            <v>3.2500000000000001E-2</v>
          </cell>
          <cell r="EJ86">
            <v>3.2500000000000001E-2</v>
          </cell>
          <cell r="EK86">
            <v>3.2500000000000001E-2</v>
          </cell>
          <cell r="EL86">
            <v>3.2500000000000001E-2</v>
          </cell>
          <cell r="EM86">
            <v>3.2500000000000001E-2</v>
          </cell>
          <cell r="EN86">
            <v>3.2500000000000001E-2</v>
          </cell>
          <cell r="EO86">
            <v>3.2500000000000001E-2</v>
          </cell>
          <cell r="EP86">
            <v>3.2500000000000001E-2</v>
          </cell>
          <cell r="EQ86">
            <v>3.2500000000000001E-2</v>
          </cell>
          <cell r="ER86">
            <v>3.2500000000000001E-2</v>
          </cell>
          <cell r="ES86">
            <v>3.2500000000000001E-2</v>
          </cell>
          <cell r="EU86">
            <v>0.08</v>
          </cell>
          <cell r="EV86">
            <v>0.08</v>
          </cell>
          <cell r="EW86">
            <v>0.08</v>
          </cell>
          <cell r="EX86">
            <v>0.08</v>
          </cell>
          <cell r="EY86">
            <v>0.08</v>
          </cell>
          <cell r="EZ86">
            <v>0.08</v>
          </cell>
          <cell r="FA86">
            <v>0.08</v>
          </cell>
          <cell r="FB86">
            <v>0.08</v>
          </cell>
          <cell r="FC86">
            <v>0.08</v>
          </cell>
          <cell r="FD86">
            <v>0.08</v>
          </cell>
          <cell r="FE86">
            <v>0.08</v>
          </cell>
          <cell r="FF86">
            <v>0.08</v>
          </cell>
          <cell r="FG86">
            <v>0.08</v>
          </cell>
        </row>
        <row r="87">
          <cell r="D87"/>
          <cell r="G87">
            <v>0.05</v>
          </cell>
          <cell r="H87">
            <v>0.05</v>
          </cell>
          <cell r="I87">
            <v>0.05</v>
          </cell>
          <cell r="J87">
            <v>0.05</v>
          </cell>
          <cell r="K87">
            <v>0.05</v>
          </cell>
          <cell r="L87">
            <v>0.05</v>
          </cell>
          <cell r="M87">
            <v>0.05</v>
          </cell>
          <cell r="N87">
            <v>0.05</v>
          </cell>
          <cell r="O87">
            <v>0.05</v>
          </cell>
          <cell r="P87">
            <v>0.05</v>
          </cell>
          <cell r="Q87">
            <v>0.05</v>
          </cell>
          <cell r="R87">
            <v>0.05</v>
          </cell>
          <cell r="U87">
            <v>0.5</v>
          </cell>
          <cell r="V87">
            <v>0</v>
          </cell>
          <cell r="W87">
            <v>0.5</v>
          </cell>
          <cell r="X87">
            <v>0.5</v>
          </cell>
          <cell r="Y87">
            <v>0</v>
          </cell>
          <cell r="Z87">
            <v>0.5</v>
          </cell>
          <cell r="AA87">
            <v>0.5</v>
          </cell>
          <cell r="AB87">
            <v>0</v>
          </cell>
          <cell r="AC87">
            <v>0.5</v>
          </cell>
          <cell r="AD87">
            <v>0.5</v>
          </cell>
          <cell r="AE87">
            <v>0</v>
          </cell>
          <cell r="AF87">
            <v>0.5</v>
          </cell>
          <cell r="AG87">
            <v>0.5</v>
          </cell>
          <cell r="AH87">
            <v>0</v>
          </cell>
          <cell r="AI87">
            <v>0.5</v>
          </cell>
          <cell r="AJ87">
            <v>0.5</v>
          </cell>
          <cell r="AK87">
            <v>0</v>
          </cell>
          <cell r="AL87">
            <v>0.5</v>
          </cell>
          <cell r="AM87">
            <v>0.5</v>
          </cell>
          <cell r="AN87">
            <v>0</v>
          </cell>
          <cell r="AO87">
            <v>0.5</v>
          </cell>
          <cell r="AP87">
            <v>0.5</v>
          </cell>
          <cell r="AQ87">
            <v>0</v>
          </cell>
          <cell r="AR87">
            <v>0.5</v>
          </cell>
          <cell r="AS87">
            <v>0.5</v>
          </cell>
          <cell r="AT87">
            <v>0</v>
          </cell>
          <cell r="AU87">
            <v>0.5</v>
          </cell>
          <cell r="AV87">
            <v>0.5</v>
          </cell>
          <cell r="AW87">
            <v>0</v>
          </cell>
          <cell r="AX87">
            <v>0.5</v>
          </cell>
          <cell r="AY87">
            <v>0.5</v>
          </cell>
          <cell r="AZ87">
            <v>0</v>
          </cell>
          <cell r="BA87">
            <v>0.5</v>
          </cell>
          <cell r="BB87">
            <v>0.5</v>
          </cell>
          <cell r="BC87">
            <v>0</v>
          </cell>
          <cell r="BD87">
            <v>0.5</v>
          </cell>
          <cell r="BG87">
            <v>6.0000000000000005E-2</v>
          </cell>
          <cell r="BH87">
            <v>7.9999999999999988E-2</v>
          </cell>
          <cell r="BI87">
            <v>9.9999999999999992E-2</v>
          </cell>
          <cell r="BJ87">
            <v>6.0000000000000005E-2</v>
          </cell>
          <cell r="BK87">
            <v>7.9999999999999988E-2</v>
          </cell>
          <cell r="BL87">
            <v>9.9999999999999992E-2</v>
          </cell>
          <cell r="BM87">
            <v>6.0000000000000005E-2</v>
          </cell>
          <cell r="BN87">
            <v>7.9999999999999988E-2</v>
          </cell>
          <cell r="BO87">
            <v>9.9999999999999992E-2</v>
          </cell>
          <cell r="BP87">
            <v>6.0000000000000005E-2</v>
          </cell>
          <cell r="BQ87">
            <v>7.9999999999999988E-2</v>
          </cell>
          <cell r="BR87">
            <v>9.9999999999999992E-2</v>
          </cell>
          <cell r="BS87">
            <v>6.0000000000000005E-2</v>
          </cell>
          <cell r="BT87">
            <v>7.9999999999999988E-2</v>
          </cell>
          <cell r="BU87">
            <v>9.9999999999999992E-2</v>
          </cell>
          <cell r="BV87">
            <v>6.0000000000000005E-2</v>
          </cell>
          <cell r="BW87">
            <v>7.9999999999999988E-2</v>
          </cell>
          <cell r="BX87">
            <v>9.9999999999999992E-2</v>
          </cell>
          <cell r="BY87">
            <v>6.0000000000000005E-2</v>
          </cell>
          <cell r="BZ87">
            <v>7.9999999999999988E-2</v>
          </cell>
          <cell r="CA87">
            <v>9.9999999999999992E-2</v>
          </cell>
          <cell r="CB87">
            <v>6.0000000000000005E-2</v>
          </cell>
          <cell r="CC87">
            <v>7.9999999999999988E-2</v>
          </cell>
          <cell r="CD87">
            <v>9.9999999999999992E-2</v>
          </cell>
          <cell r="CE87">
            <v>6.0000000000000005E-2</v>
          </cell>
          <cell r="CF87">
            <v>7.9999999999999988E-2</v>
          </cell>
          <cell r="CG87">
            <v>9.9999999999999992E-2</v>
          </cell>
          <cell r="CH87">
            <v>6.0000000000000005E-2</v>
          </cell>
          <cell r="CI87">
            <v>7.9999999999999988E-2</v>
          </cell>
          <cell r="CJ87">
            <v>9.9999999999999992E-2</v>
          </cell>
          <cell r="CK87">
            <v>6.0000000000000005E-2</v>
          </cell>
          <cell r="CL87">
            <v>7.9999999999999988E-2</v>
          </cell>
          <cell r="CM87">
            <v>9.9999999999999992E-2</v>
          </cell>
          <cell r="CN87">
            <v>6.0000000000000005E-2</v>
          </cell>
          <cell r="CO87">
            <v>7.9999999999999988E-2</v>
          </cell>
          <cell r="CP87">
            <v>9.9999999999999992E-2</v>
          </cell>
          <cell r="CQ87">
            <v>6.0000000000000005E-2</v>
          </cell>
          <cell r="CR87">
            <v>7.9999999999999988E-2</v>
          </cell>
          <cell r="CS87">
            <v>9.9999999999999992E-2</v>
          </cell>
          <cell r="CV87">
            <v>5.5E-2</v>
          </cell>
          <cell r="CW87">
            <v>4.4999999999999998E-2</v>
          </cell>
          <cell r="CX87">
            <v>0.03</v>
          </cell>
          <cell r="CY87">
            <v>5.5E-2</v>
          </cell>
          <cell r="CZ87">
            <v>4.4999999999999998E-2</v>
          </cell>
          <cell r="DA87">
            <v>0.03</v>
          </cell>
          <cell r="DB87">
            <v>5.5E-2</v>
          </cell>
          <cell r="DC87">
            <v>4.4999999999999998E-2</v>
          </cell>
          <cell r="DD87">
            <v>0.03</v>
          </cell>
          <cell r="DE87">
            <v>5.5E-2</v>
          </cell>
          <cell r="DF87">
            <v>4.4999999999999998E-2</v>
          </cell>
          <cell r="DG87">
            <v>0.03</v>
          </cell>
          <cell r="DH87">
            <v>5.5E-2</v>
          </cell>
          <cell r="DI87">
            <v>4.4999999999999998E-2</v>
          </cell>
          <cell r="DJ87">
            <v>0.03</v>
          </cell>
          <cell r="DK87">
            <v>5.5E-2</v>
          </cell>
          <cell r="DL87">
            <v>4.4999999999999998E-2</v>
          </cell>
          <cell r="DM87">
            <v>0.03</v>
          </cell>
          <cell r="DN87">
            <v>5.5E-2</v>
          </cell>
          <cell r="DO87">
            <v>4.4999999999999998E-2</v>
          </cell>
          <cell r="DP87">
            <v>0.03</v>
          </cell>
          <cell r="DQ87">
            <v>5.5E-2</v>
          </cell>
          <cell r="DR87">
            <v>4.4999999999999998E-2</v>
          </cell>
          <cell r="DS87">
            <v>0.03</v>
          </cell>
          <cell r="DT87">
            <v>5.5E-2</v>
          </cell>
          <cell r="DU87">
            <v>4.4999999999999998E-2</v>
          </cell>
          <cell r="DV87">
            <v>0.03</v>
          </cell>
          <cell r="DW87">
            <v>5.5E-2</v>
          </cell>
          <cell r="DX87">
            <v>4.4999999999999998E-2</v>
          </cell>
          <cell r="DY87">
            <v>0.03</v>
          </cell>
          <cell r="DZ87">
            <v>5.5E-2</v>
          </cell>
          <cell r="EA87">
            <v>4.4999999999999998E-2</v>
          </cell>
          <cell r="EB87">
            <v>0.03</v>
          </cell>
          <cell r="EC87">
            <v>5.5E-2</v>
          </cell>
          <cell r="ED87">
            <v>4.4999999999999998E-2</v>
          </cell>
          <cell r="EE87">
            <v>0.03</v>
          </cell>
          <cell r="EG87">
            <v>3.2500000000000001E-2</v>
          </cell>
          <cell r="EH87">
            <v>3.2500000000000001E-2</v>
          </cell>
          <cell r="EI87">
            <v>3.2500000000000001E-2</v>
          </cell>
          <cell r="EJ87">
            <v>3.2500000000000001E-2</v>
          </cell>
          <cell r="EK87">
            <v>3.2500000000000001E-2</v>
          </cell>
          <cell r="EL87">
            <v>3.2500000000000001E-2</v>
          </cell>
          <cell r="EM87">
            <v>3.2500000000000001E-2</v>
          </cell>
          <cell r="EN87">
            <v>3.2500000000000001E-2</v>
          </cell>
          <cell r="EO87">
            <v>3.2500000000000001E-2</v>
          </cell>
          <cell r="EP87">
            <v>3.2500000000000001E-2</v>
          </cell>
          <cell r="EQ87">
            <v>3.2500000000000001E-2</v>
          </cell>
          <cell r="ER87">
            <v>3.2500000000000001E-2</v>
          </cell>
          <cell r="ES87">
            <v>3.2500000000000001E-2</v>
          </cell>
          <cell r="EU87">
            <v>0.08</v>
          </cell>
          <cell r="EV87">
            <v>0.08</v>
          </cell>
          <cell r="EW87">
            <v>0.08</v>
          </cell>
          <cell r="EX87">
            <v>0.08</v>
          </cell>
          <cell r="EY87">
            <v>0.08</v>
          </cell>
          <cell r="EZ87">
            <v>0.08</v>
          </cell>
          <cell r="FA87">
            <v>0.08</v>
          </cell>
          <cell r="FB87">
            <v>0.08</v>
          </cell>
          <cell r="FC87">
            <v>0.08</v>
          </cell>
          <cell r="FD87">
            <v>0.08</v>
          </cell>
          <cell r="FE87">
            <v>0.08</v>
          </cell>
          <cell r="FF87">
            <v>0.08</v>
          </cell>
          <cell r="FG87">
            <v>0.08</v>
          </cell>
        </row>
        <row r="88">
          <cell r="C88" t="str">
            <v>MOKKA MCA GS ELECTRIC</v>
          </cell>
          <cell r="D88" t="str">
            <v>MOKKA MCA GS ELECTRIC</v>
          </cell>
          <cell r="G88">
            <v>0.05</v>
          </cell>
          <cell r="H88">
            <v>0.05</v>
          </cell>
          <cell r="I88">
            <v>0.05</v>
          </cell>
          <cell r="J88">
            <v>0.05</v>
          </cell>
          <cell r="K88">
            <v>0.05</v>
          </cell>
          <cell r="L88">
            <v>0.05</v>
          </cell>
          <cell r="M88">
            <v>0.05</v>
          </cell>
          <cell r="N88">
            <v>0.05</v>
          </cell>
          <cell r="O88">
            <v>0.05</v>
          </cell>
          <cell r="P88">
            <v>0.05</v>
          </cell>
          <cell r="Q88">
            <v>0.05</v>
          </cell>
          <cell r="R88">
            <v>0.05</v>
          </cell>
          <cell r="U88">
            <v>0.5</v>
          </cell>
          <cell r="V88">
            <v>0</v>
          </cell>
          <cell r="W88">
            <v>0.5</v>
          </cell>
          <cell r="X88">
            <v>0.5</v>
          </cell>
          <cell r="Y88">
            <v>0</v>
          </cell>
          <cell r="Z88">
            <v>0.5</v>
          </cell>
          <cell r="AA88">
            <v>0.5</v>
          </cell>
          <cell r="AB88">
            <v>0</v>
          </cell>
          <cell r="AC88">
            <v>0.5</v>
          </cell>
          <cell r="AD88">
            <v>0.5</v>
          </cell>
          <cell r="AE88">
            <v>0</v>
          </cell>
          <cell r="AF88">
            <v>0.5</v>
          </cell>
          <cell r="AG88">
            <v>0.5</v>
          </cell>
          <cell r="AH88">
            <v>0</v>
          </cell>
          <cell r="AI88">
            <v>0.5</v>
          </cell>
          <cell r="AJ88">
            <v>0.5</v>
          </cell>
          <cell r="AK88">
            <v>0</v>
          </cell>
          <cell r="AL88">
            <v>0.5</v>
          </cell>
          <cell r="AM88">
            <v>0.5</v>
          </cell>
          <cell r="AN88">
            <v>0</v>
          </cell>
          <cell r="AO88">
            <v>0.5</v>
          </cell>
          <cell r="AP88">
            <v>0.5</v>
          </cell>
          <cell r="AQ88">
            <v>0</v>
          </cell>
          <cell r="AR88">
            <v>0.5</v>
          </cell>
          <cell r="AS88">
            <v>0.5</v>
          </cell>
          <cell r="AT88">
            <v>0</v>
          </cell>
          <cell r="AU88">
            <v>0.5</v>
          </cell>
          <cell r="AV88">
            <v>0.5</v>
          </cell>
          <cell r="AW88">
            <v>0</v>
          </cell>
          <cell r="AX88">
            <v>0.5</v>
          </cell>
          <cell r="AY88">
            <v>0.5</v>
          </cell>
          <cell r="AZ88">
            <v>0</v>
          </cell>
          <cell r="BA88">
            <v>0.5</v>
          </cell>
          <cell r="BB88">
            <v>0.5</v>
          </cell>
          <cell r="BC88">
            <v>0</v>
          </cell>
          <cell r="BD88">
            <v>0.5</v>
          </cell>
          <cell r="BG88">
            <v>6.0000000000000005E-2</v>
          </cell>
          <cell r="BH88">
            <v>7.9999999999999988E-2</v>
          </cell>
          <cell r="BI88">
            <v>9.9999999999999992E-2</v>
          </cell>
          <cell r="BJ88">
            <v>6.0000000000000005E-2</v>
          </cell>
          <cell r="BK88">
            <v>7.9999999999999988E-2</v>
          </cell>
          <cell r="BL88">
            <v>9.9999999999999992E-2</v>
          </cell>
          <cell r="BM88">
            <v>6.0000000000000005E-2</v>
          </cell>
          <cell r="BN88">
            <v>7.9999999999999988E-2</v>
          </cell>
          <cell r="BO88">
            <v>9.9999999999999992E-2</v>
          </cell>
          <cell r="BP88">
            <v>6.0000000000000005E-2</v>
          </cell>
          <cell r="BQ88">
            <v>7.9999999999999988E-2</v>
          </cell>
          <cell r="BR88">
            <v>9.9999999999999992E-2</v>
          </cell>
          <cell r="BS88">
            <v>6.0000000000000005E-2</v>
          </cell>
          <cell r="BT88">
            <v>7.9999999999999988E-2</v>
          </cell>
          <cell r="BU88">
            <v>9.9999999999999992E-2</v>
          </cell>
          <cell r="BV88">
            <v>6.0000000000000005E-2</v>
          </cell>
          <cell r="BW88">
            <v>7.9999999999999988E-2</v>
          </cell>
          <cell r="BX88">
            <v>9.9999999999999992E-2</v>
          </cell>
          <cell r="BY88">
            <v>6.0000000000000005E-2</v>
          </cell>
          <cell r="BZ88">
            <v>7.9999999999999988E-2</v>
          </cell>
          <cell r="CA88">
            <v>9.9999999999999992E-2</v>
          </cell>
          <cell r="CB88">
            <v>6.0000000000000005E-2</v>
          </cell>
          <cell r="CC88">
            <v>7.9999999999999988E-2</v>
          </cell>
          <cell r="CD88">
            <v>9.9999999999999992E-2</v>
          </cell>
          <cell r="CE88">
            <v>6.0000000000000005E-2</v>
          </cell>
          <cell r="CF88">
            <v>7.9999999999999988E-2</v>
          </cell>
          <cell r="CG88">
            <v>9.9999999999999992E-2</v>
          </cell>
          <cell r="CH88">
            <v>6.0000000000000005E-2</v>
          </cell>
          <cell r="CI88">
            <v>7.9999999999999988E-2</v>
          </cell>
          <cell r="CJ88">
            <v>9.9999999999999992E-2</v>
          </cell>
          <cell r="CK88">
            <v>6.0000000000000005E-2</v>
          </cell>
          <cell r="CL88">
            <v>7.9999999999999988E-2</v>
          </cell>
          <cell r="CM88">
            <v>9.9999999999999992E-2</v>
          </cell>
          <cell r="CN88">
            <v>6.0000000000000005E-2</v>
          </cell>
          <cell r="CO88">
            <v>7.9999999999999988E-2</v>
          </cell>
          <cell r="CP88">
            <v>9.9999999999999992E-2</v>
          </cell>
          <cell r="CQ88">
            <v>6.0000000000000005E-2</v>
          </cell>
          <cell r="CR88">
            <v>7.9999999999999988E-2</v>
          </cell>
          <cell r="CS88">
            <v>9.9999999999999992E-2</v>
          </cell>
          <cell r="CV88">
            <v>5.5E-2</v>
          </cell>
          <cell r="CW88">
            <v>4.4999999999999998E-2</v>
          </cell>
          <cell r="CX88">
            <v>0.03</v>
          </cell>
          <cell r="CY88">
            <v>5.5E-2</v>
          </cell>
          <cell r="CZ88">
            <v>4.4999999999999998E-2</v>
          </cell>
          <cell r="DA88">
            <v>0.03</v>
          </cell>
          <cell r="DB88">
            <v>5.5E-2</v>
          </cell>
          <cell r="DC88">
            <v>4.4999999999999998E-2</v>
          </cell>
          <cell r="DD88">
            <v>0.03</v>
          </cell>
          <cell r="DE88">
            <v>5.5E-2</v>
          </cell>
          <cell r="DF88">
            <v>4.4999999999999998E-2</v>
          </cell>
          <cell r="DG88">
            <v>0.03</v>
          </cell>
          <cell r="DH88">
            <v>5.5E-2</v>
          </cell>
          <cell r="DI88">
            <v>4.4999999999999998E-2</v>
          </cell>
          <cell r="DJ88">
            <v>0.03</v>
          </cell>
          <cell r="DK88">
            <v>5.5E-2</v>
          </cell>
          <cell r="DL88">
            <v>4.4999999999999998E-2</v>
          </cell>
          <cell r="DM88">
            <v>0.03</v>
          </cell>
          <cell r="DN88">
            <v>5.5E-2</v>
          </cell>
          <cell r="DO88">
            <v>4.4999999999999998E-2</v>
          </cell>
          <cell r="DP88">
            <v>0.03</v>
          </cell>
          <cell r="DQ88">
            <v>5.5E-2</v>
          </cell>
          <cell r="DR88">
            <v>4.4999999999999998E-2</v>
          </cell>
          <cell r="DS88">
            <v>0.03</v>
          </cell>
          <cell r="DT88">
            <v>5.5E-2</v>
          </cell>
          <cell r="DU88">
            <v>4.4999999999999998E-2</v>
          </cell>
          <cell r="DV88">
            <v>0.03</v>
          </cell>
          <cell r="DW88">
            <v>5.5E-2</v>
          </cell>
          <cell r="DX88">
            <v>4.4999999999999998E-2</v>
          </cell>
          <cell r="DY88">
            <v>0.03</v>
          </cell>
          <cell r="DZ88">
            <v>5.5E-2</v>
          </cell>
          <cell r="EA88">
            <v>4.4999999999999998E-2</v>
          </cell>
          <cell r="EB88">
            <v>0.03</v>
          </cell>
          <cell r="EC88">
            <v>5.5E-2</v>
          </cell>
          <cell r="ED88">
            <v>4.4999999999999998E-2</v>
          </cell>
          <cell r="EE88">
            <v>0.03</v>
          </cell>
          <cell r="EG88">
            <v>3.2500000000000001E-2</v>
          </cell>
          <cell r="EH88">
            <v>3.2500000000000001E-2</v>
          </cell>
          <cell r="EI88">
            <v>3.2500000000000001E-2</v>
          </cell>
          <cell r="EJ88">
            <v>3.2500000000000001E-2</v>
          </cell>
          <cell r="EK88">
            <v>3.2500000000000001E-2</v>
          </cell>
          <cell r="EL88">
            <v>3.2500000000000001E-2</v>
          </cell>
          <cell r="EM88">
            <v>3.2500000000000001E-2</v>
          </cell>
          <cell r="EN88">
            <v>3.2500000000000001E-2</v>
          </cell>
          <cell r="EO88">
            <v>3.2500000000000001E-2</v>
          </cell>
          <cell r="EP88">
            <v>3.2500000000000001E-2</v>
          </cell>
          <cell r="EQ88">
            <v>3.2500000000000001E-2</v>
          </cell>
          <cell r="ER88">
            <v>3.2500000000000001E-2</v>
          </cell>
          <cell r="ES88">
            <v>3.2500000000000001E-2</v>
          </cell>
          <cell r="EU88">
            <v>0.08</v>
          </cell>
          <cell r="EV88">
            <v>0.08</v>
          </cell>
          <cell r="EW88">
            <v>0.08</v>
          </cell>
          <cell r="EX88">
            <v>0.08</v>
          </cell>
          <cell r="EY88">
            <v>0.08</v>
          </cell>
          <cell r="EZ88">
            <v>0.08</v>
          </cell>
          <cell r="FA88">
            <v>0.08</v>
          </cell>
          <cell r="FB88">
            <v>0.08</v>
          </cell>
          <cell r="FC88">
            <v>0.08</v>
          </cell>
          <cell r="FD88">
            <v>0.08</v>
          </cell>
          <cell r="FE88">
            <v>0.08</v>
          </cell>
          <cell r="FF88">
            <v>0.08</v>
          </cell>
          <cell r="FG88">
            <v>0.08</v>
          </cell>
        </row>
        <row r="89">
          <cell r="D89"/>
          <cell r="G89">
            <v>0.05</v>
          </cell>
          <cell r="H89">
            <v>0.05</v>
          </cell>
          <cell r="I89">
            <v>0.05</v>
          </cell>
          <cell r="J89">
            <v>0.05</v>
          </cell>
          <cell r="K89">
            <v>0.05</v>
          </cell>
          <cell r="L89">
            <v>0.05</v>
          </cell>
          <cell r="M89">
            <v>0.05</v>
          </cell>
          <cell r="N89">
            <v>0.05</v>
          </cell>
          <cell r="O89">
            <v>0.05</v>
          </cell>
          <cell r="P89">
            <v>0.05</v>
          </cell>
          <cell r="Q89">
            <v>0.05</v>
          </cell>
          <cell r="R89">
            <v>0.05</v>
          </cell>
          <cell r="U89">
            <v>0.5</v>
          </cell>
          <cell r="V89">
            <v>0</v>
          </cell>
          <cell r="W89">
            <v>0.5</v>
          </cell>
          <cell r="X89">
            <v>0.5</v>
          </cell>
          <cell r="Y89">
            <v>0</v>
          </cell>
          <cell r="Z89">
            <v>0.5</v>
          </cell>
          <cell r="AA89">
            <v>0.5</v>
          </cell>
          <cell r="AB89">
            <v>0</v>
          </cell>
          <cell r="AC89">
            <v>0.5</v>
          </cell>
          <cell r="AD89">
            <v>0.5</v>
          </cell>
          <cell r="AE89">
            <v>0</v>
          </cell>
          <cell r="AF89">
            <v>0.5</v>
          </cell>
          <cell r="AG89">
            <v>0.5</v>
          </cell>
          <cell r="AH89">
            <v>0</v>
          </cell>
          <cell r="AI89">
            <v>0.5</v>
          </cell>
          <cell r="AJ89">
            <v>0.5</v>
          </cell>
          <cell r="AK89">
            <v>0</v>
          </cell>
          <cell r="AL89">
            <v>0.5</v>
          </cell>
          <cell r="AM89">
            <v>0.5</v>
          </cell>
          <cell r="AN89">
            <v>0</v>
          </cell>
          <cell r="AO89">
            <v>0.5</v>
          </cell>
          <cell r="AP89">
            <v>0.5</v>
          </cell>
          <cell r="AQ89">
            <v>0</v>
          </cell>
          <cell r="AR89">
            <v>0.5</v>
          </cell>
          <cell r="AS89">
            <v>0.5</v>
          </cell>
          <cell r="AT89">
            <v>0</v>
          </cell>
          <cell r="AU89">
            <v>0.5</v>
          </cell>
          <cell r="AV89">
            <v>0.5</v>
          </cell>
          <cell r="AW89">
            <v>0</v>
          </cell>
          <cell r="AX89">
            <v>0.5</v>
          </cell>
          <cell r="AY89">
            <v>0.5</v>
          </cell>
          <cell r="AZ89">
            <v>0</v>
          </cell>
          <cell r="BA89">
            <v>0.5</v>
          </cell>
          <cell r="BB89">
            <v>0.5</v>
          </cell>
          <cell r="BC89">
            <v>0</v>
          </cell>
          <cell r="BD89">
            <v>0.5</v>
          </cell>
          <cell r="BG89">
            <v>6.0000000000000005E-2</v>
          </cell>
          <cell r="BH89">
            <v>7.9999999999999988E-2</v>
          </cell>
          <cell r="BI89">
            <v>9.9999999999999992E-2</v>
          </cell>
          <cell r="BJ89">
            <v>6.0000000000000005E-2</v>
          </cell>
          <cell r="BK89">
            <v>7.9999999999999988E-2</v>
          </cell>
          <cell r="BL89">
            <v>9.9999999999999992E-2</v>
          </cell>
          <cell r="BM89">
            <v>6.0000000000000005E-2</v>
          </cell>
          <cell r="BN89">
            <v>7.9999999999999988E-2</v>
          </cell>
          <cell r="BO89">
            <v>9.9999999999999992E-2</v>
          </cell>
          <cell r="BP89">
            <v>6.0000000000000005E-2</v>
          </cell>
          <cell r="BQ89">
            <v>7.9999999999999988E-2</v>
          </cell>
          <cell r="BR89">
            <v>9.9999999999999992E-2</v>
          </cell>
          <cell r="BS89">
            <v>6.0000000000000005E-2</v>
          </cell>
          <cell r="BT89">
            <v>7.9999999999999988E-2</v>
          </cell>
          <cell r="BU89">
            <v>9.9999999999999992E-2</v>
          </cell>
          <cell r="BV89">
            <v>6.0000000000000005E-2</v>
          </cell>
          <cell r="BW89">
            <v>7.9999999999999988E-2</v>
          </cell>
          <cell r="BX89">
            <v>9.9999999999999992E-2</v>
          </cell>
          <cell r="BY89">
            <v>6.0000000000000005E-2</v>
          </cell>
          <cell r="BZ89">
            <v>7.9999999999999988E-2</v>
          </cell>
          <cell r="CA89">
            <v>9.9999999999999992E-2</v>
          </cell>
          <cell r="CB89">
            <v>6.0000000000000005E-2</v>
          </cell>
          <cell r="CC89">
            <v>7.9999999999999988E-2</v>
          </cell>
          <cell r="CD89">
            <v>9.9999999999999992E-2</v>
          </cell>
          <cell r="CE89">
            <v>6.0000000000000005E-2</v>
          </cell>
          <cell r="CF89">
            <v>7.9999999999999988E-2</v>
          </cell>
          <cell r="CG89">
            <v>9.9999999999999992E-2</v>
          </cell>
          <cell r="CH89">
            <v>6.0000000000000005E-2</v>
          </cell>
          <cell r="CI89">
            <v>7.9999999999999988E-2</v>
          </cell>
          <cell r="CJ89">
            <v>9.9999999999999992E-2</v>
          </cell>
          <cell r="CK89">
            <v>6.0000000000000005E-2</v>
          </cell>
          <cell r="CL89">
            <v>7.9999999999999988E-2</v>
          </cell>
          <cell r="CM89">
            <v>9.9999999999999992E-2</v>
          </cell>
          <cell r="CN89">
            <v>6.0000000000000005E-2</v>
          </cell>
          <cell r="CO89">
            <v>7.9999999999999988E-2</v>
          </cell>
          <cell r="CP89">
            <v>9.9999999999999992E-2</v>
          </cell>
          <cell r="CQ89">
            <v>6.0000000000000005E-2</v>
          </cell>
          <cell r="CR89">
            <v>7.9999999999999988E-2</v>
          </cell>
          <cell r="CS89">
            <v>9.9999999999999992E-2</v>
          </cell>
          <cell r="CV89">
            <v>5.5E-2</v>
          </cell>
          <cell r="CW89">
            <v>4.4999999999999998E-2</v>
          </cell>
          <cell r="CX89">
            <v>0.03</v>
          </cell>
          <cell r="CY89">
            <v>5.5E-2</v>
          </cell>
          <cell r="CZ89">
            <v>4.4999999999999998E-2</v>
          </cell>
          <cell r="DA89">
            <v>0.03</v>
          </cell>
          <cell r="DB89">
            <v>5.5E-2</v>
          </cell>
          <cell r="DC89">
            <v>4.4999999999999998E-2</v>
          </cell>
          <cell r="DD89">
            <v>0.03</v>
          </cell>
          <cell r="DE89">
            <v>5.5E-2</v>
          </cell>
          <cell r="DF89">
            <v>4.4999999999999998E-2</v>
          </cell>
          <cell r="DG89">
            <v>0.03</v>
          </cell>
          <cell r="DH89">
            <v>5.5E-2</v>
          </cell>
          <cell r="DI89">
            <v>4.4999999999999998E-2</v>
          </cell>
          <cell r="DJ89">
            <v>0.03</v>
          </cell>
          <cell r="DK89">
            <v>5.5E-2</v>
          </cell>
          <cell r="DL89">
            <v>4.4999999999999998E-2</v>
          </cell>
          <cell r="DM89">
            <v>0.03</v>
          </cell>
          <cell r="DN89">
            <v>5.5E-2</v>
          </cell>
          <cell r="DO89">
            <v>4.4999999999999998E-2</v>
          </cell>
          <cell r="DP89">
            <v>0.03</v>
          </cell>
          <cell r="DQ89">
            <v>5.5E-2</v>
          </cell>
          <cell r="DR89">
            <v>4.4999999999999998E-2</v>
          </cell>
          <cell r="DS89">
            <v>0.03</v>
          </cell>
          <cell r="DT89">
            <v>5.5E-2</v>
          </cell>
          <cell r="DU89">
            <v>4.4999999999999998E-2</v>
          </cell>
          <cell r="DV89">
            <v>0.03</v>
          </cell>
          <cell r="DW89">
            <v>5.5E-2</v>
          </cell>
          <cell r="DX89">
            <v>4.4999999999999998E-2</v>
          </cell>
          <cell r="DY89">
            <v>0.03</v>
          </cell>
          <cell r="DZ89">
            <v>5.5E-2</v>
          </cell>
          <cell r="EA89">
            <v>4.4999999999999998E-2</v>
          </cell>
          <cell r="EB89">
            <v>0.03</v>
          </cell>
          <cell r="EC89">
            <v>5.5E-2</v>
          </cell>
          <cell r="ED89">
            <v>4.4999999999999998E-2</v>
          </cell>
          <cell r="EE89">
            <v>0.03</v>
          </cell>
          <cell r="EG89">
            <v>3.2500000000000001E-2</v>
          </cell>
          <cell r="EH89">
            <v>3.2500000000000001E-2</v>
          </cell>
          <cell r="EI89">
            <v>3.2500000000000001E-2</v>
          </cell>
          <cell r="EJ89">
            <v>3.2500000000000001E-2</v>
          </cell>
          <cell r="EK89">
            <v>3.2500000000000001E-2</v>
          </cell>
          <cell r="EL89">
            <v>3.2500000000000001E-2</v>
          </cell>
          <cell r="EM89">
            <v>3.2500000000000001E-2</v>
          </cell>
          <cell r="EN89">
            <v>3.2500000000000001E-2</v>
          </cell>
          <cell r="EO89">
            <v>3.2500000000000001E-2</v>
          </cell>
          <cell r="EP89">
            <v>3.2500000000000001E-2</v>
          </cell>
          <cell r="EQ89">
            <v>3.2500000000000001E-2</v>
          </cell>
          <cell r="ER89">
            <v>3.2500000000000001E-2</v>
          </cell>
          <cell r="ES89">
            <v>3.2500000000000001E-2</v>
          </cell>
          <cell r="EU89">
            <v>0.08</v>
          </cell>
          <cell r="EV89">
            <v>0.08</v>
          </cell>
          <cell r="EW89">
            <v>0.08</v>
          </cell>
          <cell r="EX89">
            <v>0.08</v>
          </cell>
          <cell r="EY89">
            <v>0.08</v>
          </cell>
          <cell r="EZ89">
            <v>0.08</v>
          </cell>
          <cell r="FA89">
            <v>0.08</v>
          </cell>
          <cell r="FB89">
            <v>0.08</v>
          </cell>
          <cell r="FC89">
            <v>0.08</v>
          </cell>
          <cell r="FD89">
            <v>0.08</v>
          </cell>
          <cell r="FE89">
            <v>0.08</v>
          </cell>
          <cell r="FF89">
            <v>0.08</v>
          </cell>
          <cell r="FG89">
            <v>0.08</v>
          </cell>
        </row>
        <row r="90">
          <cell r="C90" t="str">
            <v>New Grandland GS Hybrid</v>
          </cell>
          <cell r="D90" t="str">
            <v>New Grandland GS Hybrid 136HP AT</v>
          </cell>
          <cell r="G90">
            <v>0.05</v>
          </cell>
          <cell r="H90">
            <v>0.05</v>
          </cell>
          <cell r="I90">
            <v>0.05</v>
          </cell>
          <cell r="J90">
            <v>0.05</v>
          </cell>
          <cell r="K90">
            <v>0.05</v>
          </cell>
          <cell r="L90">
            <v>0.05</v>
          </cell>
          <cell r="M90">
            <v>0.05</v>
          </cell>
          <cell r="N90">
            <v>0.05</v>
          </cell>
          <cell r="O90">
            <v>0.05</v>
          </cell>
          <cell r="P90">
            <v>0.05</v>
          </cell>
          <cell r="Q90">
            <v>0.05</v>
          </cell>
          <cell r="R90">
            <v>0.05</v>
          </cell>
          <cell r="U90">
            <v>0.5</v>
          </cell>
          <cell r="V90">
            <v>0</v>
          </cell>
          <cell r="W90">
            <v>0.5</v>
          </cell>
          <cell r="X90">
            <v>0.5</v>
          </cell>
          <cell r="Y90">
            <v>0</v>
          </cell>
          <cell r="Z90">
            <v>0.5</v>
          </cell>
          <cell r="AA90">
            <v>0.5</v>
          </cell>
          <cell r="AB90">
            <v>0</v>
          </cell>
          <cell r="AC90">
            <v>0.5</v>
          </cell>
          <cell r="AD90">
            <v>0.5</v>
          </cell>
          <cell r="AE90">
            <v>0</v>
          </cell>
          <cell r="AF90">
            <v>0.5</v>
          </cell>
          <cell r="AG90">
            <v>0.5</v>
          </cell>
          <cell r="AH90">
            <v>0</v>
          </cell>
          <cell r="AI90">
            <v>0.5</v>
          </cell>
          <cell r="AJ90">
            <v>0.5</v>
          </cell>
          <cell r="AK90">
            <v>0</v>
          </cell>
          <cell r="AL90">
            <v>0.5</v>
          </cell>
          <cell r="AM90">
            <v>0.5</v>
          </cell>
          <cell r="AN90">
            <v>0</v>
          </cell>
          <cell r="AO90">
            <v>0.5</v>
          </cell>
          <cell r="AP90">
            <v>0.5</v>
          </cell>
          <cell r="AQ90">
            <v>0</v>
          </cell>
          <cell r="AR90">
            <v>0.5</v>
          </cell>
          <cell r="AS90">
            <v>0.5</v>
          </cell>
          <cell r="AT90">
            <v>0</v>
          </cell>
          <cell r="AU90">
            <v>0.5</v>
          </cell>
          <cell r="AV90">
            <v>0.5</v>
          </cell>
          <cell r="AW90">
            <v>0</v>
          </cell>
          <cell r="AX90">
            <v>0.5</v>
          </cell>
          <cell r="AY90">
            <v>0.5</v>
          </cell>
          <cell r="AZ90">
            <v>0</v>
          </cell>
          <cell r="BA90">
            <v>0.5</v>
          </cell>
          <cell r="BB90">
            <v>0.5</v>
          </cell>
          <cell r="BC90">
            <v>0</v>
          </cell>
          <cell r="BD90">
            <v>0.5</v>
          </cell>
          <cell r="BG90">
            <v>6.0000000000000005E-2</v>
          </cell>
          <cell r="BH90">
            <v>7.9999999999999988E-2</v>
          </cell>
          <cell r="BI90">
            <v>9.9999999999999992E-2</v>
          </cell>
          <cell r="BJ90">
            <v>6.0000000000000005E-2</v>
          </cell>
          <cell r="BK90">
            <v>7.9999999999999988E-2</v>
          </cell>
          <cell r="BL90">
            <v>9.9999999999999992E-2</v>
          </cell>
          <cell r="BM90">
            <v>6.0000000000000005E-2</v>
          </cell>
          <cell r="BN90">
            <v>7.9999999999999988E-2</v>
          </cell>
          <cell r="BO90">
            <v>9.9999999999999992E-2</v>
          </cell>
          <cell r="BP90">
            <v>6.0000000000000005E-2</v>
          </cell>
          <cell r="BQ90">
            <v>7.9999999999999988E-2</v>
          </cell>
          <cell r="BR90">
            <v>9.9999999999999992E-2</v>
          </cell>
          <cell r="BS90">
            <v>6.0000000000000005E-2</v>
          </cell>
          <cell r="BT90">
            <v>7.9999999999999988E-2</v>
          </cell>
          <cell r="BU90">
            <v>9.9999999999999992E-2</v>
          </cell>
          <cell r="BV90">
            <v>6.0000000000000005E-2</v>
          </cell>
          <cell r="BW90">
            <v>7.9999999999999988E-2</v>
          </cell>
          <cell r="BX90">
            <v>9.9999999999999992E-2</v>
          </cell>
          <cell r="BY90">
            <v>6.0000000000000005E-2</v>
          </cell>
          <cell r="BZ90">
            <v>7.9999999999999988E-2</v>
          </cell>
          <cell r="CA90">
            <v>9.9999999999999992E-2</v>
          </cell>
          <cell r="CB90">
            <v>6.0000000000000005E-2</v>
          </cell>
          <cell r="CC90">
            <v>7.9999999999999988E-2</v>
          </cell>
          <cell r="CD90">
            <v>9.9999999999999992E-2</v>
          </cell>
          <cell r="CE90">
            <v>6.0000000000000005E-2</v>
          </cell>
          <cell r="CF90">
            <v>7.9999999999999988E-2</v>
          </cell>
          <cell r="CG90">
            <v>9.9999999999999992E-2</v>
          </cell>
          <cell r="CH90">
            <v>6.0000000000000005E-2</v>
          </cell>
          <cell r="CI90">
            <v>7.9999999999999988E-2</v>
          </cell>
          <cell r="CJ90">
            <v>9.9999999999999992E-2</v>
          </cell>
          <cell r="CK90">
            <v>6.0000000000000005E-2</v>
          </cell>
          <cell r="CL90">
            <v>7.9999999999999988E-2</v>
          </cell>
          <cell r="CM90">
            <v>9.9999999999999992E-2</v>
          </cell>
          <cell r="CN90">
            <v>6.0000000000000005E-2</v>
          </cell>
          <cell r="CO90">
            <v>7.9999999999999988E-2</v>
          </cell>
          <cell r="CP90">
            <v>9.9999999999999992E-2</v>
          </cell>
          <cell r="CQ90">
            <v>6.0000000000000005E-2</v>
          </cell>
          <cell r="CR90">
            <v>7.9999999999999988E-2</v>
          </cell>
          <cell r="CS90">
            <v>9.9999999999999992E-2</v>
          </cell>
          <cell r="CV90">
            <v>0.06</v>
          </cell>
          <cell r="CW90">
            <v>0.05</v>
          </cell>
          <cell r="CX90">
            <v>0.03</v>
          </cell>
          <cell r="CY90">
            <v>0.06</v>
          </cell>
          <cell r="CZ90">
            <v>0.05</v>
          </cell>
          <cell r="DA90">
            <v>0.03</v>
          </cell>
          <cell r="DB90">
            <v>0.06</v>
          </cell>
          <cell r="DC90">
            <v>0.05</v>
          </cell>
          <cell r="DD90">
            <v>0.03</v>
          </cell>
          <cell r="DE90">
            <v>0.06</v>
          </cell>
          <cell r="DF90">
            <v>0.05</v>
          </cell>
          <cell r="DG90">
            <v>0.03</v>
          </cell>
          <cell r="DH90">
            <v>0.06</v>
          </cell>
          <cell r="DI90">
            <v>0.05</v>
          </cell>
          <cell r="DJ90">
            <v>0.03</v>
          </cell>
          <cell r="DK90">
            <v>0.06</v>
          </cell>
          <cell r="DL90">
            <v>0.05</v>
          </cell>
          <cell r="DM90">
            <v>0.03</v>
          </cell>
          <cell r="DN90">
            <v>0.06</v>
          </cell>
          <cell r="DO90">
            <v>0.05</v>
          </cell>
          <cell r="DP90">
            <v>0.03</v>
          </cell>
          <cell r="DQ90">
            <v>0.06</v>
          </cell>
          <cell r="DR90">
            <v>0.05</v>
          </cell>
          <cell r="DS90">
            <v>0.03</v>
          </cell>
          <cell r="DT90">
            <v>0.06</v>
          </cell>
          <cell r="DU90">
            <v>0.05</v>
          </cell>
          <cell r="DV90">
            <v>0.03</v>
          </cell>
          <cell r="DW90">
            <v>0.06</v>
          </cell>
          <cell r="DX90">
            <v>0.05</v>
          </cell>
          <cell r="DY90">
            <v>0.03</v>
          </cell>
          <cell r="DZ90">
            <v>0.06</v>
          </cell>
          <cell r="EA90">
            <v>0.05</v>
          </cell>
          <cell r="EB90">
            <v>0.03</v>
          </cell>
          <cell r="EC90">
            <v>0.06</v>
          </cell>
          <cell r="ED90">
            <v>0.05</v>
          </cell>
          <cell r="EE90">
            <v>0.03</v>
          </cell>
          <cell r="EG90">
            <v>3.5000000000000003E-2</v>
          </cell>
          <cell r="EH90">
            <v>3.5000000000000003E-2</v>
          </cell>
          <cell r="EI90">
            <v>3.5000000000000003E-2</v>
          </cell>
          <cell r="EJ90">
            <v>3.5000000000000003E-2</v>
          </cell>
          <cell r="EK90">
            <v>3.5000000000000003E-2</v>
          </cell>
          <cell r="EL90">
            <v>3.5000000000000003E-2</v>
          </cell>
          <cell r="EM90">
            <v>3.5000000000000003E-2</v>
          </cell>
          <cell r="EN90">
            <v>3.5000000000000003E-2</v>
          </cell>
          <cell r="EO90">
            <v>3.5000000000000003E-2</v>
          </cell>
          <cell r="EP90">
            <v>3.5000000000000003E-2</v>
          </cell>
          <cell r="EQ90">
            <v>3.5000000000000003E-2</v>
          </cell>
          <cell r="ER90">
            <v>3.5000000000000003E-2</v>
          </cell>
          <cell r="ES90">
            <v>3.5000000000000003E-2</v>
          </cell>
          <cell r="EU90">
            <v>0.08</v>
          </cell>
          <cell r="EV90">
            <v>0.08</v>
          </cell>
          <cell r="EW90">
            <v>0.08</v>
          </cell>
          <cell r="EX90">
            <v>0.08</v>
          </cell>
          <cell r="EY90">
            <v>0.08</v>
          </cell>
          <cell r="EZ90">
            <v>0.08</v>
          </cell>
          <cell r="FA90">
            <v>0.08</v>
          </cell>
          <cell r="FB90">
            <v>0.08</v>
          </cell>
          <cell r="FC90">
            <v>0.08</v>
          </cell>
          <cell r="FD90">
            <v>0.08</v>
          </cell>
          <cell r="FE90">
            <v>0.08</v>
          </cell>
          <cell r="FF90">
            <v>0.08</v>
          </cell>
          <cell r="FG90">
            <v>0.08</v>
          </cell>
        </row>
        <row r="91">
          <cell r="C91" t="str">
            <v>New Grandland GS Plus Hybrid</v>
          </cell>
          <cell r="D91" t="str">
            <v>New Grandland GS Plus Hybrid 136HP AT</v>
          </cell>
          <cell r="G91">
            <v>0.05</v>
          </cell>
          <cell r="H91">
            <v>0.05</v>
          </cell>
          <cell r="I91">
            <v>0.05</v>
          </cell>
          <cell r="J91">
            <v>0.05</v>
          </cell>
          <cell r="K91">
            <v>0.05</v>
          </cell>
          <cell r="L91">
            <v>0.05</v>
          </cell>
          <cell r="M91">
            <v>0.05</v>
          </cell>
          <cell r="N91">
            <v>0.05</v>
          </cell>
          <cell r="O91">
            <v>0.05</v>
          </cell>
          <cell r="P91">
            <v>0.05</v>
          </cell>
          <cell r="Q91">
            <v>0.05</v>
          </cell>
          <cell r="R91">
            <v>0.05</v>
          </cell>
          <cell r="U91">
            <v>0.5</v>
          </cell>
          <cell r="V91">
            <v>0</v>
          </cell>
          <cell r="W91">
            <v>0.5</v>
          </cell>
          <cell r="X91">
            <v>0.5</v>
          </cell>
          <cell r="Y91">
            <v>0</v>
          </cell>
          <cell r="Z91">
            <v>0.5</v>
          </cell>
          <cell r="AA91">
            <v>0.5</v>
          </cell>
          <cell r="AB91">
            <v>0</v>
          </cell>
          <cell r="AC91">
            <v>0.5</v>
          </cell>
          <cell r="AD91">
            <v>0.5</v>
          </cell>
          <cell r="AE91">
            <v>0</v>
          </cell>
          <cell r="AF91">
            <v>0.5</v>
          </cell>
          <cell r="AG91">
            <v>0.5</v>
          </cell>
          <cell r="AH91">
            <v>0</v>
          </cell>
          <cell r="AI91">
            <v>0.5</v>
          </cell>
          <cell r="AJ91">
            <v>0.5</v>
          </cell>
          <cell r="AK91">
            <v>0</v>
          </cell>
          <cell r="AL91">
            <v>0.5</v>
          </cell>
          <cell r="AM91">
            <v>0.5</v>
          </cell>
          <cell r="AN91">
            <v>0</v>
          </cell>
          <cell r="AO91">
            <v>0.5</v>
          </cell>
          <cell r="AP91">
            <v>0.5</v>
          </cell>
          <cell r="AQ91">
            <v>0</v>
          </cell>
          <cell r="AR91">
            <v>0.5</v>
          </cell>
          <cell r="AS91">
            <v>0.5</v>
          </cell>
          <cell r="AT91">
            <v>0</v>
          </cell>
          <cell r="AU91">
            <v>0.5</v>
          </cell>
          <cell r="AV91">
            <v>0.5</v>
          </cell>
          <cell r="AW91">
            <v>0</v>
          </cell>
          <cell r="AX91">
            <v>0.5</v>
          </cell>
          <cell r="AY91">
            <v>0.5</v>
          </cell>
          <cell r="AZ91">
            <v>0</v>
          </cell>
          <cell r="BA91">
            <v>0.5</v>
          </cell>
          <cell r="BB91">
            <v>0.5</v>
          </cell>
          <cell r="BC91">
            <v>0</v>
          </cell>
          <cell r="BD91">
            <v>0.5</v>
          </cell>
          <cell r="BG91">
            <v>6.0000000000000005E-2</v>
          </cell>
          <cell r="BH91">
            <v>7.9999999999999988E-2</v>
          </cell>
          <cell r="BI91">
            <v>9.9999999999999992E-2</v>
          </cell>
          <cell r="BJ91">
            <v>6.0000000000000005E-2</v>
          </cell>
          <cell r="BK91">
            <v>7.9999999999999988E-2</v>
          </cell>
          <cell r="BL91">
            <v>9.9999999999999992E-2</v>
          </cell>
          <cell r="BM91">
            <v>6.0000000000000005E-2</v>
          </cell>
          <cell r="BN91">
            <v>7.9999999999999988E-2</v>
          </cell>
          <cell r="BO91">
            <v>9.9999999999999992E-2</v>
          </cell>
          <cell r="BP91">
            <v>6.0000000000000005E-2</v>
          </cell>
          <cell r="BQ91">
            <v>7.9999999999999988E-2</v>
          </cell>
          <cell r="BR91">
            <v>9.9999999999999992E-2</v>
          </cell>
          <cell r="BS91">
            <v>6.0000000000000005E-2</v>
          </cell>
          <cell r="BT91">
            <v>7.9999999999999988E-2</v>
          </cell>
          <cell r="BU91">
            <v>9.9999999999999992E-2</v>
          </cell>
          <cell r="BV91">
            <v>6.0000000000000005E-2</v>
          </cell>
          <cell r="BW91">
            <v>7.9999999999999988E-2</v>
          </cell>
          <cell r="BX91">
            <v>9.9999999999999992E-2</v>
          </cell>
          <cell r="BY91">
            <v>6.0000000000000005E-2</v>
          </cell>
          <cell r="BZ91">
            <v>7.9999999999999988E-2</v>
          </cell>
          <cell r="CA91">
            <v>9.9999999999999992E-2</v>
          </cell>
          <cell r="CB91">
            <v>6.0000000000000005E-2</v>
          </cell>
          <cell r="CC91">
            <v>7.9999999999999988E-2</v>
          </cell>
          <cell r="CD91">
            <v>9.9999999999999992E-2</v>
          </cell>
          <cell r="CE91">
            <v>6.0000000000000005E-2</v>
          </cell>
          <cell r="CF91">
            <v>7.9999999999999988E-2</v>
          </cell>
          <cell r="CG91">
            <v>9.9999999999999992E-2</v>
          </cell>
          <cell r="CH91">
            <v>6.0000000000000005E-2</v>
          </cell>
          <cell r="CI91">
            <v>7.9999999999999988E-2</v>
          </cell>
          <cell r="CJ91">
            <v>9.9999999999999992E-2</v>
          </cell>
          <cell r="CK91">
            <v>6.0000000000000005E-2</v>
          </cell>
          <cell r="CL91">
            <v>7.9999999999999988E-2</v>
          </cell>
          <cell r="CM91">
            <v>9.9999999999999992E-2</v>
          </cell>
          <cell r="CN91">
            <v>6.0000000000000005E-2</v>
          </cell>
          <cell r="CO91">
            <v>7.9999999999999988E-2</v>
          </cell>
          <cell r="CP91">
            <v>9.9999999999999992E-2</v>
          </cell>
          <cell r="CQ91">
            <v>6.0000000000000005E-2</v>
          </cell>
          <cell r="CR91">
            <v>7.9999999999999988E-2</v>
          </cell>
          <cell r="CS91">
            <v>9.9999999999999992E-2</v>
          </cell>
          <cell r="CV91">
            <v>0.06</v>
          </cell>
          <cell r="CW91">
            <v>0.05</v>
          </cell>
          <cell r="CX91">
            <v>0.03</v>
          </cell>
          <cell r="CY91">
            <v>0.06</v>
          </cell>
          <cell r="CZ91">
            <v>0.05</v>
          </cell>
          <cell r="DA91">
            <v>0.03</v>
          </cell>
          <cell r="DB91">
            <v>0.06</v>
          </cell>
          <cell r="DC91">
            <v>0.05</v>
          </cell>
          <cell r="DD91">
            <v>0.03</v>
          </cell>
          <cell r="DE91">
            <v>0.06</v>
          </cell>
          <cell r="DF91">
            <v>0.05</v>
          </cell>
          <cell r="DG91">
            <v>0.03</v>
          </cell>
          <cell r="DH91">
            <v>0.06</v>
          </cell>
          <cell r="DI91">
            <v>0.05</v>
          </cell>
          <cell r="DJ91">
            <v>0.03</v>
          </cell>
          <cell r="DK91">
            <v>0.06</v>
          </cell>
          <cell r="DL91">
            <v>0.05</v>
          </cell>
          <cell r="DM91">
            <v>0.03</v>
          </cell>
          <cell r="DN91">
            <v>0.06</v>
          </cell>
          <cell r="DO91">
            <v>0.05</v>
          </cell>
          <cell r="DP91">
            <v>0.03</v>
          </cell>
          <cell r="DQ91">
            <v>0.06</v>
          </cell>
          <cell r="DR91">
            <v>0.05</v>
          </cell>
          <cell r="DS91">
            <v>0.03</v>
          </cell>
          <cell r="DT91">
            <v>0.06</v>
          </cell>
          <cell r="DU91">
            <v>0.05</v>
          </cell>
          <cell r="DV91">
            <v>0.03</v>
          </cell>
          <cell r="DW91">
            <v>0.06</v>
          </cell>
          <cell r="DX91">
            <v>0.05</v>
          </cell>
          <cell r="DY91">
            <v>0.03</v>
          </cell>
          <cell r="DZ91">
            <v>0.06</v>
          </cell>
          <cell r="EA91">
            <v>0.05</v>
          </cell>
          <cell r="EB91">
            <v>0.03</v>
          </cell>
          <cell r="EC91">
            <v>0.06</v>
          </cell>
          <cell r="ED91">
            <v>0.05</v>
          </cell>
          <cell r="EE91">
            <v>0.03</v>
          </cell>
          <cell r="EG91">
            <v>3.5000000000000003E-2</v>
          </cell>
          <cell r="EH91">
            <v>3.5000000000000003E-2</v>
          </cell>
          <cell r="EI91">
            <v>3.5000000000000003E-2</v>
          </cell>
          <cell r="EJ91">
            <v>3.5000000000000003E-2</v>
          </cell>
          <cell r="EK91">
            <v>3.5000000000000003E-2</v>
          </cell>
          <cell r="EL91">
            <v>3.5000000000000003E-2</v>
          </cell>
          <cell r="EM91">
            <v>3.5000000000000003E-2</v>
          </cell>
          <cell r="EN91">
            <v>3.5000000000000003E-2</v>
          </cell>
          <cell r="EO91">
            <v>3.5000000000000003E-2</v>
          </cell>
          <cell r="EP91">
            <v>3.5000000000000003E-2</v>
          </cell>
          <cell r="EQ91">
            <v>3.5000000000000003E-2</v>
          </cell>
          <cell r="ER91">
            <v>3.5000000000000003E-2</v>
          </cell>
          <cell r="ES91">
            <v>3.5000000000000003E-2</v>
          </cell>
          <cell r="EU91">
            <v>0.08</v>
          </cell>
          <cell r="EV91">
            <v>0.08</v>
          </cell>
          <cell r="EW91">
            <v>0.08</v>
          </cell>
          <cell r="EX91">
            <v>0.08</v>
          </cell>
          <cell r="EY91">
            <v>0.08</v>
          </cell>
          <cell r="EZ91">
            <v>0.08</v>
          </cell>
          <cell r="FA91">
            <v>0.08</v>
          </cell>
          <cell r="FB91">
            <v>0.08</v>
          </cell>
          <cell r="FC91">
            <v>0.08</v>
          </cell>
          <cell r="FD91">
            <v>0.08</v>
          </cell>
          <cell r="FE91">
            <v>0.08</v>
          </cell>
          <cell r="FF91">
            <v>0.08</v>
          </cell>
          <cell r="FG91">
            <v>0.08</v>
          </cell>
        </row>
        <row r="92">
          <cell r="C92" t="str">
            <v>New Grandland GS Plus 180Hp</v>
          </cell>
          <cell r="D92" t="str">
            <v>New Grandland GS Plus 180Hp</v>
          </cell>
          <cell r="G92">
            <v>0.05</v>
          </cell>
          <cell r="H92">
            <v>0.05</v>
          </cell>
          <cell r="I92">
            <v>0.05</v>
          </cell>
          <cell r="J92">
            <v>0.05</v>
          </cell>
          <cell r="K92">
            <v>0.05</v>
          </cell>
          <cell r="L92">
            <v>0.05</v>
          </cell>
          <cell r="M92">
            <v>0.05</v>
          </cell>
          <cell r="N92">
            <v>0.05</v>
          </cell>
          <cell r="O92">
            <v>0.05</v>
          </cell>
          <cell r="P92">
            <v>0.05</v>
          </cell>
          <cell r="Q92">
            <v>0.05</v>
          </cell>
          <cell r="R92">
            <v>0.05</v>
          </cell>
          <cell r="U92">
            <v>0.5</v>
          </cell>
          <cell r="V92">
            <v>0</v>
          </cell>
          <cell r="W92">
            <v>0.5</v>
          </cell>
          <cell r="X92">
            <v>0.5</v>
          </cell>
          <cell r="Y92">
            <v>0</v>
          </cell>
          <cell r="Z92">
            <v>0.5</v>
          </cell>
          <cell r="AA92">
            <v>0.5</v>
          </cell>
          <cell r="AB92">
            <v>0</v>
          </cell>
          <cell r="AC92">
            <v>0.5</v>
          </cell>
          <cell r="AD92">
            <v>0.5</v>
          </cell>
          <cell r="AE92">
            <v>0</v>
          </cell>
          <cell r="AF92">
            <v>0.5</v>
          </cell>
          <cell r="AG92">
            <v>0.5</v>
          </cell>
          <cell r="AH92">
            <v>0</v>
          </cell>
          <cell r="AI92">
            <v>0.5</v>
          </cell>
          <cell r="AJ92">
            <v>0.5</v>
          </cell>
          <cell r="AK92">
            <v>0</v>
          </cell>
          <cell r="AL92">
            <v>0.5</v>
          </cell>
          <cell r="AM92">
            <v>0.5</v>
          </cell>
          <cell r="AN92">
            <v>0</v>
          </cell>
          <cell r="AO92">
            <v>0.5</v>
          </cell>
          <cell r="AP92">
            <v>0.5</v>
          </cell>
          <cell r="AQ92">
            <v>0</v>
          </cell>
          <cell r="AR92">
            <v>0.5</v>
          </cell>
          <cell r="AS92">
            <v>0.5</v>
          </cell>
          <cell r="AT92">
            <v>0</v>
          </cell>
          <cell r="AU92">
            <v>0.5</v>
          </cell>
          <cell r="AV92">
            <v>0.5</v>
          </cell>
          <cell r="AW92">
            <v>0</v>
          </cell>
          <cell r="AX92">
            <v>0.5</v>
          </cell>
          <cell r="AY92">
            <v>0.5</v>
          </cell>
          <cell r="AZ92">
            <v>0</v>
          </cell>
          <cell r="BA92">
            <v>0.5</v>
          </cell>
          <cell r="BB92">
            <v>0.5</v>
          </cell>
          <cell r="BC92">
            <v>0</v>
          </cell>
          <cell r="BD92">
            <v>0.5</v>
          </cell>
          <cell r="BG92">
            <v>6.0000000000000005E-2</v>
          </cell>
          <cell r="BH92">
            <v>7.9999999999999988E-2</v>
          </cell>
          <cell r="BI92">
            <v>9.9999999999999992E-2</v>
          </cell>
          <cell r="BJ92">
            <v>6.0000000000000005E-2</v>
          </cell>
          <cell r="BK92">
            <v>7.9999999999999988E-2</v>
          </cell>
          <cell r="BL92">
            <v>9.9999999999999992E-2</v>
          </cell>
          <cell r="BM92">
            <v>6.0000000000000005E-2</v>
          </cell>
          <cell r="BN92">
            <v>7.9999999999999988E-2</v>
          </cell>
          <cell r="BO92">
            <v>9.9999999999999992E-2</v>
          </cell>
          <cell r="BP92">
            <v>6.0000000000000005E-2</v>
          </cell>
          <cell r="BQ92">
            <v>7.9999999999999988E-2</v>
          </cell>
          <cell r="BR92">
            <v>9.9999999999999992E-2</v>
          </cell>
          <cell r="BS92">
            <v>6.0000000000000005E-2</v>
          </cell>
          <cell r="BT92">
            <v>7.9999999999999988E-2</v>
          </cell>
          <cell r="BU92">
            <v>9.9999999999999992E-2</v>
          </cell>
          <cell r="BV92">
            <v>6.0000000000000005E-2</v>
          </cell>
          <cell r="BW92">
            <v>7.9999999999999988E-2</v>
          </cell>
          <cell r="BX92">
            <v>9.9999999999999992E-2</v>
          </cell>
          <cell r="BY92">
            <v>6.0000000000000005E-2</v>
          </cell>
          <cell r="BZ92">
            <v>7.9999999999999988E-2</v>
          </cell>
          <cell r="CA92">
            <v>9.9999999999999992E-2</v>
          </cell>
          <cell r="CB92">
            <v>6.0000000000000005E-2</v>
          </cell>
          <cell r="CC92">
            <v>7.9999999999999988E-2</v>
          </cell>
          <cell r="CD92">
            <v>9.9999999999999992E-2</v>
          </cell>
          <cell r="CE92">
            <v>6.0000000000000005E-2</v>
          </cell>
          <cell r="CF92">
            <v>7.9999999999999988E-2</v>
          </cell>
          <cell r="CG92">
            <v>9.9999999999999992E-2</v>
          </cell>
          <cell r="CH92">
            <v>6.0000000000000005E-2</v>
          </cell>
          <cell r="CI92">
            <v>7.9999999999999988E-2</v>
          </cell>
          <cell r="CJ92">
            <v>9.9999999999999992E-2</v>
          </cell>
          <cell r="CK92">
            <v>6.0000000000000005E-2</v>
          </cell>
          <cell r="CL92">
            <v>7.9999999999999988E-2</v>
          </cell>
          <cell r="CM92">
            <v>9.9999999999999992E-2</v>
          </cell>
          <cell r="CN92">
            <v>6.0000000000000005E-2</v>
          </cell>
          <cell r="CO92">
            <v>7.9999999999999988E-2</v>
          </cell>
          <cell r="CP92">
            <v>9.9999999999999992E-2</v>
          </cell>
          <cell r="CQ92">
            <v>6.0000000000000005E-2</v>
          </cell>
          <cell r="CR92">
            <v>7.9999999999999988E-2</v>
          </cell>
          <cell r="CS92">
            <v>9.9999999999999992E-2</v>
          </cell>
          <cell r="CV92">
            <v>0.06</v>
          </cell>
          <cell r="CW92">
            <v>0.05</v>
          </cell>
          <cell r="CX92">
            <v>0.03</v>
          </cell>
          <cell r="CY92">
            <v>0.06</v>
          </cell>
          <cell r="CZ92">
            <v>0.05</v>
          </cell>
          <cell r="DA92">
            <v>0.03</v>
          </cell>
          <cell r="DB92">
            <v>0.06</v>
          </cell>
          <cell r="DC92">
            <v>0.05</v>
          </cell>
          <cell r="DD92">
            <v>0.03</v>
          </cell>
          <cell r="DE92">
            <v>0.06</v>
          </cell>
          <cell r="DF92">
            <v>0.05</v>
          </cell>
          <cell r="DG92">
            <v>0.03</v>
          </cell>
          <cell r="DH92">
            <v>0.06</v>
          </cell>
          <cell r="DI92">
            <v>0.05</v>
          </cell>
          <cell r="DJ92">
            <v>0.03</v>
          </cell>
          <cell r="DK92">
            <v>0.06</v>
          </cell>
          <cell r="DL92">
            <v>0.05</v>
          </cell>
          <cell r="DM92">
            <v>0.03</v>
          </cell>
          <cell r="DN92">
            <v>0.06</v>
          </cell>
          <cell r="DO92">
            <v>0.05</v>
          </cell>
          <cell r="DP92">
            <v>0.03</v>
          </cell>
          <cell r="DQ92">
            <v>0.06</v>
          </cell>
          <cell r="DR92">
            <v>0.05</v>
          </cell>
          <cell r="DS92">
            <v>0.03</v>
          </cell>
          <cell r="DT92">
            <v>0.06</v>
          </cell>
          <cell r="DU92">
            <v>0.05</v>
          </cell>
          <cell r="DV92">
            <v>0.03</v>
          </cell>
          <cell r="DW92">
            <v>0.06</v>
          </cell>
          <cell r="DX92">
            <v>0.05</v>
          </cell>
          <cell r="DY92">
            <v>0.03</v>
          </cell>
          <cell r="DZ92">
            <v>0.06</v>
          </cell>
          <cell r="EA92">
            <v>0.05</v>
          </cell>
          <cell r="EB92">
            <v>0.03</v>
          </cell>
          <cell r="EC92">
            <v>0.06</v>
          </cell>
          <cell r="ED92">
            <v>0.05</v>
          </cell>
          <cell r="EE92">
            <v>0.03</v>
          </cell>
          <cell r="EG92">
            <v>3.5000000000000003E-2</v>
          </cell>
          <cell r="EH92">
            <v>3.5000000000000003E-2</v>
          </cell>
          <cell r="EI92">
            <v>3.5000000000000003E-2</v>
          </cell>
          <cell r="EJ92">
            <v>3.5000000000000003E-2</v>
          </cell>
          <cell r="EK92">
            <v>3.5000000000000003E-2</v>
          </cell>
          <cell r="EL92">
            <v>3.5000000000000003E-2</v>
          </cell>
          <cell r="EM92">
            <v>3.5000000000000003E-2</v>
          </cell>
          <cell r="EN92">
            <v>3.5000000000000003E-2</v>
          </cell>
          <cell r="EO92">
            <v>3.5000000000000003E-2</v>
          </cell>
          <cell r="EP92">
            <v>3.5000000000000003E-2</v>
          </cell>
          <cell r="EQ92">
            <v>3.5000000000000003E-2</v>
          </cell>
          <cell r="ER92">
            <v>3.5000000000000003E-2</v>
          </cell>
          <cell r="ES92">
            <v>3.5000000000000003E-2</v>
          </cell>
          <cell r="EU92">
            <v>0.08</v>
          </cell>
          <cell r="EV92">
            <v>0.08</v>
          </cell>
          <cell r="EW92">
            <v>0.08</v>
          </cell>
          <cell r="EX92">
            <v>0.08</v>
          </cell>
          <cell r="EY92">
            <v>0.08</v>
          </cell>
          <cell r="EZ92">
            <v>0.08</v>
          </cell>
          <cell r="FA92">
            <v>0.08</v>
          </cell>
          <cell r="FB92">
            <v>0.08</v>
          </cell>
          <cell r="FC92">
            <v>0.08</v>
          </cell>
          <cell r="FD92">
            <v>0.08</v>
          </cell>
          <cell r="FE92">
            <v>0.08</v>
          </cell>
          <cell r="FF92">
            <v>0.08</v>
          </cell>
          <cell r="FG92">
            <v>0.08</v>
          </cell>
        </row>
        <row r="93">
          <cell r="C93" t="str">
            <v>Grandland GS Gasolina 130HP MT</v>
          </cell>
          <cell r="D93" t="str">
            <v>Grandland GS Gasolina 130HP MT</v>
          </cell>
          <cell r="G93">
            <v>0.05</v>
          </cell>
          <cell r="H93">
            <v>0.05</v>
          </cell>
          <cell r="I93">
            <v>0.05</v>
          </cell>
          <cell r="J93">
            <v>0.05</v>
          </cell>
          <cell r="K93">
            <v>0.05</v>
          </cell>
          <cell r="L93">
            <v>0.05</v>
          </cell>
          <cell r="M93">
            <v>0.05</v>
          </cell>
          <cell r="N93">
            <v>0.05</v>
          </cell>
          <cell r="O93">
            <v>0.05</v>
          </cell>
          <cell r="P93">
            <v>0.05</v>
          </cell>
          <cell r="Q93">
            <v>0.05</v>
          </cell>
          <cell r="R93">
            <v>0.05</v>
          </cell>
          <cell r="U93">
            <v>0.5</v>
          </cell>
          <cell r="V93">
            <v>0</v>
          </cell>
          <cell r="W93">
            <v>0.5</v>
          </cell>
          <cell r="X93">
            <v>0.5</v>
          </cell>
          <cell r="Y93">
            <v>0</v>
          </cell>
          <cell r="Z93">
            <v>0.5</v>
          </cell>
          <cell r="AA93">
            <v>0.5</v>
          </cell>
          <cell r="AB93">
            <v>0</v>
          </cell>
          <cell r="AC93">
            <v>0.5</v>
          </cell>
          <cell r="AD93">
            <v>0.5</v>
          </cell>
          <cell r="AE93">
            <v>0</v>
          </cell>
          <cell r="AF93">
            <v>0.5</v>
          </cell>
          <cell r="AG93">
            <v>0.5</v>
          </cell>
          <cell r="AH93">
            <v>0</v>
          </cell>
          <cell r="AI93">
            <v>0.5</v>
          </cell>
          <cell r="AJ93">
            <v>0.5</v>
          </cell>
          <cell r="AK93">
            <v>0</v>
          </cell>
          <cell r="AL93">
            <v>0.5</v>
          </cell>
          <cell r="AM93">
            <v>0.5</v>
          </cell>
          <cell r="AN93">
            <v>0</v>
          </cell>
          <cell r="AO93">
            <v>0.5</v>
          </cell>
          <cell r="AP93">
            <v>0.5</v>
          </cell>
          <cell r="AQ93">
            <v>0</v>
          </cell>
          <cell r="AR93">
            <v>0.5</v>
          </cell>
          <cell r="AS93">
            <v>0.5</v>
          </cell>
          <cell r="AT93">
            <v>0</v>
          </cell>
          <cell r="AU93">
            <v>0.5</v>
          </cell>
          <cell r="AV93">
            <v>0.5</v>
          </cell>
          <cell r="AW93">
            <v>0</v>
          </cell>
          <cell r="AX93">
            <v>0.5</v>
          </cell>
          <cell r="AY93">
            <v>0.5</v>
          </cell>
          <cell r="AZ93">
            <v>0</v>
          </cell>
          <cell r="BA93">
            <v>0.5</v>
          </cell>
          <cell r="BB93">
            <v>0.5</v>
          </cell>
          <cell r="BC93">
            <v>0</v>
          </cell>
          <cell r="BD93">
            <v>0.5</v>
          </cell>
          <cell r="BG93">
            <v>6.0000000000000005E-2</v>
          </cell>
          <cell r="BH93">
            <v>7.9999999999999988E-2</v>
          </cell>
          <cell r="BI93">
            <v>9.9999999999999992E-2</v>
          </cell>
          <cell r="BJ93">
            <v>6.0000000000000005E-2</v>
          </cell>
          <cell r="BK93">
            <v>7.9999999999999988E-2</v>
          </cell>
          <cell r="BL93">
            <v>9.9999999999999992E-2</v>
          </cell>
          <cell r="BM93">
            <v>6.0000000000000005E-2</v>
          </cell>
          <cell r="BN93">
            <v>7.9999999999999988E-2</v>
          </cell>
          <cell r="BO93">
            <v>9.9999999999999992E-2</v>
          </cell>
          <cell r="BP93">
            <v>6.0000000000000005E-2</v>
          </cell>
          <cell r="BQ93">
            <v>7.9999999999999988E-2</v>
          </cell>
          <cell r="BR93">
            <v>9.9999999999999992E-2</v>
          </cell>
          <cell r="BS93">
            <v>6.0000000000000005E-2</v>
          </cell>
          <cell r="BT93">
            <v>7.9999999999999988E-2</v>
          </cell>
          <cell r="BU93">
            <v>9.9999999999999992E-2</v>
          </cell>
          <cell r="BV93">
            <v>6.0000000000000005E-2</v>
          </cell>
          <cell r="BW93">
            <v>7.9999999999999988E-2</v>
          </cell>
          <cell r="BX93">
            <v>9.9999999999999992E-2</v>
          </cell>
          <cell r="BY93">
            <v>6.0000000000000005E-2</v>
          </cell>
          <cell r="BZ93">
            <v>7.9999999999999988E-2</v>
          </cell>
          <cell r="CA93">
            <v>9.9999999999999992E-2</v>
          </cell>
          <cell r="CB93">
            <v>6.0000000000000005E-2</v>
          </cell>
          <cell r="CC93">
            <v>7.9999999999999988E-2</v>
          </cell>
          <cell r="CD93">
            <v>9.9999999999999992E-2</v>
          </cell>
          <cell r="CE93">
            <v>6.0000000000000005E-2</v>
          </cell>
          <cell r="CF93">
            <v>7.9999999999999988E-2</v>
          </cell>
          <cell r="CG93">
            <v>9.9999999999999992E-2</v>
          </cell>
          <cell r="CH93">
            <v>6.0000000000000005E-2</v>
          </cell>
          <cell r="CI93">
            <v>7.9999999999999988E-2</v>
          </cell>
          <cell r="CJ93">
            <v>9.9999999999999992E-2</v>
          </cell>
          <cell r="CK93">
            <v>6.0000000000000005E-2</v>
          </cell>
          <cell r="CL93">
            <v>7.9999999999999988E-2</v>
          </cell>
          <cell r="CM93">
            <v>9.9999999999999992E-2</v>
          </cell>
          <cell r="CN93">
            <v>6.0000000000000005E-2</v>
          </cell>
          <cell r="CO93">
            <v>7.9999999999999988E-2</v>
          </cell>
          <cell r="CP93">
            <v>9.9999999999999992E-2</v>
          </cell>
          <cell r="CQ93">
            <v>6.0000000000000005E-2</v>
          </cell>
          <cell r="CR93">
            <v>7.9999999999999988E-2</v>
          </cell>
          <cell r="CS93">
            <v>9.9999999999999992E-2</v>
          </cell>
          <cell r="CV93">
            <v>0.06</v>
          </cell>
          <cell r="CW93">
            <v>0.05</v>
          </cell>
          <cell r="CX93">
            <v>0.03</v>
          </cell>
          <cell r="CY93">
            <v>0.06</v>
          </cell>
          <cell r="CZ93">
            <v>0.05</v>
          </cell>
          <cell r="DA93">
            <v>0.03</v>
          </cell>
          <cell r="DB93">
            <v>0.06</v>
          </cell>
          <cell r="DC93">
            <v>0.05</v>
          </cell>
          <cell r="DD93">
            <v>0.03</v>
          </cell>
          <cell r="DE93">
            <v>0.06</v>
          </cell>
          <cell r="DF93">
            <v>0.05</v>
          </cell>
          <cell r="DG93">
            <v>0.03</v>
          </cell>
          <cell r="DH93">
            <v>0.06</v>
          </cell>
          <cell r="DI93">
            <v>0.05</v>
          </cell>
          <cell r="DJ93">
            <v>0.03</v>
          </cell>
          <cell r="DK93">
            <v>0.06</v>
          </cell>
          <cell r="DL93">
            <v>0.05</v>
          </cell>
          <cell r="DM93">
            <v>0.03</v>
          </cell>
          <cell r="DN93">
            <v>0.06</v>
          </cell>
          <cell r="DO93">
            <v>0.05</v>
          </cell>
          <cell r="DP93">
            <v>0.03</v>
          </cell>
          <cell r="DQ93">
            <v>0.06</v>
          </cell>
          <cell r="DR93">
            <v>0.05</v>
          </cell>
          <cell r="DS93">
            <v>0.03</v>
          </cell>
          <cell r="DT93">
            <v>0.06</v>
          </cell>
          <cell r="DU93">
            <v>0.05</v>
          </cell>
          <cell r="DV93">
            <v>0.03</v>
          </cell>
          <cell r="DW93">
            <v>0.06</v>
          </cell>
          <cell r="DX93">
            <v>0.05</v>
          </cell>
          <cell r="DY93">
            <v>0.03</v>
          </cell>
          <cell r="DZ93">
            <v>0.06</v>
          </cell>
          <cell r="EA93">
            <v>0.05</v>
          </cell>
          <cell r="EB93">
            <v>0.03</v>
          </cell>
          <cell r="EC93">
            <v>0.06</v>
          </cell>
          <cell r="ED93">
            <v>0.05</v>
          </cell>
          <cell r="EE93">
            <v>0.03</v>
          </cell>
          <cell r="EG93">
            <v>3.5000000000000003E-2</v>
          </cell>
          <cell r="EH93">
            <v>3.5000000000000003E-2</v>
          </cell>
          <cell r="EI93">
            <v>3.5000000000000003E-2</v>
          </cell>
          <cell r="EJ93">
            <v>3.5000000000000003E-2</v>
          </cell>
          <cell r="EK93">
            <v>3.5000000000000003E-2</v>
          </cell>
          <cell r="EL93">
            <v>3.5000000000000003E-2</v>
          </cell>
          <cell r="EM93">
            <v>3.5000000000000003E-2</v>
          </cell>
          <cell r="EN93">
            <v>3.5000000000000003E-2</v>
          </cell>
          <cell r="EO93">
            <v>3.5000000000000003E-2</v>
          </cell>
          <cell r="EP93">
            <v>3.5000000000000003E-2</v>
          </cell>
          <cell r="EQ93">
            <v>3.5000000000000003E-2</v>
          </cell>
          <cell r="ER93">
            <v>3.5000000000000003E-2</v>
          </cell>
          <cell r="ES93">
            <v>3.5000000000000003E-2</v>
          </cell>
          <cell r="EU93">
            <v>0.08</v>
          </cell>
          <cell r="EV93">
            <v>0.08</v>
          </cell>
          <cell r="EW93">
            <v>0.08</v>
          </cell>
          <cell r="EX93">
            <v>0.08</v>
          </cell>
          <cell r="EY93">
            <v>0.08</v>
          </cell>
          <cell r="EZ93">
            <v>0.08</v>
          </cell>
          <cell r="FA93">
            <v>0.08</v>
          </cell>
          <cell r="FB93">
            <v>0.08</v>
          </cell>
          <cell r="FC93">
            <v>0.08</v>
          </cell>
          <cell r="FD93">
            <v>0.08</v>
          </cell>
          <cell r="FE93">
            <v>0.08</v>
          </cell>
          <cell r="FF93">
            <v>0.08</v>
          </cell>
          <cell r="FG93">
            <v>0.08</v>
          </cell>
        </row>
        <row r="94">
          <cell r="D94"/>
          <cell r="G94">
            <v>0.05</v>
          </cell>
          <cell r="H94">
            <v>0.05</v>
          </cell>
          <cell r="I94">
            <v>0.05</v>
          </cell>
          <cell r="J94">
            <v>0.05</v>
          </cell>
          <cell r="K94">
            <v>0.05</v>
          </cell>
          <cell r="L94">
            <v>0.05</v>
          </cell>
          <cell r="M94">
            <v>0.05</v>
          </cell>
          <cell r="N94">
            <v>0.05</v>
          </cell>
          <cell r="O94">
            <v>0.05</v>
          </cell>
          <cell r="P94">
            <v>0.05</v>
          </cell>
          <cell r="Q94">
            <v>0.05</v>
          </cell>
          <cell r="R94">
            <v>0.05</v>
          </cell>
          <cell r="U94">
            <v>0.5</v>
          </cell>
          <cell r="V94">
            <v>0</v>
          </cell>
          <cell r="W94">
            <v>0.5</v>
          </cell>
          <cell r="X94">
            <v>0.5</v>
          </cell>
          <cell r="Y94">
            <v>0</v>
          </cell>
          <cell r="Z94">
            <v>0.5</v>
          </cell>
          <cell r="AA94">
            <v>0.5</v>
          </cell>
          <cell r="AB94">
            <v>0</v>
          </cell>
          <cell r="AC94">
            <v>0.5</v>
          </cell>
          <cell r="AD94">
            <v>0.5</v>
          </cell>
          <cell r="AE94">
            <v>0</v>
          </cell>
          <cell r="AF94">
            <v>0.5</v>
          </cell>
          <cell r="AG94">
            <v>0.5</v>
          </cell>
          <cell r="AH94">
            <v>0</v>
          </cell>
          <cell r="AI94">
            <v>0.5</v>
          </cell>
          <cell r="AJ94">
            <v>0.5</v>
          </cell>
          <cell r="AK94">
            <v>0</v>
          </cell>
          <cell r="AL94">
            <v>0.5</v>
          </cell>
          <cell r="AM94">
            <v>0.5</v>
          </cell>
          <cell r="AN94">
            <v>0</v>
          </cell>
          <cell r="AO94">
            <v>0.5</v>
          </cell>
          <cell r="AP94">
            <v>0.5</v>
          </cell>
          <cell r="AQ94">
            <v>0</v>
          </cell>
          <cell r="AR94">
            <v>0.5</v>
          </cell>
          <cell r="AS94">
            <v>0.5</v>
          </cell>
          <cell r="AT94">
            <v>0</v>
          </cell>
          <cell r="AU94">
            <v>0.5</v>
          </cell>
          <cell r="AV94">
            <v>0.5</v>
          </cell>
          <cell r="AW94">
            <v>0</v>
          </cell>
          <cell r="AX94">
            <v>0.5</v>
          </cell>
          <cell r="AY94">
            <v>0.5</v>
          </cell>
          <cell r="AZ94">
            <v>0</v>
          </cell>
          <cell r="BA94">
            <v>0.5</v>
          </cell>
          <cell r="BB94">
            <v>0.5</v>
          </cell>
          <cell r="BC94">
            <v>0</v>
          </cell>
          <cell r="BD94">
            <v>0.5</v>
          </cell>
          <cell r="BG94">
            <v>6.0000000000000005E-2</v>
          </cell>
          <cell r="BH94">
            <v>7.9999999999999988E-2</v>
          </cell>
          <cell r="BI94">
            <v>9.9999999999999992E-2</v>
          </cell>
          <cell r="BJ94">
            <v>6.0000000000000005E-2</v>
          </cell>
          <cell r="BK94">
            <v>7.9999999999999988E-2</v>
          </cell>
          <cell r="BL94">
            <v>9.9999999999999992E-2</v>
          </cell>
          <cell r="BM94">
            <v>6.0000000000000005E-2</v>
          </cell>
          <cell r="BN94">
            <v>7.9999999999999988E-2</v>
          </cell>
          <cell r="BO94">
            <v>9.9999999999999992E-2</v>
          </cell>
          <cell r="BP94">
            <v>6.0000000000000005E-2</v>
          </cell>
          <cell r="BQ94">
            <v>7.9999999999999988E-2</v>
          </cell>
          <cell r="BR94">
            <v>9.9999999999999992E-2</v>
          </cell>
          <cell r="BS94">
            <v>6.0000000000000005E-2</v>
          </cell>
          <cell r="BT94">
            <v>7.9999999999999988E-2</v>
          </cell>
          <cell r="BU94">
            <v>9.9999999999999992E-2</v>
          </cell>
          <cell r="BV94">
            <v>6.0000000000000005E-2</v>
          </cell>
          <cell r="BW94">
            <v>7.9999999999999988E-2</v>
          </cell>
          <cell r="BX94">
            <v>9.9999999999999992E-2</v>
          </cell>
          <cell r="BY94">
            <v>6.0000000000000005E-2</v>
          </cell>
          <cell r="BZ94">
            <v>7.9999999999999988E-2</v>
          </cell>
          <cell r="CA94">
            <v>9.9999999999999992E-2</v>
          </cell>
          <cell r="CB94">
            <v>6.0000000000000005E-2</v>
          </cell>
          <cell r="CC94">
            <v>7.9999999999999988E-2</v>
          </cell>
          <cell r="CD94">
            <v>9.9999999999999992E-2</v>
          </cell>
          <cell r="CE94">
            <v>6.0000000000000005E-2</v>
          </cell>
          <cell r="CF94">
            <v>7.9999999999999988E-2</v>
          </cell>
          <cell r="CG94">
            <v>9.9999999999999992E-2</v>
          </cell>
          <cell r="CH94">
            <v>6.0000000000000005E-2</v>
          </cell>
          <cell r="CI94">
            <v>7.9999999999999988E-2</v>
          </cell>
          <cell r="CJ94">
            <v>9.9999999999999992E-2</v>
          </cell>
          <cell r="CK94">
            <v>6.0000000000000005E-2</v>
          </cell>
          <cell r="CL94">
            <v>7.9999999999999988E-2</v>
          </cell>
          <cell r="CM94">
            <v>9.9999999999999992E-2</v>
          </cell>
          <cell r="CN94">
            <v>6.0000000000000005E-2</v>
          </cell>
          <cell r="CO94">
            <v>7.9999999999999988E-2</v>
          </cell>
          <cell r="CP94">
            <v>9.9999999999999992E-2</v>
          </cell>
          <cell r="CQ94">
            <v>6.0000000000000005E-2</v>
          </cell>
          <cell r="CR94">
            <v>7.9999999999999988E-2</v>
          </cell>
          <cell r="CS94">
            <v>9.9999999999999992E-2</v>
          </cell>
          <cell r="CV94">
            <v>0.06</v>
          </cell>
          <cell r="CW94">
            <v>0.05</v>
          </cell>
          <cell r="CX94">
            <v>0.03</v>
          </cell>
          <cell r="CY94">
            <v>0.06</v>
          </cell>
          <cell r="CZ94">
            <v>0.05</v>
          </cell>
          <cell r="DA94">
            <v>0.03</v>
          </cell>
          <cell r="DB94">
            <v>0.06</v>
          </cell>
          <cell r="DC94">
            <v>0.05</v>
          </cell>
          <cell r="DD94">
            <v>0.03</v>
          </cell>
          <cell r="DE94">
            <v>0.06</v>
          </cell>
          <cell r="DF94">
            <v>0.05</v>
          </cell>
          <cell r="DG94">
            <v>0.03</v>
          </cell>
          <cell r="DH94">
            <v>0.06</v>
          </cell>
          <cell r="DI94">
            <v>0.05</v>
          </cell>
          <cell r="DJ94">
            <v>0.03</v>
          </cell>
          <cell r="DK94">
            <v>0.06</v>
          </cell>
          <cell r="DL94">
            <v>0.05</v>
          </cell>
          <cell r="DM94">
            <v>0.03</v>
          </cell>
          <cell r="DN94">
            <v>0.06</v>
          </cell>
          <cell r="DO94">
            <v>0.05</v>
          </cell>
          <cell r="DP94">
            <v>0.03</v>
          </cell>
          <cell r="DQ94">
            <v>0.06</v>
          </cell>
          <cell r="DR94">
            <v>0.05</v>
          </cell>
          <cell r="DS94">
            <v>0.03</v>
          </cell>
          <cell r="DT94">
            <v>0.06</v>
          </cell>
          <cell r="DU94">
            <v>0.05</v>
          </cell>
          <cell r="DV94">
            <v>0.03</v>
          </cell>
          <cell r="DW94">
            <v>0.06</v>
          </cell>
          <cell r="DX94">
            <v>0.05</v>
          </cell>
          <cell r="DY94">
            <v>0.03</v>
          </cell>
          <cell r="DZ94">
            <v>0.06</v>
          </cell>
          <cell r="EA94">
            <v>0.05</v>
          </cell>
          <cell r="EB94">
            <v>0.03</v>
          </cell>
          <cell r="EC94">
            <v>0.06</v>
          </cell>
          <cell r="ED94">
            <v>0.05</v>
          </cell>
          <cell r="EE94">
            <v>0.03</v>
          </cell>
          <cell r="EG94">
            <v>3.5000000000000003E-2</v>
          </cell>
          <cell r="EH94">
            <v>3.5000000000000003E-2</v>
          </cell>
          <cell r="EI94">
            <v>3.5000000000000003E-2</v>
          </cell>
          <cell r="EJ94">
            <v>3.5000000000000003E-2</v>
          </cell>
          <cell r="EK94">
            <v>3.5000000000000003E-2</v>
          </cell>
          <cell r="EL94">
            <v>3.5000000000000003E-2</v>
          </cell>
          <cell r="EM94">
            <v>3.5000000000000003E-2</v>
          </cell>
          <cell r="EN94">
            <v>3.5000000000000003E-2</v>
          </cell>
          <cell r="EO94">
            <v>3.5000000000000003E-2</v>
          </cell>
          <cell r="EP94">
            <v>3.5000000000000003E-2</v>
          </cell>
          <cell r="EQ94">
            <v>3.5000000000000003E-2</v>
          </cell>
          <cell r="ER94">
            <v>3.5000000000000003E-2</v>
          </cell>
          <cell r="ES94">
            <v>3.5000000000000003E-2</v>
          </cell>
          <cell r="EU94">
            <v>0.08</v>
          </cell>
          <cell r="EV94">
            <v>0.08</v>
          </cell>
          <cell r="EW94">
            <v>0.08</v>
          </cell>
          <cell r="EX94">
            <v>0.08</v>
          </cell>
          <cell r="EY94">
            <v>0.08</v>
          </cell>
          <cell r="EZ94">
            <v>0.08</v>
          </cell>
          <cell r="FA94">
            <v>0.08</v>
          </cell>
          <cell r="FB94">
            <v>0.08</v>
          </cell>
          <cell r="FC94">
            <v>0.08</v>
          </cell>
          <cell r="FD94">
            <v>0.08</v>
          </cell>
          <cell r="FE94">
            <v>0.08</v>
          </cell>
          <cell r="FF94">
            <v>0.08</v>
          </cell>
          <cell r="FG94">
            <v>0.08</v>
          </cell>
        </row>
        <row r="95">
          <cell r="C95" t="str">
            <v>COMBO MCA LITE 1.5 TD</v>
          </cell>
          <cell r="D95" t="str">
            <v>Combo Lite Diesel 100HP MT</v>
          </cell>
          <cell r="G95">
            <v>0.8</v>
          </cell>
          <cell r="H95">
            <v>0.8</v>
          </cell>
          <cell r="I95">
            <v>0.8</v>
          </cell>
          <cell r="J95">
            <v>0.8</v>
          </cell>
          <cell r="K95">
            <v>0.8</v>
          </cell>
          <cell r="L95">
            <v>0.8</v>
          </cell>
          <cell r="M95">
            <v>0.8</v>
          </cell>
          <cell r="N95">
            <v>0.8</v>
          </cell>
          <cell r="O95">
            <v>0.8</v>
          </cell>
          <cell r="P95">
            <v>0.8</v>
          </cell>
          <cell r="Q95">
            <v>0.8</v>
          </cell>
          <cell r="R95">
            <v>0.8</v>
          </cell>
          <cell r="U95">
            <v>0.5</v>
          </cell>
          <cell r="V95">
            <v>0.25</v>
          </cell>
          <cell r="W95">
            <v>0.25</v>
          </cell>
          <cell r="X95">
            <v>0.5</v>
          </cell>
          <cell r="Y95">
            <v>0.25</v>
          </cell>
          <cell r="Z95">
            <v>0.25</v>
          </cell>
          <cell r="AA95">
            <v>0.1</v>
          </cell>
          <cell r="AB95">
            <v>0.26</v>
          </cell>
          <cell r="AC95">
            <v>0.64</v>
          </cell>
          <cell r="AD95">
            <v>0.35</v>
          </cell>
          <cell r="AE95">
            <v>0.25</v>
          </cell>
          <cell r="AF95">
            <v>0.4</v>
          </cell>
          <cell r="AG95">
            <v>0.35</v>
          </cell>
          <cell r="AH95">
            <v>0.25</v>
          </cell>
          <cell r="AI95">
            <v>0.4</v>
          </cell>
          <cell r="AJ95">
            <v>0.35</v>
          </cell>
          <cell r="AK95">
            <v>0.25</v>
          </cell>
          <cell r="AL95">
            <v>0.4</v>
          </cell>
          <cell r="AM95">
            <v>0.5</v>
          </cell>
          <cell r="AN95">
            <v>0.25</v>
          </cell>
          <cell r="AO95">
            <v>0.25</v>
          </cell>
          <cell r="AP95">
            <v>0.5</v>
          </cell>
          <cell r="AQ95">
            <v>0.25</v>
          </cell>
          <cell r="AR95">
            <v>0.25</v>
          </cell>
          <cell r="AS95">
            <v>0.5</v>
          </cell>
          <cell r="AT95">
            <v>0.25</v>
          </cell>
          <cell r="AU95">
            <v>0.25</v>
          </cell>
          <cell r="AV95">
            <v>0.5</v>
          </cell>
          <cell r="AW95">
            <v>0.25</v>
          </cell>
          <cell r="AX95">
            <v>0.25</v>
          </cell>
          <cell r="AY95">
            <v>0.5</v>
          </cell>
          <cell r="AZ95">
            <v>0.25</v>
          </cell>
          <cell r="BA95">
            <v>0.25</v>
          </cell>
          <cell r="BB95">
            <v>0.5</v>
          </cell>
          <cell r="BC95">
            <v>0.25</v>
          </cell>
          <cell r="BD95">
            <v>0.25</v>
          </cell>
          <cell r="BG95">
            <v>0.13499999999999998</v>
          </cell>
          <cell r="BH95">
            <v>0.17499999999999999</v>
          </cell>
          <cell r="BI95">
            <v>0.23500000000000001</v>
          </cell>
          <cell r="BJ95">
            <v>0.11</v>
          </cell>
          <cell r="BK95">
            <v>0.15</v>
          </cell>
          <cell r="BL95">
            <v>0.23</v>
          </cell>
          <cell r="BM95">
            <v>0.11</v>
          </cell>
          <cell r="BN95">
            <v>0.15</v>
          </cell>
          <cell r="BO95">
            <v>0.23</v>
          </cell>
          <cell r="BP95">
            <v>0.11</v>
          </cell>
          <cell r="BQ95">
            <v>0.15</v>
          </cell>
          <cell r="BR95">
            <v>0.2</v>
          </cell>
          <cell r="BS95">
            <v>0.11</v>
          </cell>
          <cell r="BT95">
            <v>0.15</v>
          </cell>
          <cell r="BU95">
            <v>0.23</v>
          </cell>
          <cell r="BV95">
            <v>0.13</v>
          </cell>
          <cell r="BW95">
            <v>0.17</v>
          </cell>
          <cell r="BX95">
            <v>0.25</v>
          </cell>
          <cell r="BY95">
            <v>0.15</v>
          </cell>
          <cell r="BZ95">
            <v>0.19</v>
          </cell>
          <cell r="CA95">
            <v>0.27</v>
          </cell>
          <cell r="CB95">
            <v>0.15</v>
          </cell>
          <cell r="CC95">
            <v>0.19</v>
          </cell>
          <cell r="CD95">
            <v>0.27</v>
          </cell>
          <cell r="CE95">
            <v>0.15</v>
          </cell>
          <cell r="CF95">
            <v>0.19</v>
          </cell>
          <cell r="CG95">
            <v>0.27</v>
          </cell>
          <cell r="CH95">
            <v>0.15</v>
          </cell>
          <cell r="CI95">
            <v>0.19</v>
          </cell>
          <cell r="CJ95">
            <v>0.27</v>
          </cell>
          <cell r="CK95">
            <v>0.15</v>
          </cell>
          <cell r="CL95">
            <v>0.19</v>
          </cell>
          <cell r="CM95">
            <v>0.27</v>
          </cell>
          <cell r="CN95">
            <v>0.15</v>
          </cell>
          <cell r="CO95">
            <v>0.19</v>
          </cell>
          <cell r="CP95">
            <v>0.27</v>
          </cell>
          <cell r="CQ95">
            <v>0.15</v>
          </cell>
          <cell r="CR95">
            <v>0.19</v>
          </cell>
          <cell r="CS95">
            <v>0.27</v>
          </cell>
          <cell r="CV95">
            <v>5.5E-2</v>
          </cell>
          <cell r="CW95">
            <v>0.05</v>
          </cell>
          <cell r="CX95">
            <v>0.03</v>
          </cell>
          <cell r="CY95">
            <v>5.5E-2</v>
          </cell>
          <cell r="CZ95">
            <v>0.05</v>
          </cell>
          <cell r="DA95">
            <v>0.03</v>
          </cell>
          <cell r="DB95">
            <v>5.5E-2</v>
          </cell>
          <cell r="DC95">
            <v>0.05</v>
          </cell>
          <cell r="DD95">
            <v>0.03</v>
          </cell>
          <cell r="DE95">
            <v>5.5E-2</v>
          </cell>
          <cell r="DF95">
            <v>0.05</v>
          </cell>
          <cell r="DG95">
            <v>0.03</v>
          </cell>
          <cell r="DH95">
            <v>5.5E-2</v>
          </cell>
          <cell r="DI95">
            <v>0.05</v>
          </cell>
          <cell r="DJ95">
            <v>0.03</v>
          </cell>
          <cell r="DK95">
            <v>5.5E-2</v>
          </cell>
          <cell r="DL95">
            <v>0.05</v>
          </cell>
          <cell r="DM95">
            <v>0.03</v>
          </cell>
          <cell r="DN95">
            <v>5.5E-2</v>
          </cell>
          <cell r="DO95">
            <v>0.05</v>
          </cell>
          <cell r="DP95">
            <v>0.03</v>
          </cell>
          <cell r="DQ95">
            <v>5.5E-2</v>
          </cell>
          <cell r="DR95">
            <v>0.05</v>
          </cell>
          <cell r="DS95">
            <v>0.03</v>
          </cell>
          <cell r="DT95">
            <v>5.5E-2</v>
          </cell>
          <cell r="DU95">
            <v>0.05</v>
          </cell>
          <cell r="DV95">
            <v>0.03</v>
          </cell>
          <cell r="DW95">
            <v>5.5E-2</v>
          </cell>
          <cell r="DX95">
            <v>0.05</v>
          </cell>
          <cell r="DY95">
            <v>0.03</v>
          </cell>
          <cell r="DZ95">
            <v>5.5E-2</v>
          </cell>
          <cell r="EA95">
            <v>0.05</v>
          </cell>
          <cell r="EB95">
            <v>0.03</v>
          </cell>
          <cell r="EC95">
            <v>5.5E-2</v>
          </cell>
          <cell r="ED95">
            <v>0.05</v>
          </cell>
          <cell r="EE95">
            <v>0.03</v>
          </cell>
          <cell r="EG95">
            <v>0.11749999999999998</v>
          </cell>
          <cell r="EH95">
            <v>9.7499999999999989E-2</v>
          </cell>
          <cell r="EI95">
            <v>9.7499999999999989E-2</v>
          </cell>
          <cell r="EJ95">
            <v>0.11569999999999998</v>
          </cell>
          <cell r="EK95">
            <v>0.11175</v>
          </cell>
          <cell r="EL95">
            <v>0.13174999999999998</v>
          </cell>
          <cell r="EM95">
            <v>0.15175</v>
          </cell>
          <cell r="EN95">
            <v>0.13750000000000001</v>
          </cell>
          <cell r="EO95">
            <v>0.13750000000000001</v>
          </cell>
          <cell r="EP95">
            <v>0.13750000000000001</v>
          </cell>
          <cell r="EQ95">
            <v>0.13750000000000001</v>
          </cell>
          <cell r="ER95">
            <v>0.13750000000000001</v>
          </cell>
          <cell r="ES95">
            <v>0.13750000000000001</v>
          </cell>
          <cell r="EU95">
            <v>0.16999999999999998</v>
          </cell>
          <cell r="EV95">
            <v>0.15</v>
          </cell>
          <cell r="EW95">
            <v>0.15</v>
          </cell>
          <cell r="EX95">
            <v>0.17799999999999999</v>
          </cell>
          <cell r="EY95">
            <v>0.16800000000000001</v>
          </cell>
          <cell r="EZ95">
            <v>0.188</v>
          </cell>
          <cell r="FA95">
            <v>0.20800000000000002</v>
          </cell>
          <cell r="FB95">
            <v>0.19</v>
          </cell>
          <cell r="FC95">
            <v>0.19</v>
          </cell>
          <cell r="FD95">
            <v>0.19</v>
          </cell>
          <cell r="FE95">
            <v>0.19</v>
          </cell>
          <cell r="FF95">
            <v>0.19</v>
          </cell>
          <cell r="FG95">
            <v>0.19</v>
          </cell>
        </row>
        <row r="96">
          <cell r="D96"/>
          <cell r="G96">
            <v>0.8</v>
          </cell>
          <cell r="H96">
            <v>0.8</v>
          </cell>
          <cell r="I96">
            <v>0.8</v>
          </cell>
          <cell r="J96">
            <v>0.8</v>
          </cell>
          <cell r="K96">
            <v>0.8</v>
          </cell>
          <cell r="L96">
            <v>0.8</v>
          </cell>
          <cell r="M96">
            <v>0.8</v>
          </cell>
          <cell r="N96">
            <v>0.8</v>
          </cell>
          <cell r="O96">
            <v>0.8</v>
          </cell>
          <cell r="P96">
            <v>0.8</v>
          </cell>
          <cell r="Q96">
            <v>0.8</v>
          </cell>
          <cell r="R96">
            <v>0.8</v>
          </cell>
          <cell r="U96">
            <v>0.5</v>
          </cell>
          <cell r="V96">
            <v>0.25</v>
          </cell>
          <cell r="W96">
            <v>0.25</v>
          </cell>
          <cell r="X96">
            <v>0.5</v>
          </cell>
          <cell r="Y96">
            <v>0.25</v>
          </cell>
          <cell r="Z96">
            <v>0.25</v>
          </cell>
          <cell r="AA96">
            <v>0.1</v>
          </cell>
          <cell r="AB96">
            <v>0.2</v>
          </cell>
          <cell r="AC96">
            <v>0.7</v>
          </cell>
          <cell r="AD96">
            <v>0.35</v>
          </cell>
          <cell r="AE96">
            <v>0.25</v>
          </cell>
          <cell r="AF96">
            <v>0.4</v>
          </cell>
          <cell r="AG96">
            <v>0.35</v>
          </cell>
          <cell r="AH96">
            <v>0.25</v>
          </cell>
          <cell r="AI96">
            <v>0.4</v>
          </cell>
          <cell r="AJ96">
            <v>0.35</v>
          </cell>
          <cell r="AK96">
            <v>0.25</v>
          </cell>
          <cell r="AL96">
            <v>0.4</v>
          </cell>
          <cell r="AM96">
            <v>0.5</v>
          </cell>
          <cell r="AN96">
            <v>0.25</v>
          </cell>
          <cell r="AO96">
            <v>0.25</v>
          </cell>
          <cell r="AP96">
            <v>0.5</v>
          </cell>
          <cell r="AQ96">
            <v>0.25</v>
          </cell>
          <cell r="AR96">
            <v>0.25</v>
          </cell>
          <cell r="AS96">
            <v>0.5</v>
          </cell>
          <cell r="AT96">
            <v>0.25</v>
          </cell>
          <cell r="AU96">
            <v>0.25</v>
          </cell>
          <cell r="AV96">
            <v>0.5</v>
          </cell>
          <cell r="AW96">
            <v>0.25</v>
          </cell>
          <cell r="AX96">
            <v>0.25</v>
          </cell>
          <cell r="AY96">
            <v>0.5</v>
          </cell>
          <cell r="AZ96">
            <v>0.25</v>
          </cell>
          <cell r="BA96">
            <v>0.25</v>
          </cell>
          <cell r="BB96">
            <v>0.5</v>
          </cell>
          <cell r="BC96">
            <v>0.25</v>
          </cell>
          <cell r="BD96">
            <v>0.25</v>
          </cell>
          <cell r="BG96">
            <v>0.13499999999999998</v>
          </cell>
          <cell r="BH96">
            <v>0.17499999999999999</v>
          </cell>
          <cell r="BI96">
            <v>0.23500000000000001</v>
          </cell>
          <cell r="BJ96">
            <v>0.11</v>
          </cell>
          <cell r="BK96">
            <v>0.15</v>
          </cell>
          <cell r="BL96">
            <v>0.23</v>
          </cell>
          <cell r="BM96">
            <v>0.11</v>
          </cell>
          <cell r="BN96">
            <v>0.15</v>
          </cell>
          <cell r="BO96">
            <v>0.23</v>
          </cell>
          <cell r="BP96">
            <v>0.11</v>
          </cell>
          <cell r="BQ96">
            <v>0.15</v>
          </cell>
          <cell r="BR96">
            <v>0.2</v>
          </cell>
          <cell r="BS96">
            <v>0.11</v>
          </cell>
          <cell r="BT96">
            <v>0.15</v>
          </cell>
          <cell r="BU96">
            <v>0.23</v>
          </cell>
          <cell r="BV96">
            <v>0.11</v>
          </cell>
          <cell r="BW96">
            <v>0.15</v>
          </cell>
          <cell r="BX96">
            <v>0.23</v>
          </cell>
          <cell r="BY96">
            <v>0.15</v>
          </cell>
          <cell r="BZ96">
            <v>0.19</v>
          </cell>
          <cell r="CA96">
            <v>0.27</v>
          </cell>
          <cell r="CB96">
            <v>0.15</v>
          </cell>
          <cell r="CC96">
            <v>0.19</v>
          </cell>
          <cell r="CD96">
            <v>0.27</v>
          </cell>
          <cell r="CE96">
            <v>0.15</v>
          </cell>
          <cell r="CF96">
            <v>0.19</v>
          </cell>
          <cell r="CG96">
            <v>0.27</v>
          </cell>
          <cell r="CH96">
            <v>0.15</v>
          </cell>
          <cell r="CI96">
            <v>0.19</v>
          </cell>
          <cell r="CJ96">
            <v>0.27</v>
          </cell>
          <cell r="CK96">
            <v>0.15</v>
          </cell>
          <cell r="CL96">
            <v>0.19</v>
          </cell>
          <cell r="CM96">
            <v>0.27</v>
          </cell>
          <cell r="CN96">
            <v>0.15</v>
          </cell>
          <cell r="CO96">
            <v>0.19</v>
          </cell>
          <cell r="CP96">
            <v>0.27</v>
          </cell>
          <cell r="CQ96">
            <v>0.15</v>
          </cell>
          <cell r="CR96">
            <v>0.19</v>
          </cell>
          <cell r="CS96">
            <v>0.27</v>
          </cell>
          <cell r="CV96">
            <v>5.5E-2</v>
          </cell>
          <cell r="CW96">
            <v>0.05</v>
          </cell>
          <cell r="CX96">
            <v>0.03</v>
          </cell>
          <cell r="CY96">
            <v>5.5E-2</v>
          </cell>
          <cell r="CZ96">
            <v>0.05</v>
          </cell>
          <cell r="DA96">
            <v>0.03</v>
          </cell>
          <cell r="DB96">
            <v>5.5E-2</v>
          </cell>
          <cell r="DC96">
            <v>0.05</v>
          </cell>
          <cell r="DD96">
            <v>0.03</v>
          </cell>
          <cell r="DE96">
            <v>5.5E-2</v>
          </cell>
          <cell r="DF96">
            <v>0.05</v>
          </cell>
          <cell r="DG96">
            <v>0.03</v>
          </cell>
          <cell r="DH96">
            <v>5.5E-2</v>
          </cell>
          <cell r="DI96">
            <v>0.05</v>
          </cell>
          <cell r="DJ96">
            <v>0.03</v>
          </cell>
          <cell r="DK96">
            <v>5.5E-2</v>
          </cell>
          <cell r="DL96">
            <v>0.05</v>
          </cell>
          <cell r="DM96">
            <v>0.03</v>
          </cell>
          <cell r="DN96">
            <v>5.5E-2</v>
          </cell>
          <cell r="DO96">
            <v>0.05</v>
          </cell>
          <cell r="DP96">
            <v>0.03</v>
          </cell>
          <cell r="DQ96">
            <v>5.5E-2</v>
          </cell>
          <cell r="DR96">
            <v>0.05</v>
          </cell>
          <cell r="DS96">
            <v>0.03</v>
          </cell>
          <cell r="DT96">
            <v>5.5E-2</v>
          </cell>
          <cell r="DU96">
            <v>0.05</v>
          </cell>
          <cell r="DV96">
            <v>0.03</v>
          </cell>
          <cell r="DW96">
            <v>5.5E-2</v>
          </cell>
          <cell r="DX96">
            <v>0.05</v>
          </cell>
          <cell r="DY96">
            <v>0.03</v>
          </cell>
          <cell r="DZ96">
            <v>5.5E-2</v>
          </cell>
          <cell r="EA96">
            <v>0.05</v>
          </cell>
          <cell r="EB96">
            <v>0.03</v>
          </cell>
          <cell r="EC96">
            <v>5.5E-2</v>
          </cell>
          <cell r="ED96">
            <v>0.05</v>
          </cell>
          <cell r="EE96">
            <v>0.03</v>
          </cell>
          <cell r="EG96">
            <v>0.11749999999999998</v>
          </cell>
          <cell r="EH96">
            <v>9.7499999999999989E-2</v>
          </cell>
          <cell r="EI96">
            <v>9.7499999999999989E-2</v>
          </cell>
          <cell r="EJ96">
            <v>0.11749999999999999</v>
          </cell>
          <cell r="EK96">
            <v>0.11175</v>
          </cell>
          <cell r="EL96">
            <v>0.11175</v>
          </cell>
          <cell r="EM96">
            <v>0.15175</v>
          </cell>
          <cell r="EN96">
            <v>0.13750000000000001</v>
          </cell>
          <cell r="EO96">
            <v>0.13750000000000001</v>
          </cell>
          <cell r="EP96">
            <v>0.13750000000000001</v>
          </cell>
          <cell r="EQ96">
            <v>0.13750000000000001</v>
          </cell>
          <cell r="ER96">
            <v>0.13750000000000001</v>
          </cell>
          <cell r="ES96">
            <v>0.13750000000000001</v>
          </cell>
          <cell r="EU96">
            <v>0.16999999999999998</v>
          </cell>
          <cell r="EV96">
            <v>0.15</v>
          </cell>
          <cell r="EW96">
            <v>0.15</v>
          </cell>
          <cell r="EX96">
            <v>0.18099999999999999</v>
          </cell>
          <cell r="EY96">
            <v>0.16800000000000001</v>
          </cell>
          <cell r="EZ96">
            <v>0.16800000000000001</v>
          </cell>
          <cell r="FA96">
            <v>0.20800000000000002</v>
          </cell>
          <cell r="FB96">
            <v>0.19</v>
          </cell>
          <cell r="FC96">
            <v>0.19</v>
          </cell>
          <cell r="FD96">
            <v>0.19</v>
          </cell>
          <cell r="FE96">
            <v>0.19</v>
          </cell>
          <cell r="FF96">
            <v>0.19</v>
          </cell>
          <cell r="FG96">
            <v>0.19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eugeot"/>
      <sheetName val="RAM"/>
      <sheetName val="Citroën"/>
      <sheetName val="Opel"/>
      <sheetName val="Jeep"/>
      <sheetName val="Leapmotor"/>
      <sheetName val="FIAT"/>
      <sheetName val="MES"/>
    </sheetNames>
    <sheetDataSet>
      <sheetData sheetId="0">
        <row r="1">
          <cell r="B1"/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A2" t="str">
            <v>MES</v>
          </cell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A3" t="str">
            <v>MAYO</v>
          </cell>
          <cell r="B3"/>
          <cell r="C3" t="str">
            <v xml:space="preserve">     ACCIONES COMERCIALES B2B RED - MAYO 2026</v>
          </cell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/>
          <cell r="C4"/>
          <cell r="D4"/>
          <cell r="E4"/>
          <cell r="F4"/>
          <cell r="G4"/>
          <cell r="H4"/>
          <cell r="I4"/>
          <cell r="J4"/>
          <cell r="K4"/>
          <cell r="L4"/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/>
          <cell r="C6" t="str">
            <v>TABLA DESCUENTOS FLOTAS</v>
          </cell>
          <cell r="D6"/>
          <cell r="E6"/>
          <cell r="F6" t="str">
            <v>Conces. Professional</v>
          </cell>
          <cell r="G6"/>
          <cell r="H6" t="str">
            <v>Conces. No Professional</v>
          </cell>
          <cell r="I6"/>
          <cell r="J6"/>
          <cell r="K6"/>
          <cell r="L6"/>
        </row>
        <row r="7">
          <cell r="B7"/>
          <cell r="C7"/>
          <cell r="D7"/>
          <cell r="E7"/>
          <cell r="F7" t="str">
            <v>Tramo 1
(1 a 5)</v>
          </cell>
          <cell r="G7" t="str">
            <v>Tramo 2
(6 a 99)</v>
          </cell>
          <cell r="H7" t="str">
            <v>Tramo 1
(1 a 5)</v>
          </cell>
          <cell r="I7" t="str">
            <v>Tramo 2
(6 a 99)</v>
          </cell>
          <cell r="J7"/>
          <cell r="K7" t="str">
            <v>Grandes Cuentas
(sobre 100)</v>
          </cell>
          <cell r="L7"/>
        </row>
        <row r="8">
          <cell r="B8"/>
          <cell r="C8" t="str">
            <v xml:space="preserve">Versión </v>
          </cell>
          <cell r="D8" t="str">
            <v>Margen Fijo</v>
          </cell>
          <cell r="E8" t="str">
            <v>Aportes</v>
          </cell>
          <cell r="F8"/>
          <cell r="G8"/>
          <cell r="H8"/>
          <cell r="I8"/>
          <cell r="J8"/>
          <cell r="K8"/>
          <cell r="L8"/>
        </row>
        <row r="9">
          <cell r="A9" t="str">
            <v>PARTNER MCA L1 BLUEHDI 100</v>
          </cell>
          <cell r="B9"/>
          <cell r="C9" t="str">
            <v>PARTNER MCA L1 BLUEHDI 100</v>
          </cell>
          <cell r="D9">
            <v>0.1</v>
          </cell>
          <cell r="E9" t="str">
            <v>Total</v>
          </cell>
          <cell r="F9">
            <v>0.1</v>
          </cell>
          <cell r="G9">
            <v>0.14000000000000001</v>
          </cell>
          <cell r="H9">
            <v>0.1</v>
          </cell>
          <cell r="I9">
            <v>0.14000000000000001</v>
          </cell>
          <cell r="J9"/>
          <cell r="K9">
            <v>0.22</v>
          </cell>
          <cell r="L9"/>
        </row>
        <row r="10">
          <cell r="A10"/>
          <cell r="B10"/>
          <cell r="C10"/>
          <cell r="D10"/>
          <cell r="E10" t="str">
            <v>Stellantis</v>
          </cell>
          <cell r="F10">
            <v>5.5E-2</v>
          </cell>
          <cell r="G10">
            <v>9.0000000000000011E-2</v>
          </cell>
          <cell r="H10">
            <v>4.4999999999999998E-2</v>
          </cell>
          <cell r="I10">
            <v>8.0000000000000016E-2</v>
          </cell>
          <cell r="J10"/>
          <cell r="K10">
            <v>0.15</v>
          </cell>
          <cell r="L10"/>
        </row>
        <row r="11">
          <cell r="A11"/>
          <cell r="B11"/>
          <cell r="C11"/>
          <cell r="D11"/>
          <cell r="E11" t="str">
            <v xml:space="preserve">RED </v>
          </cell>
          <cell r="F11">
            <v>4.5000000000000005E-2</v>
          </cell>
          <cell r="G11">
            <v>0.05</v>
          </cell>
          <cell r="H11">
            <v>5.5000000000000007E-2</v>
          </cell>
          <cell r="I11">
            <v>6.0000000000000005E-2</v>
          </cell>
          <cell r="J11"/>
          <cell r="K11">
            <v>7.0000000000000007E-2</v>
          </cell>
          <cell r="L11"/>
        </row>
        <row r="12">
          <cell r="B12"/>
          <cell r="C12"/>
          <cell r="D12"/>
          <cell r="E12"/>
          <cell r="F12"/>
          <cell r="G12"/>
          <cell r="H12"/>
          <cell r="I12"/>
          <cell r="J12"/>
          <cell r="K12"/>
          <cell r="L12"/>
        </row>
        <row r="13">
          <cell r="A13" t="str">
            <v>PARTNER MCA L2 BLUEHDI 100</v>
          </cell>
          <cell r="B13"/>
          <cell r="C13" t="str">
            <v>PARTNER MCA L2 DIESEL 100HP MT</v>
          </cell>
          <cell r="D13">
            <v>0.1</v>
          </cell>
          <cell r="E13" t="str">
            <v>Total</v>
          </cell>
          <cell r="F13">
            <v>0.1</v>
          </cell>
          <cell r="G13">
            <v>0.14000000000000001</v>
          </cell>
          <cell r="H13">
            <v>0.1</v>
          </cell>
          <cell r="I13">
            <v>0.14000000000000001</v>
          </cell>
          <cell r="J13"/>
          <cell r="K13">
            <v>0.22</v>
          </cell>
          <cell r="L13"/>
        </row>
        <row r="14">
          <cell r="A14"/>
          <cell r="B14"/>
          <cell r="C14"/>
          <cell r="D14"/>
          <cell r="E14" t="str">
            <v>Stellantis</v>
          </cell>
          <cell r="F14">
            <v>5.5E-2</v>
          </cell>
          <cell r="G14">
            <v>9.0000000000000011E-2</v>
          </cell>
          <cell r="H14">
            <v>4.4999999999999998E-2</v>
          </cell>
          <cell r="I14">
            <v>8.0000000000000016E-2</v>
          </cell>
          <cell r="J14"/>
          <cell r="K14">
            <v>0.15</v>
          </cell>
          <cell r="L14"/>
        </row>
        <row r="15">
          <cell r="A15"/>
          <cell r="B15"/>
          <cell r="C15"/>
          <cell r="D15"/>
          <cell r="E15" t="str">
            <v xml:space="preserve">RED </v>
          </cell>
          <cell r="F15">
            <v>4.5000000000000005E-2</v>
          </cell>
          <cell r="G15">
            <v>0.05</v>
          </cell>
          <cell r="H15">
            <v>5.5000000000000007E-2</v>
          </cell>
          <cell r="I15">
            <v>6.0000000000000005E-2</v>
          </cell>
          <cell r="J15"/>
          <cell r="K15">
            <v>7.0000000000000007E-2</v>
          </cell>
          <cell r="L15"/>
        </row>
        <row r="16">
          <cell r="A16"/>
          <cell r="B16"/>
          <cell r="C16"/>
          <cell r="D16"/>
          <cell r="E16"/>
          <cell r="F16"/>
          <cell r="G16"/>
          <cell r="H16"/>
          <cell r="I16"/>
          <cell r="J16"/>
          <cell r="K16"/>
          <cell r="L16"/>
        </row>
        <row r="17">
          <cell r="A17" t="str">
            <v>Expert MCA L3 BlueHdi 145</v>
          </cell>
          <cell r="B17"/>
          <cell r="C17" t="str">
            <v>EXPERT MCA L3 DIESEL 145HP MT</v>
          </cell>
          <cell r="D17">
            <v>0.1</v>
          </cell>
          <cell r="E17" t="str">
            <v>Total</v>
          </cell>
          <cell r="F17">
            <v>0.14000000000000001</v>
          </cell>
          <cell r="G17">
            <v>0.14000000000000001</v>
          </cell>
          <cell r="H17">
            <v>0.14000000000000001</v>
          </cell>
          <cell r="I17">
            <v>0.14000000000000001</v>
          </cell>
          <cell r="J17"/>
          <cell r="K17">
            <v>0.16</v>
          </cell>
          <cell r="L17"/>
        </row>
        <row r="18">
          <cell r="A18"/>
          <cell r="B18"/>
          <cell r="C18"/>
          <cell r="D18"/>
          <cell r="E18" t="str">
            <v>Stellantis</v>
          </cell>
          <cell r="F18">
            <v>9.0000000000000011E-2</v>
          </cell>
          <cell r="G18">
            <v>9.0000000000000011E-2</v>
          </cell>
          <cell r="H18">
            <v>8.0000000000000016E-2</v>
          </cell>
          <cell r="I18">
            <v>8.0000000000000016E-2</v>
          </cell>
          <cell r="J18"/>
          <cell r="K18">
            <v>0.1</v>
          </cell>
          <cell r="L18"/>
        </row>
        <row r="19">
          <cell r="A19"/>
          <cell r="B19"/>
          <cell r="C19"/>
          <cell r="D19"/>
          <cell r="E19" t="str">
            <v xml:space="preserve">RED </v>
          </cell>
          <cell r="F19">
            <v>0.05</v>
          </cell>
          <cell r="G19">
            <v>0.05</v>
          </cell>
          <cell r="H19">
            <v>6.0000000000000005E-2</v>
          </cell>
          <cell r="I19">
            <v>6.0000000000000005E-2</v>
          </cell>
          <cell r="J19"/>
          <cell r="K19">
            <v>6.0000000000000005E-2</v>
          </cell>
          <cell r="L19"/>
        </row>
        <row r="20">
          <cell r="A20" t="str">
            <v>Traveller MCA Business L3 8P BlueHDi 180 EAT8</v>
          </cell>
          <cell r="B20"/>
          <cell r="C20" t="str">
            <v>Familia TRAVELLER</v>
          </cell>
          <cell r="D20">
            <v>0.1</v>
          </cell>
          <cell r="E20" t="str">
            <v>Total</v>
          </cell>
          <cell r="F20">
            <v>0.14000000000000001</v>
          </cell>
          <cell r="G20">
            <v>0.14000000000000001</v>
          </cell>
          <cell r="H20">
            <v>0.14000000000000001</v>
          </cell>
          <cell r="I20">
            <v>0.14000000000000001</v>
          </cell>
          <cell r="J20"/>
          <cell r="K20">
            <v>0.16</v>
          </cell>
          <cell r="L20"/>
        </row>
        <row r="21">
          <cell r="A21"/>
          <cell r="B21"/>
          <cell r="C21"/>
          <cell r="D21"/>
          <cell r="E21" t="str">
            <v>Stellantis</v>
          </cell>
          <cell r="F21">
            <v>9.0000000000000011E-2</v>
          </cell>
          <cell r="G21">
            <v>9.0000000000000011E-2</v>
          </cell>
          <cell r="H21">
            <v>8.0000000000000016E-2</v>
          </cell>
          <cell r="I21">
            <v>8.0000000000000016E-2</v>
          </cell>
          <cell r="J21"/>
          <cell r="K21">
            <v>0.1</v>
          </cell>
          <cell r="L21"/>
        </row>
        <row r="22">
          <cell r="A22"/>
          <cell r="B22"/>
          <cell r="C22"/>
          <cell r="D22"/>
          <cell r="E22" t="str">
            <v xml:space="preserve">RED </v>
          </cell>
          <cell r="F22">
            <v>0.05</v>
          </cell>
          <cell r="G22">
            <v>0.05</v>
          </cell>
          <cell r="H22">
            <v>6.0000000000000005E-2</v>
          </cell>
          <cell r="I22">
            <v>6.0000000000000005E-2</v>
          </cell>
          <cell r="J22"/>
          <cell r="K22">
            <v>6.0000000000000005E-2</v>
          </cell>
          <cell r="L22"/>
        </row>
        <row r="23">
          <cell r="A23"/>
          <cell r="B23"/>
          <cell r="C23"/>
          <cell r="D23"/>
          <cell r="E23"/>
          <cell r="F23"/>
          <cell r="G23"/>
          <cell r="H23"/>
          <cell r="I23"/>
          <cell r="J23"/>
          <cell r="K23"/>
          <cell r="L23"/>
        </row>
        <row r="24">
          <cell r="A24" t="str">
            <v>Boxer MCA Furgón  L2H2 BlueHDi</v>
          </cell>
          <cell r="B24"/>
          <cell r="C24" t="str">
            <v>BOXER MCA Furgón  L2H2 Diesel 140hp MT</v>
          </cell>
          <cell r="D24">
            <v>0.1</v>
          </cell>
          <cell r="E24" t="str">
            <v>Total</v>
          </cell>
          <cell r="F24">
            <v>0.14000000000000001</v>
          </cell>
          <cell r="G24">
            <v>0.16</v>
          </cell>
          <cell r="H24">
            <v>0.14000000000000001</v>
          </cell>
          <cell r="I24">
            <v>0.16</v>
          </cell>
          <cell r="J24"/>
          <cell r="K24">
            <v>0.2</v>
          </cell>
          <cell r="L24"/>
        </row>
        <row r="25">
          <cell r="A25"/>
          <cell r="B25"/>
          <cell r="C25"/>
          <cell r="D25"/>
          <cell r="E25" t="str">
            <v>Stellantis</v>
          </cell>
          <cell r="F25">
            <v>0.1</v>
          </cell>
          <cell r="G25">
            <v>0.11</v>
          </cell>
          <cell r="H25">
            <v>0.09</v>
          </cell>
          <cell r="I25">
            <v>0.1</v>
          </cell>
          <cell r="J25"/>
          <cell r="K25">
            <v>0.13500000000000001</v>
          </cell>
          <cell r="L25"/>
        </row>
        <row r="26">
          <cell r="A26"/>
          <cell r="B26"/>
          <cell r="C26"/>
          <cell r="D26"/>
          <cell r="E26" t="str">
            <v xml:space="preserve">RED </v>
          </cell>
          <cell r="F26">
            <v>4.0000000000000008E-2</v>
          </cell>
          <cell r="G26">
            <v>0.05</v>
          </cell>
          <cell r="H26">
            <v>5.000000000000001E-2</v>
          </cell>
          <cell r="I26">
            <v>6.0000000000000005E-2</v>
          </cell>
          <cell r="J26"/>
          <cell r="K26">
            <v>6.5000000000000002E-2</v>
          </cell>
          <cell r="L26"/>
        </row>
        <row r="27">
          <cell r="A27" t="str">
            <v>Boxer MCA Furgón  L3H2 BlueHDi</v>
          </cell>
          <cell r="B27"/>
          <cell r="C27" t="str">
            <v>BOXER MCA Furgón  L3H2 Diesel 140hp MT</v>
          </cell>
          <cell r="D27">
            <v>0.1</v>
          </cell>
          <cell r="E27" t="str">
            <v>Total</v>
          </cell>
          <cell r="F27">
            <v>0.14000000000000001</v>
          </cell>
          <cell r="G27">
            <v>0.16</v>
          </cell>
          <cell r="H27">
            <v>0.14000000000000001</v>
          </cell>
          <cell r="I27">
            <v>0.16</v>
          </cell>
          <cell r="J27"/>
          <cell r="K27">
            <v>0.2</v>
          </cell>
          <cell r="L27"/>
        </row>
        <row r="28">
          <cell r="A28"/>
          <cell r="B28"/>
          <cell r="C28"/>
          <cell r="D28"/>
          <cell r="E28" t="str">
            <v>Stellantis</v>
          </cell>
          <cell r="F28">
            <v>0.1</v>
          </cell>
          <cell r="G28">
            <v>0.11</v>
          </cell>
          <cell r="H28">
            <v>0.09</v>
          </cell>
          <cell r="I28">
            <v>0.1</v>
          </cell>
          <cell r="J28"/>
          <cell r="K28">
            <v>0.13500000000000001</v>
          </cell>
          <cell r="L28"/>
        </row>
        <row r="29">
          <cell r="A29"/>
          <cell r="B29"/>
          <cell r="C29"/>
          <cell r="D29"/>
          <cell r="E29" t="str">
            <v xml:space="preserve">RED </v>
          </cell>
          <cell r="F29">
            <v>4.0000000000000008E-2</v>
          </cell>
          <cell r="G29">
            <v>0.05</v>
          </cell>
          <cell r="H29">
            <v>5.000000000000001E-2</v>
          </cell>
          <cell r="I29">
            <v>6.0000000000000005E-2</v>
          </cell>
          <cell r="J29"/>
          <cell r="K29">
            <v>6.5000000000000002E-2</v>
          </cell>
          <cell r="L29"/>
        </row>
        <row r="30">
          <cell r="A30" t="str">
            <v>Boxer MCA Furgón  L4H2 BlueHDi</v>
          </cell>
          <cell r="B30"/>
          <cell r="C30" t="str">
            <v>BOXER MCA Furgón L4H2 Diesel 140hp MT</v>
          </cell>
          <cell r="D30">
            <v>0.1</v>
          </cell>
          <cell r="E30" t="str">
            <v>Total</v>
          </cell>
          <cell r="F30">
            <v>0.14000000000000001</v>
          </cell>
          <cell r="G30">
            <v>0.16</v>
          </cell>
          <cell r="H30">
            <v>0.14000000000000001</v>
          </cell>
          <cell r="I30">
            <v>0.16</v>
          </cell>
          <cell r="J30"/>
          <cell r="K30">
            <v>0.2</v>
          </cell>
          <cell r="L30"/>
        </row>
        <row r="31">
          <cell r="A31"/>
          <cell r="B31"/>
          <cell r="C31"/>
          <cell r="D31"/>
          <cell r="E31" t="str">
            <v>Stellantis</v>
          </cell>
          <cell r="F31">
            <v>0.1</v>
          </cell>
          <cell r="G31">
            <v>0.11</v>
          </cell>
          <cell r="H31">
            <v>0.09</v>
          </cell>
          <cell r="I31">
            <v>0.1</v>
          </cell>
          <cell r="J31"/>
          <cell r="K31">
            <v>0.13500000000000001</v>
          </cell>
          <cell r="L31"/>
        </row>
        <row r="32">
          <cell r="A32"/>
          <cell r="B32"/>
          <cell r="C32"/>
          <cell r="D32"/>
          <cell r="E32" t="str">
            <v xml:space="preserve">RED </v>
          </cell>
          <cell r="F32">
            <v>4.0000000000000008E-2</v>
          </cell>
          <cell r="G32">
            <v>0.05</v>
          </cell>
          <cell r="H32">
            <v>5.000000000000001E-2</v>
          </cell>
          <cell r="I32">
            <v>6.0000000000000005E-2</v>
          </cell>
          <cell r="J32"/>
          <cell r="K32">
            <v>6.5000000000000002E-2</v>
          </cell>
          <cell r="L32"/>
        </row>
        <row r="33">
          <cell r="A33"/>
          <cell r="B33"/>
          <cell r="C33"/>
          <cell r="D33"/>
          <cell r="E33"/>
          <cell r="F33"/>
          <cell r="G33"/>
          <cell r="H33"/>
          <cell r="I33"/>
          <cell r="J33"/>
          <cell r="K33"/>
          <cell r="L33"/>
        </row>
        <row r="34">
          <cell r="A34" t="str">
            <v>Landtrek Action4 BlueHDi 4x4 AT 6.3</v>
          </cell>
          <cell r="B34"/>
          <cell r="C34" t="str">
            <v>LANDTREK MCA</v>
          </cell>
          <cell r="D34">
            <v>0.1</v>
          </cell>
          <cell r="E34" t="str">
            <v>Total</v>
          </cell>
          <cell r="F34">
            <v>0.25</v>
          </cell>
          <cell r="G34">
            <v>0.25</v>
          </cell>
          <cell r="H34">
            <v>0.25</v>
          </cell>
          <cell r="I34">
            <v>0.25</v>
          </cell>
          <cell r="J34"/>
          <cell r="K34">
            <v>0.28999999999999998</v>
          </cell>
          <cell r="L34"/>
        </row>
        <row r="35">
          <cell r="A35"/>
          <cell r="B35"/>
          <cell r="C35"/>
          <cell r="D35"/>
          <cell r="E35" t="str">
            <v>Stellantis</v>
          </cell>
          <cell r="F35">
            <v>0.19500000000000001</v>
          </cell>
          <cell r="G35">
            <v>0.19500000000000001</v>
          </cell>
          <cell r="H35">
            <v>0.185</v>
          </cell>
          <cell r="I35">
            <v>0.185</v>
          </cell>
          <cell r="J35"/>
          <cell r="K35">
            <v>0.21999999999999997</v>
          </cell>
          <cell r="L35"/>
        </row>
        <row r="36">
          <cell r="A36"/>
          <cell r="B36"/>
          <cell r="C36"/>
          <cell r="D36"/>
          <cell r="E36" t="str">
            <v xml:space="preserve">RED </v>
          </cell>
          <cell r="F36">
            <v>5.5000000000000007E-2</v>
          </cell>
          <cell r="G36">
            <v>5.5000000000000007E-2</v>
          </cell>
          <cell r="H36">
            <v>6.5000000000000002E-2</v>
          </cell>
          <cell r="I36">
            <v>6.5000000000000002E-2</v>
          </cell>
          <cell r="J36"/>
          <cell r="K36">
            <v>7.0000000000000007E-2</v>
          </cell>
          <cell r="L36"/>
        </row>
        <row r="37">
          <cell r="A37"/>
          <cell r="B37"/>
          <cell r="C37"/>
          <cell r="D37"/>
          <cell r="E37"/>
          <cell r="F37"/>
          <cell r="G37"/>
          <cell r="H37"/>
          <cell r="I37"/>
          <cell r="J37"/>
          <cell r="K37"/>
          <cell r="L37"/>
        </row>
        <row r="38">
          <cell r="A38" t="str">
            <v>RIFTER MCA ALLURE BLUEHDI 100</v>
          </cell>
          <cell r="B38"/>
          <cell r="C38" t="str">
            <v>Familia RIFTER MCA</v>
          </cell>
          <cell r="D38">
            <v>0.09</v>
          </cell>
          <cell r="E38" t="str">
            <v>Total</v>
          </cell>
          <cell r="F38">
            <v>9.9999999999999992E-2</v>
          </cell>
          <cell r="G38">
            <v>9.9999999999999992E-2</v>
          </cell>
          <cell r="H38">
            <v>9.9999999999999992E-2</v>
          </cell>
          <cell r="I38">
            <v>9.9999999999999992E-2</v>
          </cell>
          <cell r="J38"/>
          <cell r="K38">
            <v>0.14000000000000001</v>
          </cell>
          <cell r="L38"/>
        </row>
        <row r="39">
          <cell r="A39"/>
          <cell r="B39"/>
          <cell r="C39"/>
          <cell r="D39"/>
          <cell r="E39" t="str">
            <v>Stellantis</v>
          </cell>
          <cell r="F39">
            <v>5.4999999999999993E-2</v>
          </cell>
          <cell r="G39">
            <v>5.4999999999999993E-2</v>
          </cell>
          <cell r="H39">
            <v>4.4999999999999991E-2</v>
          </cell>
          <cell r="I39">
            <v>4.4999999999999991E-2</v>
          </cell>
          <cell r="J39"/>
          <cell r="K39">
            <v>8.0000000000000016E-2</v>
          </cell>
          <cell r="L39"/>
        </row>
        <row r="40">
          <cell r="A40"/>
          <cell r="B40"/>
          <cell r="C40"/>
          <cell r="D40"/>
          <cell r="E40" t="str">
            <v xml:space="preserve">RED </v>
          </cell>
          <cell r="F40">
            <v>4.4999999999999998E-2</v>
          </cell>
          <cell r="G40">
            <v>4.4999999999999998E-2</v>
          </cell>
          <cell r="H40">
            <v>5.5E-2</v>
          </cell>
          <cell r="I40">
            <v>5.5E-2</v>
          </cell>
          <cell r="J40"/>
          <cell r="K40">
            <v>0.06</v>
          </cell>
          <cell r="L40"/>
        </row>
        <row r="41">
          <cell r="A41"/>
          <cell r="B41"/>
          <cell r="C41"/>
          <cell r="D41"/>
          <cell r="E41"/>
          <cell r="F41"/>
          <cell r="G41"/>
          <cell r="H41"/>
          <cell r="I41"/>
          <cell r="J41"/>
          <cell r="K41"/>
          <cell r="L41"/>
        </row>
        <row r="42">
          <cell r="A42"/>
          <cell r="B42"/>
          <cell r="C42" t="str">
            <v>Otros VP</v>
          </cell>
          <cell r="D42"/>
          <cell r="E42"/>
          <cell r="F42"/>
          <cell r="G42"/>
          <cell r="H42"/>
          <cell r="I42"/>
          <cell r="J42"/>
          <cell r="K42"/>
          <cell r="L42"/>
        </row>
        <row r="43">
          <cell r="A43"/>
          <cell r="B43"/>
          <cell r="C43"/>
          <cell r="D43"/>
          <cell r="E43"/>
          <cell r="F43"/>
          <cell r="G43"/>
          <cell r="H43"/>
          <cell r="I43"/>
          <cell r="J43"/>
          <cell r="K43"/>
          <cell r="L43"/>
        </row>
        <row r="44">
          <cell r="A44" t="str">
            <v>208 MCA Style Puretech 100</v>
          </cell>
          <cell r="B44"/>
          <cell r="C44" t="str">
            <v>Familia 208 / 2008</v>
          </cell>
          <cell r="D44">
            <v>0.09</v>
          </cell>
          <cell r="E44" t="str">
            <v>Total</v>
          </cell>
          <cell r="F44">
            <v>7.9999999999999988E-2</v>
          </cell>
          <cell r="G44">
            <v>9.9999999999999992E-2</v>
          </cell>
          <cell r="H44">
            <v>7.9999999999999988E-2</v>
          </cell>
          <cell r="I44">
            <v>9.9999999999999992E-2</v>
          </cell>
          <cell r="J44"/>
          <cell r="K44">
            <v>0.14000000000000001</v>
          </cell>
          <cell r="L44"/>
        </row>
        <row r="45">
          <cell r="A45" t="str">
            <v>208 MCA ACTIVE PURETECH 75</v>
          </cell>
          <cell r="B45"/>
          <cell r="C45"/>
          <cell r="D45"/>
          <cell r="E45" t="str">
            <v>Stellantis</v>
          </cell>
          <cell r="F45">
            <v>4.4999999999999991E-2</v>
          </cell>
          <cell r="G45">
            <v>5.4999999999999993E-2</v>
          </cell>
          <cell r="H45">
            <v>3.4999999999999989E-2</v>
          </cell>
          <cell r="I45">
            <v>4.4999999999999991E-2</v>
          </cell>
          <cell r="J45"/>
          <cell r="K45">
            <v>8.0000000000000016E-2</v>
          </cell>
          <cell r="L45"/>
        </row>
        <row r="46">
          <cell r="A46"/>
          <cell r="B46"/>
          <cell r="C46"/>
          <cell r="D46"/>
          <cell r="E46" t="str">
            <v xml:space="preserve">RED </v>
          </cell>
          <cell r="F46">
            <v>3.4999999999999996E-2</v>
          </cell>
          <cell r="G46">
            <v>4.4999999999999998E-2</v>
          </cell>
          <cell r="H46">
            <v>4.4999999999999998E-2</v>
          </cell>
          <cell r="I46">
            <v>5.5E-2</v>
          </cell>
          <cell r="J46"/>
          <cell r="K46">
            <v>0.06</v>
          </cell>
          <cell r="L46"/>
        </row>
        <row r="47">
          <cell r="A47" t="str">
            <v>308 Allure Puretech EAT8</v>
          </cell>
          <cell r="B47"/>
          <cell r="C47" t="str">
            <v>Familia 308</v>
          </cell>
          <cell r="D47">
            <v>0.09</v>
          </cell>
          <cell r="E47" t="str">
            <v>Total</v>
          </cell>
          <cell r="F47">
            <v>7.9999999999999988E-2</v>
          </cell>
          <cell r="G47">
            <v>9.9999999999999992E-2</v>
          </cell>
          <cell r="H47">
            <v>7.9999999999999988E-2</v>
          </cell>
          <cell r="I47">
            <v>9.9999999999999992E-2</v>
          </cell>
          <cell r="J47"/>
          <cell r="K47">
            <v>0.14000000000000001</v>
          </cell>
          <cell r="L47"/>
        </row>
        <row r="48">
          <cell r="A48"/>
          <cell r="B48"/>
          <cell r="C48"/>
          <cell r="D48"/>
          <cell r="E48" t="str">
            <v>Stellantis</v>
          </cell>
          <cell r="F48">
            <v>4.4999999999999991E-2</v>
          </cell>
          <cell r="G48">
            <v>5.4999999999999993E-2</v>
          </cell>
          <cell r="H48">
            <v>3.4999999999999989E-2</v>
          </cell>
          <cell r="I48">
            <v>4.4999999999999991E-2</v>
          </cell>
          <cell r="J48"/>
          <cell r="K48">
            <v>8.0000000000000016E-2</v>
          </cell>
          <cell r="L48"/>
        </row>
        <row r="49">
          <cell r="A49"/>
          <cell r="B49"/>
          <cell r="C49"/>
          <cell r="D49"/>
          <cell r="E49" t="str">
            <v xml:space="preserve">RED </v>
          </cell>
          <cell r="F49">
            <v>3.4999999999999996E-2</v>
          </cell>
          <cell r="G49">
            <v>4.4999999999999998E-2</v>
          </cell>
          <cell r="H49">
            <v>4.4999999999999998E-2</v>
          </cell>
          <cell r="I49">
            <v>5.5E-2</v>
          </cell>
          <cell r="J49"/>
          <cell r="K49">
            <v>0.06</v>
          </cell>
          <cell r="L49"/>
        </row>
        <row r="50">
          <cell r="A50" t="str">
            <v>New 3008 Allure MHEV 136 eDCT6</v>
          </cell>
          <cell r="B50"/>
          <cell r="C50" t="str">
            <v>Familia Nuevo 3008</v>
          </cell>
          <cell r="D50">
            <v>0.09</v>
          </cell>
          <cell r="E50" t="str">
            <v>Total</v>
          </cell>
          <cell r="F50">
            <v>7.9999999999999988E-2</v>
          </cell>
          <cell r="G50">
            <v>9.9999999999999992E-2</v>
          </cell>
          <cell r="H50">
            <v>7.9999999999999988E-2</v>
          </cell>
          <cell r="I50">
            <v>9.9999999999999992E-2</v>
          </cell>
          <cell r="J50"/>
          <cell r="K50">
            <v>0.14000000000000001</v>
          </cell>
          <cell r="L50"/>
        </row>
        <row r="51">
          <cell r="A51"/>
          <cell r="B51"/>
          <cell r="C51"/>
          <cell r="D51"/>
          <cell r="E51" t="str">
            <v>Stellantis</v>
          </cell>
          <cell r="F51">
            <v>4.4999999999999991E-2</v>
          </cell>
          <cell r="G51">
            <v>5.4999999999999993E-2</v>
          </cell>
          <cell r="H51">
            <v>3.4999999999999989E-2</v>
          </cell>
          <cell r="I51">
            <v>4.4999999999999991E-2</v>
          </cell>
          <cell r="J51"/>
          <cell r="K51">
            <v>8.0000000000000016E-2</v>
          </cell>
          <cell r="L51"/>
        </row>
        <row r="52">
          <cell r="A52"/>
          <cell r="B52"/>
          <cell r="C52"/>
          <cell r="D52"/>
          <cell r="E52" t="str">
            <v xml:space="preserve">RED </v>
          </cell>
          <cell r="F52">
            <v>3.4999999999999996E-2</v>
          </cell>
          <cell r="G52">
            <v>4.4999999999999998E-2</v>
          </cell>
          <cell r="H52">
            <v>4.4999999999999998E-2</v>
          </cell>
          <cell r="I52">
            <v>5.5E-2</v>
          </cell>
          <cell r="J52"/>
          <cell r="K52">
            <v>0.06</v>
          </cell>
          <cell r="L52"/>
        </row>
        <row r="53">
          <cell r="A53" t="str">
            <v>New 5008 Allure MHEV 136 EDCT6</v>
          </cell>
          <cell r="B53"/>
          <cell r="C53" t="str">
            <v>Familia Nuevo 5008</v>
          </cell>
          <cell r="D53">
            <v>0.09</v>
          </cell>
          <cell r="E53" t="str">
            <v>Total</v>
          </cell>
          <cell r="F53">
            <v>7.9999999999999988E-2</v>
          </cell>
          <cell r="G53">
            <v>9.9999999999999992E-2</v>
          </cell>
          <cell r="H53">
            <v>7.9999999999999988E-2</v>
          </cell>
          <cell r="I53">
            <v>9.9999999999999992E-2</v>
          </cell>
          <cell r="J53"/>
          <cell r="K53">
            <v>0.14000000000000001</v>
          </cell>
          <cell r="L53"/>
        </row>
        <row r="54">
          <cell r="A54"/>
          <cell r="B54"/>
          <cell r="C54"/>
          <cell r="D54"/>
          <cell r="E54" t="str">
            <v>Stellantis</v>
          </cell>
          <cell r="F54">
            <v>4.4999999999999991E-2</v>
          </cell>
          <cell r="G54">
            <v>5.4999999999999993E-2</v>
          </cell>
          <cell r="H54">
            <v>3.4999999999999989E-2</v>
          </cell>
          <cell r="I54">
            <v>4.4999999999999991E-2</v>
          </cell>
          <cell r="J54"/>
          <cell r="K54">
            <v>8.0000000000000016E-2</v>
          </cell>
          <cell r="L54"/>
        </row>
        <row r="55">
          <cell r="A55"/>
          <cell r="B55"/>
          <cell r="C55"/>
          <cell r="D55"/>
          <cell r="E55" t="str">
            <v xml:space="preserve">RED </v>
          </cell>
          <cell r="F55">
            <v>3.4999999999999996E-2</v>
          </cell>
          <cell r="G55">
            <v>4.4999999999999998E-2</v>
          </cell>
          <cell r="H55">
            <v>4.4999999999999998E-2</v>
          </cell>
          <cell r="I55">
            <v>5.5E-2</v>
          </cell>
          <cell r="J55"/>
          <cell r="K55">
            <v>0.06</v>
          </cell>
          <cell r="L55"/>
        </row>
        <row r="56">
          <cell r="B56"/>
          <cell r="C56"/>
          <cell r="D56"/>
          <cell r="E56"/>
          <cell r="F56"/>
          <cell r="G56"/>
          <cell r="H56"/>
          <cell r="I56"/>
          <cell r="J56"/>
          <cell r="K56"/>
          <cell r="L56"/>
        </row>
        <row r="57">
          <cell r="B57"/>
          <cell r="C57" t="str">
            <v>Nota: Para el caso de VU, personas naturales sin giro comercial tendrán el descuento de Tramo 1, a excepción de Rifter y Landtrek, donde se aplican descuentos y bonos de lista de precios normal.</v>
          </cell>
          <cell r="D57"/>
          <cell r="E57"/>
          <cell r="F57"/>
          <cell r="G57"/>
          <cell r="H57"/>
          <cell r="I57"/>
          <cell r="J57"/>
          <cell r="K57"/>
          <cell r="L57"/>
        </row>
        <row r="58">
          <cell r="B58"/>
          <cell r="C58"/>
          <cell r="D58"/>
          <cell r="E58"/>
          <cell r="F58"/>
          <cell r="G58"/>
          <cell r="H58"/>
          <cell r="I58"/>
          <cell r="J58"/>
          <cell r="K58"/>
          <cell r="L58"/>
        </row>
        <row r="59">
          <cell r="B59"/>
          <cell r="C59"/>
          <cell r="D59"/>
          <cell r="E59"/>
          <cell r="F59"/>
          <cell r="G59"/>
          <cell r="H59"/>
          <cell r="I59"/>
          <cell r="J59"/>
          <cell r="K59"/>
          <cell r="L59"/>
        </row>
        <row r="60">
          <cell r="F60"/>
          <cell r="G60"/>
        </row>
      </sheetData>
      <sheetData sheetId="1">
        <row r="1">
          <cell r="B1"/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A2" t="str">
            <v>MES</v>
          </cell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A3" t="str">
            <v>MAYO</v>
          </cell>
          <cell r="B3"/>
          <cell r="C3" t="str">
            <v xml:space="preserve">     ACCIONES COMERCIALES B2B RED - MAYO 2026</v>
          </cell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/>
          <cell r="C4"/>
          <cell r="D4"/>
          <cell r="E4"/>
          <cell r="F4"/>
          <cell r="G4"/>
          <cell r="H4"/>
          <cell r="I4"/>
          <cell r="J4"/>
          <cell r="K4"/>
          <cell r="L4"/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/>
          <cell r="C6" t="str">
            <v>TABLA DESCUENTOS FLOTAS</v>
          </cell>
          <cell r="D6"/>
          <cell r="E6"/>
          <cell r="F6" t="str">
            <v>Conces. Professional</v>
          </cell>
          <cell r="G6"/>
          <cell r="H6" t="str">
            <v>Conces. No Professional</v>
          </cell>
          <cell r="I6"/>
          <cell r="J6"/>
          <cell r="K6"/>
          <cell r="L6"/>
        </row>
        <row r="7">
          <cell r="B7"/>
          <cell r="C7"/>
          <cell r="D7"/>
          <cell r="E7"/>
          <cell r="F7" t="str">
            <v>Tramo 1
(1 a 5)</v>
          </cell>
          <cell r="G7" t="str">
            <v>Tramo 2
(6 a 99)</v>
          </cell>
          <cell r="H7" t="str">
            <v>Tramo 1
(1 a 5)</v>
          </cell>
          <cell r="I7" t="str">
            <v>Tramo 2
(6 a 99)</v>
          </cell>
          <cell r="J7"/>
          <cell r="K7" t="str">
            <v>Grandes Cuentas
(sobre 100)</v>
          </cell>
          <cell r="L7"/>
        </row>
        <row r="8">
          <cell r="B8"/>
          <cell r="C8" t="str">
            <v xml:space="preserve">Versión </v>
          </cell>
          <cell r="D8" t="str">
            <v>Margen Fijo</v>
          </cell>
          <cell r="E8" t="str">
            <v>Aportes</v>
          </cell>
          <cell r="F8"/>
          <cell r="G8"/>
          <cell r="H8"/>
          <cell r="I8"/>
          <cell r="J8"/>
          <cell r="K8"/>
          <cell r="L8"/>
        </row>
        <row r="9">
          <cell r="A9" t="str">
            <v>RAM 700 SLT SINGLE CAB 1.3 MT</v>
          </cell>
          <cell r="B9"/>
          <cell r="C9" t="str">
            <v>Familia RAM 700</v>
          </cell>
          <cell r="D9">
            <v>0.08</v>
          </cell>
          <cell r="E9" t="str">
            <v>Total</v>
          </cell>
          <cell r="F9">
            <v>0.12</v>
          </cell>
          <cell r="G9">
            <v>0.14000000000000001</v>
          </cell>
          <cell r="H9">
            <v>0.12</v>
          </cell>
          <cell r="I9">
            <v>0.14000000000000001</v>
          </cell>
          <cell r="J9"/>
          <cell r="K9">
            <v>0.18</v>
          </cell>
          <cell r="L9"/>
        </row>
        <row r="10">
          <cell r="A10"/>
          <cell r="B10"/>
          <cell r="C10"/>
          <cell r="D10"/>
          <cell r="E10" t="str">
            <v>Stellantis</v>
          </cell>
          <cell r="F10">
            <v>9.5000000000000001E-2</v>
          </cell>
          <cell r="G10">
            <v>0.10500000000000001</v>
          </cell>
          <cell r="H10">
            <v>8.4999999999999992E-2</v>
          </cell>
          <cell r="I10">
            <v>9.5000000000000001E-2</v>
          </cell>
          <cell r="J10"/>
          <cell r="K10">
            <v>0.13</v>
          </cell>
          <cell r="L10"/>
        </row>
        <row r="11">
          <cell r="A11"/>
          <cell r="B11"/>
          <cell r="C11"/>
          <cell r="D11"/>
          <cell r="E11" t="str">
            <v xml:space="preserve">RED </v>
          </cell>
          <cell r="F11">
            <v>2.5000000000000001E-2</v>
          </cell>
          <cell r="G11">
            <v>3.5000000000000003E-2</v>
          </cell>
          <cell r="H11">
            <v>3.5000000000000003E-2</v>
          </cell>
          <cell r="I11">
            <v>4.5000000000000005E-2</v>
          </cell>
          <cell r="J11"/>
          <cell r="K11">
            <v>0.05</v>
          </cell>
          <cell r="L11"/>
        </row>
        <row r="12">
          <cell r="B12"/>
          <cell r="C12"/>
          <cell r="D12"/>
          <cell r="E12"/>
          <cell r="F12"/>
          <cell r="G12"/>
          <cell r="H12"/>
          <cell r="I12"/>
          <cell r="J12"/>
          <cell r="K12"/>
          <cell r="L12"/>
        </row>
        <row r="13">
          <cell r="A13" t="str">
            <v>RAM RAMPAGE BIGHORN 2.2 DIESEL 200 HP 4X4 AT</v>
          </cell>
          <cell r="B13"/>
          <cell r="C13" t="str">
            <v>Familia RAMPAGE</v>
          </cell>
          <cell r="D13">
            <v>0.1</v>
          </cell>
          <cell r="E13" t="str">
            <v>Total</v>
          </cell>
          <cell r="F13">
            <v>0.16</v>
          </cell>
          <cell r="G13">
            <v>0.18</v>
          </cell>
          <cell r="H13">
            <v>0.16</v>
          </cell>
          <cell r="I13">
            <v>0.18</v>
          </cell>
          <cell r="J13"/>
          <cell r="K13">
            <v>0.2</v>
          </cell>
          <cell r="L13"/>
        </row>
        <row r="14">
          <cell r="A14"/>
          <cell r="B14"/>
          <cell r="C14"/>
          <cell r="D14"/>
          <cell r="E14" t="str">
            <v>Stellantis</v>
          </cell>
          <cell r="F14">
            <v>0.105</v>
          </cell>
          <cell r="G14">
            <v>0.12499999999999999</v>
          </cell>
          <cell r="H14">
            <v>9.5000000000000001E-2</v>
          </cell>
          <cell r="I14">
            <v>0.11499999999999999</v>
          </cell>
          <cell r="J14"/>
          <cell r="K14">
            <v>0.14000000000000001</v>
          </cell>
          <cell r="L14"/>
        </row>
        <row r="15">
          <cell r="A15"/>
          <cell r="B15"/>
          <cell r="C15"/>
          <cell r="D15"/>
          <cell r="E15" t="str">
            <v xml:space="preserve">RED </v>
          </cell>
          <cell r="F15">
            <v>5.5000000000000007E-2</v>
          </cell>
          <cell r="G15">
            <v>5.5000000000000007E-2</v>
          </cell>
          <cell r="H15">
            <v>6.5000000000000002E-2</v>
          </cell>
          <cell r="I15">
            <v>6.5000000000000002E-2</v>
          </cell>
          <cell r="J15"/>
          <cell r="K15">
            <v>6.0000000000000005E-2</v>
          </cell>
          <cell r="L15"/>
        </row>
        <row r="16">
          <cell r="B16"/>
          <cell r="C16"/>
          <cell r="D16"/>
          <cell r="E16"/>
          <cell r="F16"/>
          <cell r="G16"/>
          <cell r="H16"/>
          <cell r="I16"/>
          <cell r="J16"/>
          <cell r="K16"/>
          <cell r="L16"/>
        </row>
        <row r="17">
          <cell r="A17" t="str">
            <v>RAM DAKOTA WARLOCK</v>
          </cell>
          <cell r="B17"/>
          <cell r="C17" t="str">
            <v>Familia DAKOTA</v>
          </cell>
          <cell r="D17">
            <v>0.1</v>
          </cell>
          <cell r="E17" t="str">
            <v>Total</v>
          </cell>
          <cell r="F17">
            <v>0.12</v>
          </cell>
          <cell r="G17">
            <v>0.16</v>
          </cell>
          <cell r="H17">
            <v>0.12</v>
          </cell>
          <cell r="I17">
            <v>0.16</v>
          </cell>
          <cell r="J17"/>
          <cell r="K17">
            <v>0.18</v>
          </cell>
          <cell r="L17"/>
        </row>
        <row r="18">
          <cell r="A18"/>
          <cell r="B18"/>
          <cell r="C18"/>
          <cell r="D18"/>
          <cell r="E18" t="str">
            <v>Stellantis</v>
          </cell>
          <cell r="F18">
            <v>6.9999999999999993E-2</v>
          </cell>
          <cell r="G18">
            <v>0.105</v>
          </cell>
          <cell r="H18">
            <v>5.9999999999999991E-2</v>
          </cell>
          <cell r="I18">
            <v>9.5000000000000001E-2</v>
          </cell>
          <cell r="J18"/>
          <cell r="K18">
            <v>0.12</v>
          </cell>
          <cell r="L18"/>
        </row>
        <row r="19">
          <cell r="A19"/>
          <cell r="B19"/>
          <cell r="C19"/>
          <cell r="D19"/>
          <cell r="E19" t="str">
            <v xml:space="preserve">RED </v>
          </cell>
          <cell r="F19">
            <v>0.05</v>
          </cell>
          <cell r="G19">
            <v>5.5000000000000007E-2</v>
          </cell>
          <cell r="H19">
            <v>6.0000000000000005E-2</v>
          </cell>
          <cell r="I19">
            <v>6.5000000000000002E-2</v>
          </cell>
          <cell r="J19"/>
          <cell r="K19">
            <v>6.0000000000000005E-2</v>
          </cell>
          <cell r="L19"/>
        </row>
        <row r="20">
          <cell r="A20"/>
          <cell r="B20"/>
          <cell r="C20"/>
          <cell r="D20"/>
          <cell r="E20"/>
          <cell r="F20"/>
          <cell r="G20"/>
          <cell r="H20"/>
          <cell r="I20"/>
          <cell r="J20"/>
          <cell r="K20"/>
          <cell r="L20"/>
        </row>
        <row r="21">
          <cell r="A21" t="str">
            <v>RAM 1500 BIGHORN NIGHT EDITION 3.6 V6 MILD HYBRID 305 HP 4X4 AT</v>
          </cell>
          <cell r="B21"/>
          <cell r="C21" t="str">
            <v>Familia RAM 1500</v>
          </cell>
          <cell r="D21">
            <v>0.12</v>
          </cell>
          <cell r="E21" t="str">
            <v>Total</v>
          </cell>
          <cell r="F21">
            <v>0.16</v>
          </cell>
          <cell r="G21">
            <v>0.18</v>
          </cell>
          <cell r="H21">
            <v>0.16</v>
          </cell>
          <cell r="I21">
            <v>0.18</v>
          </cell>
          <cell r="J21"/>
          <cell r="K21">
            <v>0.2</v>
          </cell>
          <cell r="L21"/>
        </row>
        <row r="22">
          <cell r="A22"/>
          <cell r="B22"/>
          <cell r="C22"/>
          <cell r="D22"/>
          <cell r="E22" t="str">
            <v>Stellantis</v>
          </cell>
          <cell r="F22">
            <v>0.11000000000000001</v>
          </cell>
          <cell r="G22">
            <v>0.11</v>
          </cell>
          <cell r="H22">
            <v>0.1</v>
          </cell>
          <cell r="I22">
            <v>0.1</v>
          </cell>
          <cell r="J22"/>
          <cell r="K22">
            <v>0.12000000000000002</v>
          </cell>
          <cell r="L22"/>
        </row>
        <row r="23">
          <cell r="A23"/>
          <cell r="B23"/>
          <cell r="C23"/>
          <cell r="D23"/>
          <cell r="E23" t="str">
            <v xml:space="preserve">RED </v>
          </cell>
          <cell r="F23">
            <v>4.9999999999999989E-2</v>
          </cell>
          <cell r="G23">
            <v>6.9999999999999993E-2</v>
          </cell>
          <cell r="H23">
            <v>5.9999999999999991E-2</v>
          </cell>
          <cell r="I23">
            <v>7.9999999999999988E-2</v>
          </cell>
          <cell r="J23"/>
          <cell r="K23">
            <v>7.9999999999999988E-2</v>
          </cell>
          <cell r="L23"/>
        </row>
        <row r="24">
          <cell r="A24"/>
          <cell r="B24"/>
          <cell r="C24"/>
          <cell r="D24"/>
          <cell r="E24"/>
          <cell r="F24"/>
          <cell r="G24"/>
          <cell r="H24"/>
          <cell r="I24"/>
          <cell r="J24"/>
          <cell r="K24"/>
          <cell r="L24"/>
        </row>
        <row r="25">
          <cell r="A25" t="str">
            <v>RAM 1500 RHO 3.0 HO 540 HP 4x4 AT</v>
          </cell>
          <cell r="B25"/>
          <cell r="C25" t="str">
            <v>RAM 1500 RHO 3.0 HO 540 HP 4x4 AT</v>
          </cell>
          <cell r="D25">
            <v>0.12</v>
          </cell>
          <cell r="E25" t="str">
            <v>Total</v>
          </cell>
          <cell r="F25">
            <v>0.11</v>
          </cell>
          <cell r="G25">
            <v>0.14000000000000001</v>
          </cell>
          <cell r="H25">
            <v>0.11</v>
          </cell>
          <cell r="I25">
            <v>0.14000000000000001</v>
          </cell>
          <cell r="J25"/>
          <cell r="K25">
            <v>0.16</v>
          </cell>
          <cell r="L25"/>
        </row>
        <row r="26">
          <cell r="A26"/>
          <cell r="B26"/>
          <cell r="C26"/>
          <cell r="D26"/>
          <cell r="E26" t="str">
            <v>Stellantis</v>
          </cell>
          <cell r="F26">
            <v>6.0000000000000012E-2</v>
          </cell>
          <cell r="G26">
            <v>7.0000000000000021E-2</v>
          </cell>
          <cell r="H26">
            <v>5.000000000000001E-2</v>
          </cell>
          <cell r="I26">
            <v>6.0000000000000026E-2</v>
          </cell>
          <cell r="J26"/>
          <cell r="K26">
            <v>8.0000000000000016E-2</v>
          </cell>
          <cell r="L26"/>
        </row>
        <row r="27">
          <cell r="A27"/>
          <cell r="B27"/>
          <cell r="C27"/>
          <cell r="D27"/>
          <cell r="E27" t="str">
            <v xml:space="preserve">RED </v>
          </cell>
          <cell r="F27">
            <v>4.9999999999999989E-2</v>
          </cell>
          <cell r="G27">
            <v>6.9999999999999993E-2</v>
          </cell>
          <cell r="H27">
            <v>5.9999999999999991E-2</v>
          </cell>
          <cell r="I27">
            <v>7.9999999999999988E-2</v>
          </cell>
          <cell r="J27"/>
          <cell r="K27">
            <v>7.9999999999999988E-2</v>
          </cell>
          <cell r="L27"/>
        </row>
        <row r="28">
          <cell r="A28"/>
          <cell r="B28"/>
          <cell r="C28"/>
          <cell r="D28"/>
          <cell r="E28"/>
          <cell r="F28"/>
          <cell r="G28"/>
          <cell r="H28"/>
          <cell r="I28"/>
          <cell r="J28"/>
          <cell r="K28"/>
          <cell r="L28"/>
        </row>
        <row r="29">
          <cell r="A29" t="str">
            <v>RAM 2500 BIGHORN</v>
          </cell>
          <cell r="B29"/>
          <cell r="C29" t="str">
            <v>Familia RAM 2500</v>
          </cell>
          <cell r="D29">
            <v>0.12</v>
          </cell>
          <cell r="E29" t="str">
            <v>Total</v>
          </cell>
          <cell r="F29">
            <v>0.11</v>
          </cell>
          <cell r="G29">
            <v>0.14000000000000001</v>
          </cell>
          <cell r="H29">
            <v>0.11</v>
          </cell>
          <cell r="I29">
            <v>0.14000000000000001</v>
          </cell>
          <cell r="J29"/>
          <cell r="K29">
            <v>0.16</v>
          </cell>
          <cell r="L29"/>
        </row>
        <row r="30">
          <cell r="A30"/>
          <cell r="B30"/>
          <cell r="C30"/>
          <cell r="D30"/>
          <cell r="E30" t="str">
            <v>Stellantis</v>
          </cell>
          <cell r="F30">
            <v>5.5000000000000007E-2</v>
          </cell>
          <cell r="G30">
            <v>7.0000000000000021E-2</v>
          </cell>
          <cell r="H30">
            <v>4.5000000000000012E-2</v>
          </cell>
          <cell r="I30">
            <v>6.0000000000000026E-2</v>
          </cell>
          <cell r="J30"/>
          <cell r="K30">
            <v>8.0000000000000016E-2</v>
          </cell>
          <cell r="L30"/>
        </row>
        <row r="31">
          <cell r="A31"/>
          <cell r="B31"/>
          <cell r="C31"/>
          <cell r="D31"/>
          <cell r="E31" t="str">
            <v xml:space="preserve">RED </v>
          </cell>
          <cell r="F31">
            <v>5.4999999999999993E-2</v>
          </cell>
          <cell r="G31">
            <v>6.9999999999999993E-2</v>
          </cell>
          <cell r="H31">
            <v>6.4999999999999988E-2</v>
          </cell>
          <cell r="I31">
            <v>7.9999999999999988E-2</v>
          </cell>
          <cell r="J31"/>
          <cell r="K31">
            <v>7.9999999999999988E-2</v>
          </cell>
          <cell r="L31"/>
        </row>
        <row r="32">
          <cell r="B32"/>
          <cell r="C32"/>
          <cell r="D32"/>
          <cell r="E32"/>
          <cell r="F32"/>
          <cell r="G32"/>
          <cell r="H32"/>
          <cell r="I32"/>
          <cell r="J32"/>
          <cell r="K32"/>
          <cell r="L32"/>
        </row>
        <row r="33">
          <cell r="B33"/>
          <cell r="C33"/>
          <cell r="D33"/>
          <cell r="E33"/>
          <cell r="F33"/>
          <cell r="G33"/>
          <cell r="H33"/>
          <cell r="I33"/>
          <cell r="J33"/>
          <cell r="K33"/>
          <cell r="L33"/>
        </row>
        <row r="34">
          <cell r="B34"/>
          <cell r="C34"/>
          <cell r="D34"/>
          <cell r="E34"/>
          <cell r="F34"/>
          <cell r="G34"/>
          <cell r="H34"/>
          <cell r="I34"/>
          <cell r="J34"/>
          <cell r="K34"/>
          <cell r="L34"/>
        </row>
        <row r="35">
          <cell r="F35"/>
          <cell r="G35"/>
        </row>
      </sheetData>
      <sheetData sheetId="2">
        <row r="1">
          <cell r="B1"/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A2" t="str">
            <v>MES</v>
          </cell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A3" t="str">
            <v>MAYO</v>
          </cell>
          <cell r="B3"/>
          <cell r="C3" t="str">
            <v xml:space="preserve">     ACCIONES COMERCIALES B2B RED - MAYO 2026</v>
          </cell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/>
          <cell r="C4"/>
          <cell r="D4"/>
          <cell r="E4"/>
          <cell r="F4"/>
          <cell r="G4"/>
          <cell r="H4"/>
          <cell r="I4"/>
          <cell r="J4"/>
          <cell r="K4"/>
          <cell r="L4"/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/>
          <cell r="C6" t="str">
            <v>TABLA DESCUENTOS FLOTAS</v>
          </cell>
          <cell r="D6"/>
          <cell r="E6"/>
          <cell r="F6" t="str">
            <v>Conces. Professional</v>
          </cell>
          <cell r="G6"/>
          <cell r="H6" t="str">
            <v>Conces. No Professional</v>
          </cell>
          <cell r="I6"/>
          <cell r="J6"/>
          <cell r="K6"/>
          <cell r="L6"/>
        </row>
        <row r="7">
          <cell r="B7"/>
          <cell r="C7"/>
          <cell r="D7"/>
          <cell r="E7"/>
          <cell r="F7" t="str">
            <v>Tramo 1
(1 a 5)</v>
          </cell>
          <cell r="G7" t="str">
            <v>Tramo 2
(6 a 99)</v>
          </cell>
          <cell r="H7" t="str">
            <v>Tramo 1
(1 a 5)</v>
          </cell>
          <cell r="I7" t="str">
            <v>Tramo 2
(6 a 99)</v>
          </cell>
          <cell r="J7"/>
          <cell r="K7" t="str">
            <v>Grandes Cuentas
(sobre 100)</v>
          </cell>
          <cell r="L7"/>
        </row>
        <row r="8">
          <cell r="B8"/>
          <cell r="C8" t="str">
            <v xml:space="preserve">Versión </v>
          </cell>
          <cell r="D8" t="str">
            <v>Margen Fijo</v>
          </cell>
          <cell r="E8" t="str">
            <v>Aportes</v>
          </cell>
          <cell r="F8"/>
          <cell r="G8"/>
          <cell r="H8"/>
          <cell r="I8"/>
          <cell r="J8"/>
          <cell r="K8"/>
          <cell r="L8"/>
        </row>
        <row r="9">
          <cell r="A9" t="str">
            <v>Berlingo MCA M BlueHDi 100</v>
          </cell>
          <cell r="B9"/>
          <cell r="C9" t="str">
            <v>Berlingo MCA M Diesel 100HP MT</v>
          </cell>
          <cell r="D9">
            <v>0.1</v>
          </cell>
          <cell r="E9" t="str">
            <v>Total</v>
          </cell>
          <cell r="F9">
            <v>0.12</v>
          </cell>
          <cell r="G9">
            <v>0.16</v>
          </cell>
          <cell r="H9">
            <v>0.12</v>
          </cell>
          <cell r="I9">
            <v>0.16</v>
          </cell>
          <cell r="J9"/>
          <cell r="K9">
            <v>0.24000000000000002</v>
          </cell>
          <cell r="L9"/>
        </row>
        <row r="10">
          <cell r="A10" t="str">
            <v>K9 VU</v>
          </cell>
          <cell r="B10"/>
          <cell r="C10"/>
          <cell r="D10"/>
          <cell r="E10" t="str">
            <v>Stellantis</v>
          </cell>
          <cell r="F10">
            <v>7.4999999999999983E-2</v>
          </cell>
          <cell r="G10">
            <v>0.11</v>
          </cell>
          <cell r="H10">
            <v>6.4999999999999988E-2</v>
          </cell>
          <cell r="I10">
            <v>0.1</v>
          </cell>
          <cell r="J10"/>
          <cell r="K10">
            <v>0.17</v>
          </cell>
          <cell r="L10"/>
        </row>
        <row r="11">
          <cell r="B11"/>
          <cell r="C11"/>
          <cell r="D11"/>
          <cell r="E11" t="str">
            <v xml:space="preserve">RED </v>
          </cell>
          <cell r="F11">
            <v>4.5000000000000005E-2</v>
          </cell>
          <cell r="G11">
            <v>0.05</v>
          </cell>
          <cell r="H11">
            <v>5.5000000000000007E-2</v>
          </cell>
          <cell r="I11">
            <v>6.0000000000000005E-2</v>
          </cell>
          <cell r="J11"/>
          <cell r="K11">
            <v>7.0000000000000007E-2</v>
          </cell>
          <cell r="L11"/>
        </row>
        <row r="12">
          <cell r="B12"/>
          <cell r="C12"/>
          <cell r="D12"/>
          <cell r="E12"/>
          <cell r="F12"/>
          <cell r="G12"/>
          <cell r="H12"/>
          <cell r="I12"/>
          <cell r="J12"/>
          <cell r="K12"/>
          <cell r="L12"/>
        </row>
        <row r="13">
          <cell r="A13" t="str">
            <v>Berlingo MCA XL BlueHDi 100</v>
          </cell>
          <cell r="B13"/>
          <cell r="C13" t="str">
            <v>Berlingo MCA XL Diesel 100HP MT</v>
          </cell>
          <cell r="D13">
            <v>0.1</v>
          </cell>
          <cell r="E13" t="str">
            <v>Total</v>
          </cell>
          <cell r="F13">
            <v>0.12</v>
          </cell>
          <cell r="G13">
            <v>0.16</v>
          </cell>
          <cell r="H13">
            <v>0.12</v>
          </cell>
          <cell r="I13">
            <v>0.16</v>
          </cell>
          <cell r="J13"/>
          <cell r="K13">
            <v>0.24000000000000002</v>
          </cell>
          <cell r="L13"/>
        </row>
        <row r="14">
          <cell r="A14" t="str">
            <v>K9 VU</v>
          </cell>
          <cell r="B14"/>
          <cell r="C14"/>
          <cell r="D14"/>
          <cell r="E14" t="str">
            <v>Stellantis</v>
          </cell>
          <cell r="F14">
            <v>7.4999999999999983E-2</v>
          </cell>
          <cell r="G14">
            <v>0.11</v>
          </cell>
          <cell r="H14">
            <v>6.4999999999999988E-2</v>
          </cell>
          <cell r="I14">
            <v>0.1</v>
          </cell>
          <cell r="J14"/>
          <cell r="K14">
            <v>0.17</v>
          </cell>
          <cell r="L14"/>
        </row>
        <row r="15">
          <cell r="A15"/>
          <cell r="B15"/>
          <cell r="C15"/>
          <cell r="D15"/>
          <cell r="E15" t="str">
            <v xml:space="preserve">RED </v>
          </cell>
          <cell r="F15">
            <v>4.5000000000000005E-2</v>
          </cell>
          <cell r="G15">
            <v>0.05</v>
          </cell>
          <cell r="H15">
            <v>5.5000000000000007E-2</v>
          </cell>
          <cell r="I15">
            <v>6.0000000000000005E-2</v>
          </cell>
          <cell r="J15"/>
          <cell r="K15">
            <v>7.0000000000000007E-2</v>
          </cell>
          <cell r="L15"/>
        </row>
        <row r="16">
          <cell r="B16"/>
          <cell r="C16"/>
          <cell r="D16"/>
          <cell r="E16"/>
          <cell r="F16"/>
          <cell r="G16"/>
          <cell r="H16"/>
          <cell r="I16"/>
          <cell r="J16"/>
          <cell r="K16"/>
          <cell r="L16"/>
        </row>
        <row r="17">
          <cell r="A17" t="str">
            <v>JUMPY MCA Comfort XL BlueHDi 145</v>
          </cell>
          <cell r="B17"/>
          <cell r="C17" t="str">
            <v>Jumpy MCA XL Diesel 145HP MT</v>
          </cell>
          <cell r="D17">
            <v>0.1</v>
          </cell>
          <cell r="E17" t="str">
            <v>Total</v>
          </cell>
          <cell r="F17">
            <v>0.14000000000000001</v>
          </cell>
          <cell r="G17">
            <v>0.14000000000000001</v>
          </cell>
          <cell r="H17">
            <v>0.14000000000000001</v>
          </cell>
          <cell r="I17">
            <v>0.14000000000000001</v>
          </cell>
          <cell r="J17"/>
          <cell r="K17">
            <v>0.16</v>
          </cell>
          <cell r="L17"/>
        </row>
        <row r="18">
          <cell r="A18" t="str">
            <v>K0 VU</v>
          </cell>
          <cell r="B18"/>
          <cell r="C18"/>
          <cell r="D18"/>
          <cell r="E18" t="str">
            <v>Stellantis</v>
          </cell>
          <cell r="F18">
            <v>9.0000000000000011E-2</v>
          </cell>
          <cell r="G18">
            <v>9.0000000000000011E-2</v>
          </cell>
          <cell r="H18">
            <v>8.0000000000000016E-2</v>
          </cell>
          <cell r="I18">
            <v>8.0000000000000016E-2</v>
          </cell>
          <cell r="J18"/>
          <cell r="K18">
            <v>0.1</v>
          </cell>
          <cell r="L18"/>
        </row>
        <row r="19">
          <cell r="A19"/>
          <cell r="B19"/>
          <cell r="C19"/>
          <cell r="D19"/>
          <cell r="E19" t="str">
            <v xml:space="preserve">RED </v>
          </cell>
          <cell r="F19">
            <v>0.05</v>
          </cell>
          <cell r="G19">
            <v>0.05</v>
          </cell>
          <cell r="H19">
            <v>6.0000000000000005E-2</v>
          </cell>
          <cell r="I19">
            <v>6.0000000000000005E-2</v>
          </cell>
          <cell r="J19"/>
          <cell r="K19">
            <v>6.0000000000000005E-2</v>
          </cell>
          <cell r="L19"/>
        </row>
        <row r="20">
          <cell r="A20"/>
          <cell r="B20"/>
          <cell r="C20"/>
          <cell r="D20"/>
          <cell r="E20"/>
          <cell r="F20"/>
          <cell r="G20"/>
          <cell r="H20"/>
          <cell r="I20"/>
          <cell r="J20"/>
          <cell r="K20"/>
          <cell r="L20"/>
        </row>
        <row r="21">
          <cell r="A21" t="str">
            <v>Spacetourer MCA BlueHDi 180 EAT8 8P</v>
          </cell>
          <cell r="B21"/>
          <cell r="C21" t="str">
            <v>Familia SPACETOURER</v>
          </cell>
          <cell r="D21">
            <v>0.1</v>
          </cell>
          <cell r="E21" t="str">
            <v>Total</v>
          </cell>
          <cell r="F21">
            <v>0.14000000000000001</v>
          </cell>
          <cell r="G21">
            <v>0.14000000000000001</v>
          </cell>
          <cell r="H21">
            <v>0.14000000000000001</v>
          </cell>
          <cell r="I21">
            <v>0.14000000000000001</v>
          </cell>
          <cell r="J21"/>
          <cell r="K21">
            <v>0.16</v>
          </cell>
          <cell r="L21"/>
        </row>
        <row r="22">
          <cell r="A22" t="str">
            <v>K0 VP</v>
          </cell>
          <cell r="B22"/>
          <cell r="C22"/>
          <cell r="D22"/>
          <cell r="E22" t="str">
            <v>Stellantis</v>
          </cell>
          <cell r="F22">
            <v>9.0000000000000011E-2</v>
          </cell>
          <cell r="G22">
            <v>9.0000000000000011E-2</v>
          </cell>
          <cell r="H22">
            <v>8.0000000000000016E-2</v>
          </cell>
          <cell r="I22">
            <v>8.0000000000000016E-2</v>
          </cell>
          <cell r="J22"/>
          <cell r="K22">
            <v>0.1</v>
          </cell>
          <cell r="L22"/>
        </row>
        <row r="23">
          <cell r="A23"/>
          <cell r="B23"/>
          <cell r="C23"/>
          <cell r="D23"/>
          <cell r="E23" t="str">
            <v xml:space="preserve">RED </v>
          </cell>
          <cell r="F23">
            <v>0.05</v>
          </cell>
          <cell r="G23">
            <v>0.05</v>
          </cell>
          <cell r="H23">
            <v>6.0000000000000005E-2</v>
          </cell>
          <cell r="I23">
            <v>6.0000000000000005E-2</v>
          </cell>
          <cell r="J23"/>
          <cell r="K23">
            <v>6.0000000000000005E-2</v>
          </cell>
          <cell r="L23"/>
        </row>
        <row r="24">
          <cell r="A24"/>
          <cell r="B24"/>
          <cell r="C24"/>
          <cell r="D24"/>
          <cell r="E24"/>
          <cell r="F24"/>
          <cell r="G24"/>
          <cell r="H24"/>
          <cell r="I24"/>
          <cell r="J24"/>
          <cell r="K24"/>
          <cell r="L24"/>
        </row>
        <row r="25">
          <cell r="A25" t="str">
            <v>JUMPER MCA L2H2 BlueHDi</v>
          </cell>
          <cell r="B25"/>
          <cell r="C25" t="str">
            <v>Familia JUMPER</v>
          </cell>
          <cell r="D25">
            <v>0.1</v>
          </cell>
          <cell r="E25" t="str">
            <v>Total</v>
          </cell>
          <cell r="F25">
            <v>0.14000000000000001</v>
          </cell>
          <cell r="G25">
            <v>0.16</v>
          </cell>
          <cell r="H25">
            <v>0.14000000000000001</v>
          </cell>
          <cell r="I25">
            <v>0.16</v>
          </cell>
          <cell r="J25"/>
          <cell r="K25">
            <v>0.2</v>
          </cell>
          <cell r="L25"/>
        </row>
        <row r="26">
          <cell r="A26"/>
          <cell r="B26"/>
          <cell r="C26"/>
          <cell r="D26"/>
          <cell r="E26" t="str">
            <v>Stellantis</v>
          </cell>
          <cell r="F26">
            <v>0.1</v>
          </cell>
          <cell r="G26">
            <v>0.11</v>
          </cell>
          <cell r="H26">
            <v>0.09</v>
          </cell>
          <cell r="I26">
            <v>0.1</v>
          </cell>
          <cell r="J26"/>
          <cell r="K26">
            <v>0.13500000000000001</v>
          </cell>
          <cell r="L26"/>
        </row>
        <row r="27">
          <cell r="A27"/>
          <cell r="B27"/>
          <cell r="C27"/>
          <cell r="D27"/>
          <cell r="E27" t="str">
            <v xml:space="preserve">RED </v>
          </cell>
          <cell r="F27">
            <v>4.0000000000000008E-2</v>
          </cell>
          <cell r="G27">
            <v>0.05</v>
          </cell>
          <cell r="H27">
            <v>5.000000000000001E-2</v>
          </cell>
          <cell r="I27">
            <v>6.0000000000000005E-2</v>
          </cell>
          <cell r="J27"/>
          <cell r="K27">
            <v>6.5000000000000002E-2</v>
          </cell>
          <cell r="L27"/>
        </row>
        <row r="28">
          <cell r="A28"/>
          <cell r="B28"/>
          <cell r="C28"/>
          <cell r="D28"/>
          <cell r="E28"/>
          <cell r="F28"/>
          <cell r="G28"/>
          <cell r="H28"/>
          <cell r="I28"/>
          <cell r="J28"/>
          <cell r="K28"/>
          <cell r="L28"/>
        </row>
        <row r="29">
          <cell r="A29"/>
          <cell r="B29"/>
          <cell r="C29" t="str">
            <v>Otros VP</v>
          </cell>
          <cell r="D29"/>
          <cell r="E29"/>
          <cell r="F29"/>
          <cell r="G29"/>
          <cell r="H29"/>
          <cell r="I29"/>
          <cell r="J29"/>
          <cell r="K29"/>
          <cell r="L29"/>
        </row>
        <row r="30">
          <cell r="A30"/>
          <cell r="B30"/>
          <cell r="C30"/>
          <cell r="D30"/>
          <cell r="E30"/>
          <cell r="F30"/>
          <cell r="G30"/>
          <cell r="H30"/>
          <cell r="I30"/>
          <cell r="J30"/>
          <cell r="K30"/>
          <cell r="L30"/>
        </row>
        <row r="31">
          <cell r="A31" t="str">
            <v>C3 Puretech 82 Live Pack</v>
          </cell>
          <cell r="B31"/>
          <cell r="C31" t="str">
            <v>Familia C3</v>
          </cell>
          <cell r="D31">
            <v>0.09</v>
          </cell>
          <cell r="E31" t="str">
            <v>Total</v>
          </cell>
          <cell r="F31">
            <v>0.06</v>
          </cell>
          <cell r="G31">
            <v>0.08</v>
          </cell>
          <cell r="H31">
            <v>0.06</v>
          </cell>
          <cell r="I31">
            <v>0.08</v>
          </cell>
          <cell r="J31"/>
          <cell r="K31">
            <v>0.1</v>
          </cell>
          <cell r="L31"/>
        </row>
        <row r="32">
          <cell r="A32" t="str">
            <v>CC21</v>
          </cell>
          <cell r="B32"/>
          <cell r="C32"/>
          <cell r="D32"/>
          <cell r="E32" t="str">
            <v>Stellantis</v>
          </cell>
          <cell r="F32">
            <v>3.5000000000000003E-2</v>
          </cell>
          <cell r="G32">
            <v>4.5000000000000005E-2</v>
          </cell>
          <cell r="H32">
            <v>2.5000000000000001E-2</v>
          </cell>
          <cell r="I32">
            <v>3.5000000000000003E-2</v>
          </cell>
          <cell r="J32"/>
          <cell r="K32">
            <v>4.0000000000000008E-2</v>
          </cell>
          <cell r="L32"/>
        </row>
        <row r="33">
          <cell r="A33"/>
          <cell r="B33"/>
          <cell r="C33"/>
          <cell r="D33"/>
          <cell r="E33" t="str">
            <v xml:space="preserve">RED </v>
          </cell>
          <cell r="F33">
            <v>2.4999999999999994E-2</v>
          </cell>
          <cell r="G33">
            <v>3.4999999999999996E-2</v>
          </cell>
          <cell r="H33">
            <v>3.4999999999999996E-2</v>
          </cell>
          <cell r="I33">
            <v>4.4999999999999998E-2</v>
          </cell>
          <cell r="J33"/>
          <cell r="K33">
            <v>0.06</v>
          </cell>
          <cell r="L33"/>
        </row>
        <row r="34">
          <cell r="A34" t="str">
            <v>Basalt Feel Pack Gasolina 96HP MT</v>
          </cell>
          <cell r="B34"/>
          <cell r="C34" t="str">
            <v>Familia NEW Basalt</v>
          </cell>
          <cell r="D34">
            <v>0.09</v>
          </cell>
          <cell r="E34" t="str">
            <v>Total</v>
          </cell>
          <cell r="F34">
            <v>0.06</v>
          </cell>
          <cell r="G34">
            <v>0.08</v>
          </cell>
          <cell r="H34">
            <v>0.06</v>
          </cell>
          <cell r="I34">
            <v>0.08</v>
          </cell>
          <cell r="J34"/>
          <cell r="K34">
            <v>0.1</v>
          </cell>
          <cell r="L34"/>
        </row>
        <row r="35">
          <cell r="A35" t="str">
            <v>Basalt VTI 115 Feel</v>
          </cell>
          <cell r="B35"/>
          <cell r="C35"/>
          <cell r="D35"/>
          <cell r="E35" t="str">
            <v>Stellantis</v>
          </cell>
          <cell r="F35">
            <v>3.5000000000000003E-2</v>
          </cell>
          <cell r="G35">
            <v>4.5000000000000005E-2</v>
          </cell>
          <cell r="H35">
            <v>2.5000000000000001E-2</v>
          </cell>
          <cell r="I35">
            <v>3.5000000000000003E-2</v>
          </cell>
          <cell r="J35"/>
          <cell r="K35">
            <v>4.0000000000000008E-2</v>
          </cell>
          <cell r="L35"/>
        </row>
        <row r="36">
          <cell r="A36"/>
          <cell r="B36"/>
          <cell r="C36"/>
          <cell r="D36"/>
          <cell r="E36" t="str">
            <v xml:space="preserve">RED </v>
          </cell>
          <cell r="F36">
            <v>2.4999999999999994E-2</v>
          </cell>
          <cell r="G36">
            <v>3.4999999999999996E-2</v>
          </cell>
          <cell r="H36">
            <v>3.4999999999999996E-2</v>
          </cell>
          <cell r="I36">
            <v>4.4999999999999998E-2</v>
          </cell>
          <cell r="J36"/>
          <cell r="K36">
            <v>0.06</v>
          </cell>
          <cell r="L36"/>
        </row>
        <row r="37">
          <cell r="A37" t="str">
            <v>C3 Aircross VTi 115 Feel Pack 5P</v>
          </cell>
          <cell r="B37"/>
          <cell r="C37" t="str">
            <v>Familia C3 AIRCROSS</v>
          </cell>
          <cell r="D37">
            <v>0.09</v>
          </cell>
          <cell r="E37" t="str">
            <v>Total</v>
          </cell>
          <cell r="F37">
            <v>0.06</v>
          </cell>
          <cell r="G37">
            <v>0.08</v>
          </cell>
          <cell r="H37">
            <v>0.06</v>
          </cell>
          <cell r="I37">
            <v>0.08</v>
          </cell>
          <cell r="J37"/>
          <cell r="K37">
            <v>0.1</v>
          </cell>
          <cell r="L37"/>
        </row>
        <row r="38">
          <cell r="A38" t="str">
            <v>CC24</v>
          </cell>
          <cell r="B38"/>
          <cell r="C38"/>
          <cell r="D38"/>
          <cell r="E38" t="str">
            <v>Stellantis</v>
          </cell>
          <cell r="F38">
            <v>3.5000000000000003E-2</v>
          </cell>
          <cell r="G38">
            <v>4.5000000000000005E-2</v>
          </cell>
          <cell r="H38">
            <v>2.5000000000000001E-2</v>
          </cell>
          <cell r="I38">
            <v>3.5000000000000003E-2</v>
          </cell>
          <cell r="J38"/>
          <cell r="K38">
            <v>4.0000000000000008E-2</v>
          </cell>
          <cell r="L38"/>
        </row>
        <row r="39">
          <cell r="A39"/>
          <cell r="B39"/>
          <cell r="C39"/>
          <cell r="D39"/>
          <cell r="E39" t="str">
            <v xml:space="preserve">RED </v>
          </cell>
          <cell r="F39">
            <v>2.4999999999999994E-2</v>
          </cell>
          <cell r="G39">
            <v>3.4999999999999996E-2</v>
          </cell>
          <cell r="H39">
            <v>3.4999999999999996E-2</v>
          </cell>
          <cell r="I39">
            <v>4.4999999999999998E-2</v>
          </cell>
          <cell r="J39"/>
          <cell r="K39">
            <v>0.06</v>
          </cell>
          <cell r="L39"/>
        </row>
        <row r="40">
          <cell r="A40" t="str">
            <v>C4 MCA Hybrid 136 eDCT6 Plus</v>
          </cell>
          <cell r="B40"/>
          <cell r="C40" t="str">
            <v>Familia C4</v>
          </cell>
          <cell r="D40">
            <v>0.09</v>
          </cell>
          <cell r="E40" t="str">
            <v>Total</v>
          </cell>
          <cell r="F40">
            <v>0.06</v>
          </cell>
          <cell r="G40">
            <v>0.08</v>
          </cell>
          <cell r="H40">
            <v>0.06</v>
          </cell>
          <cell r="I40">
            <v>0.08</v>
          </cell>
          <cell r="J40"/>
          <cell r="K40">
            <v>0.1</v>
          </cell>
          <cell r="L40"/>
        </row>
        <row r="41">
          <cell r="A41" t="str">
            <v>C4 Puretech 130 EAT8 Feel Pack</v>
          </cell>
          <cell r="B41"/>
          <cell r="C41"/>
          <cell r="D41"/>
          <cell r="E41" t="str">
            <v>Stellantis</v>
          </cell>
          <cell r="F41">
            <v>3.5000000000000003E-2</v>
          </cell>
          <cell r="G41">
            <v>4.5000000000000005E-2</v>
          </cell>
          <cell r="H41">
            <v>2.5000000000000001E-2</v>
          </cell>
          <cell r="I41">
            <v>3.5000000000000003E-2</v>
          </cell>
          <cell r="J41"/>
          <cell r="K41">
            <v>4.0000000000000008E-2</v>
          </cell>
          <cell r="L41"/>
        </row>
        <row r="42">
          <cell r="A42"/>
          <cell r="B42"/>
          <cell r="C42"/>
          <cell r="D42"/>
          <cell r="E42" t="str">
            <v xml:space="preserve">RED </v>
          </cell>
          <cell r="F42">
            <v>2.4999999999999994E-2</v>
          </cell>
          <cell r="G42">
            <v>3.4999999999999996E-2</v>
          </cell>
          <cell r="H42">
            <v>3.4999999999999996E-2</v>
          </cell>
          <cell r="I42">
            <v>4.4999999999999998E-2</v>
          </cell>
          <cell r="J42"/>
          <cell r="K42">
            <v>0.06</v>
          </cell>
          <cell r="L42"/>
        </row>
        <row r="43">
          <cell r="A43" t="str">
            <v>C5 Aircross Plus Gasolina 180HP AT</v>
          </cell>
          <cell r="B43"/>
          <cell r="C43" t="str">
            <v>Familia C5 AIRCROSS</v>
          </cell>
          <cell r="D43">
            <v>0.09</v>
          </cell>
          <cell r="E43" t="str">
            <v>Total</v>
          </cell>
          <cell r="F43">
            <v>0.06</v>
          </cell>
          <cell r="G43">
            <v>0.08</v>
          </cell>
          <cell r="H43">
            <v>0.06</v>
          </cell>
          <cell r="I43">
            <v>0.08</v>
          </cell>
          <cell r="J43"/>
          <cell r="K43">
            <v>0.1</v>
          </cell>
          <cell r="L43"/>
        </row>
        <row r="44">
          <cell r="A44" t="str">
            <v>C5 Aircross BlueHDi 130 EAT8 Feel Pack</v>
          </cell>
          <cell r="B44"/>
          <cell r="C44"/>
          <cell r="D44"/>
          <cell r="E44" t="str">
            <v>Stellantis</v>
          </cell>
          <cell r="F44">
            <v>3.5000000000000003E-2</v>
          </cell>
          <cell r="G44">
            <v>4.5000000000000005E-2</v>
          </cell>
          <cell r="H44">
            <v>2.5000000000000001E-2</v>
          </cell>
          <cell r="I44">
            <v>3.5000000000000003E-2</v>
          </cell>
          <cell r="J44"/>
          <cell r="K44">
            <v>4.0000000000000008E-2</v>
          </cell>
          <cell r="L44"/>
        </row>
        <row r="45">
          <cell r="A45"/>
          <cell r="B45"/>
          <cell r="C45"/>
          <cell r="D45"/>
          <cell r="E45" t="str">
            <v xml:space="preserve">RED </v>
          </cell>
          <cell r="F45">
            <v>2.4999999999999994E-2</v>
          </cell>
          <cell r="G45">
            <v>3.4999999999999996E-2</v>
          </cell>
          <cell r="H45">
            <v>3.4999999999999996E-2</v>
          </cell>
          <cell r="I45">
            <v>4.4999999999999998E-2</v>
          </cell>
          <cell r="J45"/>
          <cell r="K45">
            <v>0.06</v>
          </cell>
          <cell r="L45"/>
        </row>
        <row r="46">
          <cell r="A46" t="str">
            <v>Berlingo MCA Multispace XL BlueHDi 100 Feel</v>
          </cell>
          <cell r="B46"/>
          <cell r="C46" t="str">
            <v>Familia BERLINGO MULTISPACE MCA</v>
          </cell>
          <cell r="D46">
            <v>0.09</v>
          </cell>
          <cell r="E46" t="str">
            <v>Total</v>
          </cell>
          <cell r="F46">
            <v>9.9999999999999992E-2</v>
          </cell>
          <cell r="G46">
            <v>9.9999999999999992E-2</v>
          </cell>
          <cell r="H46">
            <v>9.9999999999999992E-2</v>
          </cell>
          <cell r="I46">
            <v>9.9999999999999992E-2</v>
          </cell>
          <cell r="J46"/>
          <cell r="K46">
            <v>0.14000000000000001</v>
          </cell>
          <cell r="L46"/>
        </row>
        <row r="47">
          <cell r="A47" t="str">
            <v>Berlingo Multispace BlueHdi 100 Plus</v>
          </cell>
          <cell r="B47"/>
          <cell r="C47"/>
          <cell r="D47"/>
          <cell r="E47" t="str">
            <v>Stellantis</v>
          </cell>
          <cell r="F47">
            <v>5.4999999999999993E-2</v>
          </cell>
          <cell r="G47">
            <v>5.4999999999999993E-2</v>
          </cell>
          <cell r="H47">
            <v>4.4999999999999991E-2</v>
          </cell>
          <cell r="I47">
            <v>4.4999999999999991E-2</v>
          </cell>
          <cell r="J47"/>
          <cell r="K47">
            <v>8.0000000000000016E-2</v>
          </cell>
          <cell r="L47"/>
        </row>
        <row r="48">
          <cell r="A48"/>
          <cell r="B48"/>
          <cell r="C48"/>
          <cell r="D48"/>
          <cell r="E48" t="str">
            <v xml:space="preserve">RED </v>
          </cell>
          <cell r="F48">
            <v>4.4999999999999998E-2</v>
          </cell>
          <cell r="G48">
            <v>4.4999999999999998E-2</v>
          </cell>
          <cell r="H48">
            <v>5.5E-2</v>
          </cell>
          <cell r="I48">
            <v>5.5E-2</v>
          </cell>
          <cell r="J48"/>
          <cell r="K48">
            <v>0.06</v>
          </cell>
          <cell r="L48"/>
        </row>
        <row r="49">
          <cell r="B49"/>
          <cell r="C49"/>
          <cell r="D49"/>
          <cell r="E49"/>
          <cell r="F49"/>
          <cell r="G49"/>
          <cell r="H49"/>
          <cell r="I49"/>
          <cell r="J49"/>
          <cell r="K49"/>
          <cell r="L49"/>
        </row>
        <row r="50">
          <cell r="B50"/>
          <cell r="C50" t="str">
            <v>Nota: Para el caso de VU, personas naturales sin giro comercial tendrán el descuento de Tramo 1, a excepción de Multispace, donde se aplican descuentos y bonos de lista de precios normal.</v>
          </cell>
          <cell r="D50"/>
          <cell r="E50"/>
          <cell r="F50"/>
          <cell r="G50"/>
          <cell r="H50"/>
          <cell r="I50"/>
          <cell r="J50"/>
          <cell r="K50"/>
          <cell r="L50"/>
        </row>
        <row r="51">
          <cell r="B51"/>
          <cell r="C51"/>
          <cell r="D51"/>
          <cell r="E51"/>
          <cell r="F51"/>
          <cell r="G51"/>
          <cell r="H51"/>
          <cell r="I51"/>
          <cell r="J51"/>
          <cell r="K51"/>
          <cell r="L51"/>
        </row>
        <row r="52">
          <cell r="B52"/>
          <cell r="C52"/>
          <cell r="D52"/>
          <cell r="E52"/>
          <cell r="F52"/>
          <cell r="G52"/>
          <cell r="H52"/>
          <cell r="I52"/>
          <cell r="J52"/>
          <cell r="K52"/>
          <cell r="L52"/>
        </row>
        <row r="53">
          <cell r="F53"/>
          <cell r="G53"/>
        </row>
      </sheetData>
      <sheetData sheetId="3">
        <row r="1"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C3" t="str">
            <v xml:space="preserve">     ACCIONES COMERCIALES B2B RED - MAYO 2026</v>
          </cell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C4"/>
          <cell r="D4"/>
          <cell r="E4"/>
          <cell r="F4"/>
          <cell r="G4"/>
          <cell r="H4"/>
          <cell r="I4"/>
          <cell r="J4"/>
          <cell r="K4"/>
          <cell r="L4"/>
        </row>
        <row r="5"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C6" t="str">
            <v>TABLA DESCUENTOS FLOTAS</v>
          </cell>
          <cell r="D6"/>
          <cell r="E6"/>
          <cell r="F6" t="str">
            <v>Conces. Professional</v>
          </cell>
          <cell r="G6"/>
          <cell r="H6" t="str">
            <v>Conces. No Professional</v>
          </cell>
          <cell r="I6"/>
          <cell r="J6"/>
          <cell r="K6"/>
          <cell r="L6"/>
        </row>
        <row r="7">
          <cell r="C7"/>
          <cell r="D7"/>
          <cell r="E7"/>
          <cell r="F7" t="str">
            <v>Tramo 1
(1 a 5)</v>
          </cell>
          <cell r="G7" t="str">
            <v>Tramo 2
(6 a 99)</v>
          </cell>
          <cell r="H7" t="str">
            <v>Tramo 1
(1 a 5)</v>
          </cell>
          <cell r="I7" t="str">
            <v>Tramo 2
(6 a 99)</v>
          </cell>
          <cell r="J7"/>
          <cell r="K7" t="str">
            <v>Grandes Cuentas
(sobre 100)</v>
          </cell>
          <cell r="L7"/>
        </row>
        <row r="8">
          <cell r="C8" t="str">
            <v xml:space="preserve">Versión </v>
          </cell>
          <cell r="D8" t="str">
            <v>Margen Fijo</v>
          </cell>
          <cell r="E8" t="str">
            <v>Aportes</v>
          </cell>
          <cell r="F8"/>
          <cell r="G8"/>
          <cell r="H8"/>
          <cell r="I8"/>
          <cell r="J8"/>
          <cell r="K8"/>
          <cell r="L8"/>
        </row>
        <row r="9">
          <cell r="C9" t="str">
            <v>COMBO MCA LITE 1,5 TD</v>
          </cell>
          <cell r="D9">
            <v>0.1</v>
          </cell>
          <cell r="E9" t="str">
            <v>Total</v>
          </cell>
          <cell r="F9">
            <v>0.13</v>
          </cell>
          <cell r="G9">
            <v>0.17</v>
          </cell>
          <cell r="H9">
            <v>0.13</v>
          </cell>
          <cell r="I9">
            <v>0.17</v>
          </cell>
          <cell r="J9"/>
          <cell r="K9">
            <v>0.25</v>
          </cell>
          <cell r="L9"/>
        </row>
        <row r="10">
          <cell r="C10"/>
          <cell r="D10"/>
          <cell r="E10" t="str">
            <v>Stellantis</v>
          </cell>
          <cell r="F10">
            <v>8.4999999999999992E-2</v>
          </cell>
          <cell r="G10">
            <v>0.12000000000000001</v>
          </cell>
          <cell r="H10">
            <v>7.4999999999999997E-2</v>
          </cell>
          <cell r="I10">
            <v>0.11000000000000001</v>
          </cell>
          <cell r="J10"/>
          <cell r="K10">
            <v>0.18</v>
          </cell>
          <cell r="L10"/>
        </row>
        <row r="11">
          <cell r="C11"/>
          <cell r="D11"/>
          <cell r="E11" t="str">
            <v xml:space="preserve">RED </v>
          </cell>
          <cell r="F11">
            <v>4.5000000000000005E-2</v>
          </cell>
          <cell r="G11">
            <v>0.05</v>
          </cell>
          <cell r="H11">
            <v>5.5000000000000007E-2</v>
          </cell>
          <cell r="I11">
            <v>6.0000000000000005E-2</v>
          </cell>
          <cell r="J11"/>
          <cell r="K11">
            <v>7.0000000000000007E-2</v>
          </cell>
          <cell r="L11"/>
        </row>
        <row r="12">
          <cell r="C12" t="str">
            <v>Otros VP</v>
          </cell>
          <cell r="D12"/>
          <cell r="E12"/>
          <cell r="F12"/>
          <cell r="G12"/>
          <cell r="H12"/>
          <cell r="I12"/>
          <cell r="J12"/>
          <cell r="K12"/>
          <cell r="L12"/>
        </row>
        <row r="13">
          <cell r="C13"/>
          <cell r="D13"/>
          <cell r="E13"/>
          <cell r="F13"/>
          <cell r="G13"/>
          <cell r="H13"/>
          <cell r="I13"/>
          <cell r="J13"/>
          <cell r="K13"/>
          <cell r="L13"/>
        </row>
        <row r="14">
          <cell r="C14" t="str">
            <v>Familia CORSA</v>
          </cell>
          <cell r="D14">
            <v>0.09</v>
          </cell>
          <cell r="E14" t="str">
            <v>Total</v>
          </cell>
          <cell r="F14">
            <v>6.0000000000000005E-2</v>
          </cell>
          <cell r="G14">
            <v>7.9999999999999988E-2</v>
          </cell>
          <cell r="H14">
            <v>6.0000000000000005E-2</v>
          </cell>
          <cell r="I14">
            <v>7.9999999999999988E-2</v>
          </cell>
          <cell r="J14"/>
          <cell r="K14">
            <v>9.9999999999999992E-2</v>
          </cell>
          <cell r="L14"/>
        </row>
        <row r="15">
          <cell r="C15"/>
          <cell r="D15"/>
          <cell r="E15" t="str">
            <v>Stellantis</v>
          </cell>
          <cell r="F15">
            <v>3.500000000000001E-2</v>
          </cell>
          <cell r="G15">
            <v>4.4999999999999991E-2</v>
          </cell>
          <cell r="H15">
            <v>2.5000000000000008E-2</v>
          </cell>
          <cell r="I15">
            <v>3.4999999999999989E-2</v>
          </cell>
          <cell r="J15"/>
          <cell r="K15">
            <v>4.9999999999999996E-2</v>
          </cell>
          <cell r="L15"/>
        </row>
        <row r="16">
          <cell r="C16"/>
          <cell r="D16"/>
          <cell r="E16" t="str">
            <v xml:space="preserve">RED </v>
          </cell>
          <cell r="F16">
            <v>2.4999999999999994E-2</v>
          </cell>
          <cell r="G16">
            <v>3.4999999999999996E-2</v>
          </cell>
          <cell r="H16">
            <v>3.4999999999999996E-2</v>
          </cell>
          <cell r="I16">
            <v>4.4999999999999998E-2</v>
          </cell>
          <cell r="J16"/>
          <cell r="K16">
            <v>4.9999999999999996E-2</v>
          </cell>
          <cell r="L16"/>
        </row>
        <row r="17">
          <cell r="C17" t="str">
            <v>Familia CROSSLAND</v>
          </cell>
          <cell r="D17">
            <v>0.09</v>
          </cell>
          <cell r="E17" t="str">
            <v>Total</v>
          </cell>
          <cell r="F17">
            <v>6.0000000000000005E-2</v>
          </cell>
          <cell r="G17">
            <v>7.9999999999999988E-2</v>
          </cell>
          <cell r="H17">
            <v>6.0000000000000005E-2</v>
          </cell>
          <cell r="I17">
            <v>7.9999999999999988E-2</v>
          </cell>
          <cell r="J17"/>
          <cell r="K17">
            <v>9.9999999999999992E-2</v>
          </cell>
          <cell r="L17"/>
        </row>
        <row r="18">
          <cell r="C18"/>
          <cell r="D18"/>
          <cell r="E18" t="str">
            <v>Stellantis</v>
          </cell>
          <cell r="F18">
            <v>3.5000000000000003E-2</v>
          </cell>
          <cell r="G18">
            <v>4.4999999999999991E-2</v>
          </cell>
          <cell r="H18">
            <v>2.5000000000000008E-2</v>
          </cell>
          <cell r="I18">
            <v>3.4999999999999989E-2</v>
          </cell>
          <cell r="J18"/>
          <cell r="K18">
            <v>4.9999999999999996E-2</v>
          </cell>
          <cell r="L18"/>
        </row>
        <row r="19">
          <cell r="C19"/>
          <cell r="D19"/>
          <cell r="E19" t="str">
            <v xml:space="preserve">RED </v>
          </cell>
          <cell r="F19">
            <v>2.4999999999999998E-2</v>
          </cell>
          <cell r="G19">
            <v>3.4999999999999996E-2</v>
          </cell>
          <cell r="H19">
            <v>3.4999999999999996E-2</v>
          </cell>
          <cell r="I19">
            <v>4.4999999999999998E-2</v>
          </cell>
          <cell r="J19"/>
          <cell r="K19">
            <v>4.9999999999999996E-2</v>
          </cell>
          <cell r="L19"/>
        </row>
        <row r="20">
          <cell r="C20" t="str">
            <v>Familia MOKKA</v>
          </cell>
          <cell r="D20">
            <v>0.09</v>
          </cell>
          <cell r="E20" t="str">
            <v>Total</v>
          </cell>
          <cell r="F20">
            <v>6.0000000000000005E-2</v>
          </cell>
          <cell r="G20">
            <v>7.9999999999999988E-2</v>
          </cell>
          <cell r="H20">
            <v>6.0000000000000005E-2</v>
          </cell>
          <cell r="I20">
            <v>7.9999999999999988E-2</v>
          </cell>
          <cell r="J20"/>
          <cell r="K20">
            <v>9.9999999999999992E-2</v>
          </cell>
          <cell r="L20"/>
        </row>
        <row r="21">
          <cell r="C21"/>
          <cell r="D21"/>
          <cell r="E21" t="str">
            <v>Stellantis</v>
          </cell>
          <cell r="F21">
            <v>3.5000000000000003E-2</v>
          </cell>
          <cell r="G21">
            <v>4.4999999999999991E-2</v>
          </cell>
          <cell r="H21">
            <v>2.5000000000000008E-2</v>
          </cell>
          <cell r="I21">
            <v>3.4999999999999989E-2</v>
          </cell>
          <cell r="J21"/>
          <cell r="K21">
            <v>4.9999999999999996E-2</v>
          </cell>
          <cell r="L21"/>
        </row>
        <row r="22">
          <cell r="C22"/>
          <cell r="D22"/>
          <cell r="E22" t="str">
            <v xml:space="preserve">RED </v>
          </cell>
          <cell r="F22">
            <v>2.4999999999999998E-2</v>
          </cell>
          <cell r="G22">
            <v>3.4999999999999996E-2</v>
          </cell>
          <cell r="H22">
            <v>3.4999999999999996E-2</v>
          </cell>
          <cell r="I22">
            <v>4.4999999999999998E-2</v>
          </cell>
          <cell r="J22"/>
          <cell r="K22">
            <v>4.9999999999999996E-2</v>
          </cell>
          <cell r="L22"/>
        </row>
        <row r="23">
          <cell r="C23" t="str">
            <v>Familia GRANDLAND</v>
          </cell>
          <cell r="D23">
            <v>0.09</v>
          </cell>
          <cell r="E23" t="str">
            <v>Total</v>
          </cell>
          <cell r="F23">
            <v>6.0000000000000005E-2</v>
          </cell>
          <cell r="G23">
            <v>7.9999999999999988E-2</v>
          </cell>
          <cell r="H23">
            <v>6.0000000000000005E-2</v>
          </cell>
          <cell r="I23">
            <v>7.9999999999999988E-2</v>
          </cell>
          <cell r="J23"/>
          <cell r="K23">
            <v>9.9999999999999992E-2</v>
          </cell>
          <cell r="L23"/>
        </row>
        <row r="24">
          <cell r="C24"/>
          <cell r="D24"/>
          <cell r="E24" t="str">
            <v>Stellantis</v>
          </cell>
          <cell r="F24">
            <v>3.5000000000000003E-2</v>
          </cell>
          <cell r="G24">
            <v>4.4999999999999991E-2</v>
          </cell>
          <cell r="H24">
            <v>2.5000000000000008E-2</v>
          </cell>
          <cell r="I24">
            <v>3.4999999999999989E-2</v>
          </cell>
          <cell r="J24"/>
          <cell r="K24">
            <v>4.9999999999999996E-2</v>
          </cell>
          <cell r="L24"/>
        </row>
        <row r="25">
          <cell r="C25"/>
          <cell r="D25"/>
          <cell r="E25" t="str">
            <v xml:space="preserve">RED </v>
          </cell>
          <cell r="F25">
            <v>2.4999999999999998E-2</v>
          </cell>
          <cell r="G25">
            <v>3.4999999999999996E-2</v>
          </cell>
          <cell r="H25">
            <v>3.4999999999999996E-2</v>
          </cell>
          <cell r="I25">
            <v>4.4999999999999998E-2</v>
          </cell>
          <cell r="J25"/>
          <cell r="K25">
            <v>4.9999999999999996E-2</v>
          </cell>
          <cell r="L25"/>
        </row>
        <row r="26">
          <cell r="C26"/>
          <cell r="D26"/>
          <cell r="E26"/>
          <cell r="F26"/>
          <cell r="G26"/>
          <cell r="H26"/>
          <cell r="I26"/>
          <cell r="J26"/>
          <cell r="K26"/>
          <cell r="L26"/>
        </row>
        <row r="27">
          <cell r="C27"/>
          <cell r="D27"/>
          <cell r="E27"/>
          <cell r="F27"/>
          <cell r="G27"/>
          <cell r="H27"/>
          <cell r="I27"/>
          <cell r="J27"/>
          <cell r="K27"/>
          <cell r="L27"/>
        </row>
        <row r="28">
          <cell r="F28"/>
          <cell r="G28"/>
        </row>
      </sheetData>
      <sheetData sheetId="4">
        <row r="1"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C3" t="str">
            <v xml:space="preserve">     ACCIONES COMERCIALES B2B RED - MAYO 2026</v>
          </cell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C4"/>
          <cell r="D4"/>
          <cell r="E4"/>
          <cell r="F4"/>
          <cell r="G4"/>
          <cell r="H4"/>
          <cell r="I4"/>
          <cell r="J4"/>
          <cell r="K4"/>
          <cell r="L4"/>
        </row>
        <row r="5"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C6" t="str">
            <v>TABLA DESCUENTOS FLOTAS</v>
          </cell>
          <cell r="D6"/>
          <cell r="E6"/>
          <cell r="F6" t="str">
            <v>Conces. Professional</v>
          </cell>
          <cell r="G6"/>
          <cell r="H6" t="str">
            <v>Conces. No Professional</v>
          </cell>
          <cell r="I6"/>
          <cell r="J6"/>
          <cell r="K6"/>
          <cell r="L6"/>
        </row>
        <row r="7">
          <cell r="C7"/>
          <cell r="D7"/>
          <cell r="E7"/>
          <cell r="F7" t="str">
            <v>Tramo 1
(1 a 5)</v>
          </cell>
          <cell r="G7" t="str">
            <v>Tramo 2
(6 a 99)</v>
          </cell>
          <cell r="H7" t="str">
            <v>Tramo 1
(1 a 5)</v>
          </cell>
          <cell r="I7" t="str">
            <v>Tramo 2
(6 a 99)</v>
          </cell>
          <cell r="J7"/>
          <cell r="K7" t="str">
            <v>Grandes Cuentas
(sobre 100)</v>
          </cell>
          <cell r="L7"/>
        </row>
        <row r="8">
          <cell r="C8" t="str">
            <v xml:space="preserve">Versión </v>
          </cell>
          <cell r="D8" t="str">
            <v>Margen Fijo</v>
          </cell>
          <cell r="E8" t="str">
            <v>Aportes</v>
          </cell>
          <cell r="F8"/>
          <cell r="G8"/>
          <cell r="H8"/>
          <cell r="I8"/>
          <cell r="J8"/>
          <cell r="K8"/>
          <cell r="L8"/>
        </row>
        <row r="9">
          <cell r="C9" t="str">
            <v>Familia GLADIATOR</v>
          </cell>
          <cell r="D9">
            <v>0.1</v>
          </cell>
          <cell r="E9" t="str">
            <v>Total</v>
          </cell>
          <cell r="F9">
            <v>0.12</v>
          </cell>
          <cell r="G9">
            <v>0.16</v>
          </cell>
          <cell r="H9">
            <v>0.12</v>
          </cell>
          <cell r="I9">
            <v>0.16</v>
          </cell>
          <cell r="J9"/>
          <cell r="K9">
            <v>0.2</v>
          </cell>
          <cell r="L9"/>
        </row>
        <row r="10">
          <cell r="C10"/>
          <cell r="D10"/>
          <cell r="E10" t="str">
            <v>Stellantis</v>
          </cell>
          <cell r="F10">
            <v>7.4999999999999983E-2</v>
          </cell>
          <cell r="G10">
            <v>0.105</v>
          </cell>
          <cell r="H10">
            <v>6.4999999999999988E-2</v>
          </cell>
          <cell r="I10">
            <v>9.5000000000000001E-2</v>
          </cell>
          <cell r="J10"/>
          <cell r="K10">
            <v>0.13</v>
          </cell>
          <cell r="L10"/>
        </row>
        <row r="11">
          <cell r="C11"/>
          <cell r="D11"/>
          <cell r="E11" t="str">
            <v xml:space="preserve">RED </v>
          </cell>
          <cell r="F11">
            <v>4.5000000000000005E-2</v>
          </cell>
          <cell r="G11">
            <v>5.5000000000000007E-2</v>
          </cell>
          <cell r="H11">
            <v>5.5000000000000007E-2</v>
          </cell>
          <cell r="I11">
            <v>6.5000000000000002E-2</v>
          </cell>
          <cell r="J11"/>
          <cell r="K11">
            <v>7.0000000000000007E-2</v>
          </cell>
          <cell r="L11"/>
        </row>
        <row r="12">
          <cell r="C12"/>
          <cell r="D12"/>
          <cell r="E12"/>
          <cell r="F12"/>
          <cell r="G12"/>
          <cell r="H12"/>
          <cell r="I12"/>
          <cell r="J12"/>
          <cell r="K12"/>
          <cell r="L12"/>
        </row>
        <row r="13">
          <cell r="C13" t="str">
            <v>Familia WRANGLER</v>
          </cell>
          <cell r="D13">
            <v>0.1</v>
          </cell>
          <cell r="E13" t="str">
            <v>Total</v>
          </cell>
          <cell r="F13">
            <v>0.1</v>
          </cell>
          <cell r="G13">
            <v>0.14000000000000001</v>
          </cell>
          <cell r="H13">
            <v>0.1</v>
          </cell>
          <cell r="I13">
            <v>0.14000000000000001</v>
          </cell>
          <cell r="J13"/>
          <cell r="K13">
            <v>0.18</v>
          </cell>
          <cell r="L13"/>
        </row>
        <row r="14">
          <cell r="C14"/>
          <cell r="D14"/>
          <cell r="E14" t="str">
            <v>Stellantis</v>
          </cell>
          <cell r="F14">
            <v>5.5E-2</v>
          </cell>
          <cell r="G14">
            <v>8.5000000000000006E-2</v>
          </cell>
          <cell r="H14">
            <v>4.4999999999999998E-2</v>
          </cell>
          <cell r="I14">
            <v>7.5000000000000011E-2</v>
          </cell>
          <cell r="J14"/>
          <cell r="K14">
            <v>0.10999999999999999</v>
          </cell>
          <cell r="L14"/>
        </row>
        <row r="15">
          <cell r="C15"/>
          <cell r="D15"/>
          <cell r="E15" t="str">
            <v xml:space="preserve">RED </v>
          </cell>
          <cell r="F15">
            <v>4.5000000000000005E-2</v>
          </cell>
          <cell r="G15">
            <v>5.5000000000000007E-2</v>
          </cell>
          <cell r="H15">
            <v>5.5000000000000007E-2</v>
          </cell>
          <cell r="I15">
            <v>6.5000000000000002E-2</v>
          </cell>
          <cell r="J15"/>
          <cell r="K15">
            <v>7.0000000000000007E-2</v>
          </cell>
          <cell r="L15"/>
        </row>
        <row r="16">
          <cell r="C16"/>
          <cell r="D16"/>
          <cell r="E16"/>
          <cell r="F16"/>
          <cell r="G16"/>
          <cell r="H16"/>
          <cell r="I16"/>
          <cell r="J16"/>
          <cell r="K16"/>
          <cell r="L16"/>
        </row>
        <row r="17">
          <cell r="C17" t="str">
            <v>OTROS VP</v>
          </cell>
          <cell r="D17"/>
          <cell r="E17"/>
          <cell r="F17"/>
          <cell r="G17"/>
          <cell r="H17"/>
          <cell r="I17"/>
          <cell r="J17"/>
          <cell r="K17"/>
          <cell r="L17"/>
        </row>
        <row r="18">
          <cell r="C18"/>
          <cell r="D18"/>
          <cell r="E18"/>
          <cell r="F18"/>
          <cell r="G18"/>
          <cell r="H18"/>
          <cell r="I18"/>
          <cell r="J18"/>
          <cell r="K18"/>
          <cell r="L18"/>
        </row>
        <row r="19">
          <cell r="C19" t="str">
            <v>Familia AVENGER</v>
          </cell>
          <cell r="D19">
            <v>0.09</v>
          </cell>
          <cell r="E19" t="str">
            <v>Total</v>
          </cell>
          <cell r="F19">
            <v>0.08</v>
          </cell>
          <cell r="G19">
            <v>0.1</v>
          </cell>
          <cell r="H19">
            <v>0.08</v>
          </cell>
          <cell r="I19">
            <v>0.1</v>
          </cell>
          <cell r="J19"/>
          <cell r="K19">
            <v>0.12</v>
          </cell>
          <cell r="L19"/>
        </row>
        <row r="20">
          <cell r="C20"/>
          <cell r="D20"/>
          <cell r="E20" t="str">
            <v>Stellantis</v>
          </cell>
          <cell r="F20">
            <v>4.5000000000000005E-2</v>
          </cell>
          <cell r="G20">
            <v>5.5000000000000007E-2</v>
          </cell>
          <cell r="H20">
            <v>3.5000000000000003E-2</v>
          </cell>
          <cell r="I20">
            <v>4.5000000000000005E-2</v>
          </cell>
          <cell r="J20"/>
          <cell r="K20">
            <v>0.06</v>
          </cell>
          <cell r="L20"/>
        </row>
        <row r="21">
          <cell r="C21"/>
          <cell r="D21"/>
          <cell r="E21" t="str">
            <v xml:space="preserve">RED </v>
          </cell>
          <cell r="F21">
            <v>3.4999999999999996E-2</v>
          </cell>
          <cell r="G21">
            <v>4.4999999999999998E-2</v>
          </cell>
          <cell r="H21">
            <v>4.4999999999999998E-2</v>
          </cell>
          <cell r="I21">
            <v>5.5E-2</v>
          </cell>
          <cell r="J21"/>
          <cell r="K21">
            <v>0.06</v>
          </cell>
          <cell r="L21"/>
        </row>
        <row r="22">
          <cell r="C22" t="str">
            <v>Familia RENEGADE</v>
          </cell>
          <cell r="D22">
            <v>0.09</v>
          </cell>
          <cell r="E22" t="str">
            <v>Total</v>
          </cell>
          <cell r="F22">
            <v>0.08</v>
          </cell>
          <cell r="G22">
            <v>0.1</v>
          </cell>
          <cell r="H22">
            <v>0.08</v>
          </cell>
          <cell r="I22">
            <v>0.1</v>
          </cell>
          <cell r="J22"/>
          <cell r="K22">
            <v>0.12</v>
          </cell>
          <cell r="L22"/>
        </row>
        <row r="23">
          <cell r="C23"/>
          <cell r="D23"/>
          <cell r="E23" t="str">
            <v>Stellantis</v>
          </cell>
          <cell r="F23">
            <v>4.5000000000000005E-2</v>
          </cell>
          <cell r="G23">
            <v>5.5000000000000007E-2</v>
          </cell>
          <cell r="H23">
            <v>3.5000000000000003E-2</v>
          </cell>
          <cell r="I23">
            <v>4.5000000000000005E-2</v>
          </cell>
          <cell r="J23"/>
          <cell r="K23">
            <v>0.06</v>
          </cell>
          <cell r="L23"/>
        </row>
        <row r="24">
          <cell r="C24"/>
          <cell r="D24"/>
          <cell r="E24" t="str">
            <v xml:space="preserve">RED </v>
          </cell>
          <cell r="F24">
            <v>3.4999999999999996E-2</v>
          </cell>
          <cell r="G24">
            <v>4.4999999999999998E-2</v>
          </cell>
          <cell r="H24">
            <v>4.4999999999999998E-2</v>
          </cell>
          <cell r="I24">
            <v>5.5E-2</v>
          </cell>
          <cell r="J24"/>
          <cell r="K24">
            <v>0.06</v>
          </cell>
          <cell r="L24"/>
        </row>
        <row r="25">
          <cell r="C25" t="str">
            <v>Familia COMPASS</v>
          </cell>
          <cell r="D25">
            <v>0.09</v>
          </cell>
          <cell r="E25" t="str">
            <v>Total</v>
          </cell>
          <cell r="F25">
            <v>0.08</v>
          </cell>
          <cell r="G25">
            <v>0.1</v>
          </cell>
          <cell r="H25">
            <v>0.08</v>
          </cell>
          <cell r="I25">
            <v>0.1</v>
          </cell>
          <cell r="J25"/>
          <cell r="K25">
            <v>0.12</v>
          </cell>
          <cell r="L25"/>
        </row>
        <row r="26">
          <cell r="C26"/>
          <cell r="D26"/>
          <cell r="E26" t="str">
            <v>Stellantis</v>
          </cell>
          <cell r="F26">
            <v>4.5000000000000005E-2</v>
          </cell>
          <cell r="G26">
            <v>5.5000000000000007E-2</v>
          </cell>
          <cell r="H26">
            <v>3.5000000000000003E-2</v>
          </cell>
          <cell r="I26">
            <v>4.5000000000000005E-2</v>
          </cell>
          <cell r="J26"/>
          <cell r="K26">
            <v>0.06</v>
          </cell>
          <cell r="L26"/>
        </row>
        <row r="27">
          <cell r="C27"/>
          <cell r="D27"/>
          <cell r="E27" t="str">
            <v xml:space="preserve">RED </v>
          </cell>
          <cell r="F27">
            <v>3.4999999999999996E-2</v>
          </cell>
          <cell r="G27">
            <v>4.4999999999999998E-2</v>
          </cell>
          <cell r="H27">
            <v>4.4999999999999998E-2</v>
          </cell>
          <cell r="I27">
            <v>5.5E-2</v>
          </cell>
          <cell r="J27"/>
          <cell r="K27">
            <v>0.06</v>
          </cell>
          <cell r="L27"/>
        </row>
        <row r="28">
          <cell r="C28" t="str">
            <v>Familia COMMANDER MCA</v>
          </cell>
          <cell r="D28">
            <v>0.1</v>
          </cell>
          <cell r="E28" t="str">
            <v>Total</v>
          </cell>
          <cell r="F28">
            <v>0.08</v>
          </cell>
          <cell r="G28">
            <v>0.1</v>
          </cell>
          <cell r="H28">
            <v>0.08</v>
          </cell>
          <cell r="I28">
            <v>0.1</v>
          </cell>
          <cell r="J28"/>
          <cell r="K28">
            <v>0.12</v>
          </cell>
          <cell r="L28"/>
        </row>
        <row r="29">
          <cell r="C29"/>
          <cell r="D29"/>
          <cell r="E29" t="str">
            <v>Stellantis</v>
          </cell>
          <cell r="F29">
            <v>3.9999999999999994E-2</v>
          </cell>
          <cell r="G29">
            <v>0.05</v>
          </cell>
          <cell r="H29">
            <v>2.9999999999999992E-2</v>
          </cell>
          <cell r="I29">
            <v>0.04</v>
          </cell>
          <cell r="J29"/>
          <cell r="K29">
            <v>5.9999999999999991E-2</v>
          </cell>
          <cell r="L29"/>
        </row>
        <row r="30">
          <cell r="C30"/>
          <cell r="D30"/>
          <cell r="E30" t="str">
            <v xml:space="preserve">RED </v>
          </cell>
          <cell r="F30">
            <v>4.0000000000000008E-2</v>
          </cell>
          <cell r="G30">
            <v>0.05</v>
          </cell>
          <cell r="H30">
            <v>5.000000000000001E-2</v>
          </cell>
          <cell r="I30">
            <v>6.0000000000000005E-2</v>
          </cell>
          <cell r="J30"/>
          <cell r="K30">
            <v>6.0000000000000005E-2</v>
          </cell>
          <cell r="L30"/>
        </row>
        <row r="31">
          <cell r="C31" t="str">
            <v>Familia GRAND CHEROKEE</v>
          </cell>
          <cell r="D31">
            <v>0.1</v>
          </cell>
          <cell r="E31" t="str">
            <v>Total</v>
          </cell>
          <cell r="F31">
            <v>0.08</v>
          </cell>
          <cell r="G31">
            <v>0.1</v>
          </cell>
          <cell r="H31">
            <v>0.08</v>
          </cell>
          <cell r="I31">
            <v>0.1</v>
          </cell>
          <cell r="J31"/>
          <cell r="K31">
            <v>0.12</v>
          </cell>
          <cell r="L31"/>
        </row>
        <row r="32">
          <cell r="C32"/>
          <cell r="D32"/>
          <cell r="E32" t="str">
            <v>Stellantis</v>
          </cell>
          <cell r="F32">
            <v>3.9999999999999994E-2</v>
          </cell>
          <cell r="G32">
            <v>0.05</v>
          </cell>
          <cell r="H32">
            <v>2.9999999999999992E-2</v>
          </cell>
          <cell r="I32">
            <v>0.04</v>
          </cell>
          <cell r="J32"/>
          <cell r="K32">
            <v>5.9999999999999991E-2</v>
          </cell>
          <cell r="L32"/>
        </row>
        <row r="33">
          <cell r="C33"/>
          <cell r="D33"/>
          <cell r="E33" t="str">
            <v xml:space="preserve">RED </v>
          </cell>
          <cell r="F33">
            <v>4.0000000000000008E-2</v>
          </cell>
          <cell r="G33">
            <v>0.05</v>
          </cell>
          <cell r="H33">
            <v>5.000000000000001E-2</v>
          </cell>
          <cell r="I33">
            <v>6.0000000000000005E-2</v>
          </cell>
          <cell r="J33"/>
          <cell r="K33">
            <v>6.0000000000000005E-2</v>
          </cell>
          <cell r="L33"/>
        </row>
        <row r="34">
          <cell r="C34"/>
          <cell r="D34"/>
          <cell r="E34"/>
          <cell r="F34"/>
          <cell r="G34"/>
          <cell r="H34"/>
          <cell r="I34"/>
          <cell r="J34"/>
          <cell r="K34"/>
          <cell r="L34"/>
        </row>
        <row r="35">
          <cell r="C35"/>
          <cell r="D35"/>
          <cell r="E35"/>
          <cell r="F35"/>
          <cell r="G35"/>
          <cell r="H35"/>
          <cell r="I35"/>
          <cell r="J35"/>
          <cell r="K35"/>
          <cell r="L35"/>
        </row>
        <row r="36">
          <cell r="C36"/>
          <cell r="D36"/>
          <cell r="E36"/>
          <cell r="F36"/>
          <cell r="G36"/>
          <cell r="H36"/>
          <cell r="I36"/>
          <cell r="J36"/>
          <cell r="K36"/>
          <cell r="L36"/>
        </row>
        <row r="37">
          <cell r="C37"/>
          <cell r="D37"/>
          <cell r="E37"/>
          <cell r="F37"/>
          <cell r="G37"/>
          <cell r="H37"/>
          <cell r="I37"/>
          <cell r="J37"/>
          <cell r="K37"/>
          <cell r="L37"/>
        </row>
        <row r="38">
          <cell r="F38"/>
          <cell r="G38"/>
        </row>
        <row r="52">
          <cell r="C52"/>
          <cell r="E52"/>
          <cell r="F52"/>
          <cell r="G52"/>
          <cell r="H52"/>
          <cell r="I52"/>
          <cell r="J52"/>
        </row>
        <row r="53">
          <cell r="C53"/>
          <cell r="E53"/>
          <cell r="F53"/>
          <cell r="G53"/>
          <cell r="H53"/>
          <cell r="I53"/>
          <cell r="J53"/>
        </row>
        <row r="54">
          <cell r="C54"/>
          <cell r="E54"/>
          <cell r="F54"/>
          <cell r="G54"/>
          <cell r="H54"/>
          <cell r="I54"/>
          <cell r="J54"/>
        </row>
        <row r="55">
          <cell r="C55"/>
          <cell r="E55"/>
          <cell r="F55"/>
          <cell r="G55"/>
          <cell r="H55"/>
          <cell r="I55"/>
          <cell r="J55"/>
        </row>
        <row r="56">
          <cell r="C56"/>
          <cell r="E56"/>
          <cell r="F56"/>
          <cell r="G56"/>
          <cell r="H56"/>
          <cell r="I56"/>
          <cell r="J56"/>
        </row>
        <row r="57">
          <cell r="C57"/>
          <cell r="E57"/>
          <cell r="F57"/>
          <cell r="G57"/>
          <cell r="H57"/>
          <cell r="I57"/>
          <cell r="J57"/>
        </row>
        <row r="58">
          <cell r="C58"/>
          <cell r="E58"/>
          <cell r="F58"/>
          <cell r="G58"/>
          <cell r="H58"/>
          <cell r="I58"/>
          <cell r="J58"/>
        </row>
        <row r="59">
          <cell r="C59"/>
          <cell r="E59"/>
          <cell r="F59"/>
          <cell r="G59"/>
          <cell r="H59"/>
          <cell r="I59"/>
          <cell r="J59"/>
        </row>
        <row r="60">
          <cell r="C60"/>
          <cell r="E60"/>
          <cell r="F60"/>
          <cell r="G60"/>
          <cell r="H60"/>
          <cell r="I60"/>
          <cell r="J60"/>
        </row>
        <row r="61">
          <cell r="C61"/>
          <cell r="E61"/>
          <cell r="F61"/>
          <cell r="G61"/>
          <cell r="H61"/>
          <cell r="I61"/>
          <cell r="J61"/>
        </row>
        <row r="62">
          <cell r="C62"/>
          <cell r="E62"/>
          <cell r="F62"/>
          <cell r="G62"/>
          <cell r="H62"/>
          <cell r="I62"/>
          <cell r="J62"/>
        </row>
        <row r="63">
          <cell r="C63"/>
          <cell r="E63"/>
          <cell r="F63"/>
          <cell r="G63"/>
          <cell r="H63"/>
          <cell r="I63"/>
          <cell r="J63"/>
        </row>
        <row r="64">
          <cell r="C64"/>
          <cell r="E64"/>
          <cell r="F64"/>
          <cell r="G64"/>
          <cell r="H64"/>
          <cell r="I64"/>
          <cell r="J64"/>
        </row>
        <row r="65">
          <cell r="C65"/>
          <cell r="E65"/>
          <cell r="F65"/>
          <cell r="G65"/>
          <cell r="H65"/>
          <cell r="I65"/>
          <cell r="J65"/>
        </row>
        <row r="66">
          <cell r="C66"/>
          <cell r="E66"/>
          <cell r="F66"/>
          <cell r="G66"/>
          <cell r="H66"/>
          <cell r="I66"/>
          <cell r="J66"/>
        </row>
        <row r="67">
          <cell r="C67"/>
          <cell r="E67"/>
          <cell r="F67"/>
          <cell r="G67"/>
          <cell r="H67"/>
          <cell r="I67"/>
          <cell r="J67"/>
        </row>
        <row r="68">
          <cell r="C68"/>
          <cell r="E68"/>
          <cell r="F68"/>
          <cell r="G68"/>
          <cell r="H68"/>
          <cell r="I68"/>
          <cell r="J68"/>
        </row>
        <row r="69">
          <cell r="C69"/>
          <cell r="E69"/>
          <cell r="F69"/>
          <cell r="G69"/>
          <cell r="H69"/>
          <cell r="I69"/>
          <cell r="J69"/>
        </row>
        <row r="70">
          <cell r="C70"/>
          <cell r="E70"/>
          <cell r="F70"/>
          <cell r="G70"/>
          <cell r="H70"/>
          <cell r="I70"/>
          <cell r="J70"/>
        </row>
        <row r="71">
          <cell r="C71"/>
          <cell r="E71"/>
          <cell r="F71"/>
          <cell r="G71"/>
          <cell r="H71"/>
          <cell r="I71"/>
          <cell r="J71"/>
        </row>
        <row r="72">
          <cell r="C72"/>
          <cell r="E72"/>
          <cell r="F72"/>
          <cell r="G72"/>
          <cell r="H72"/>
          <cell r="I72"/>
          <cell r="J72"/>
        </row>
      </sheetData>
      <sheetData sheetId="5">
        <row r="1">
          <cell r="B1"/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A2" t="str">
            <v>MES</v>
          </cell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A3" t="str">
            <v>MAYO</v>
          </cell>
          <cell r="B3"/>
          <cell r="C3" t="str">
            <v xml:space="preserve">     ACCIONES COMERCIALES B2B RED - MAYO 2026</v>
          </cell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/>
          <cell r="C4"/>
          <cell r="D4"/>
          <cell r="E4"/>
          <cell r="F4"/>
          <cell r="G4"/>
          <cell r="H4"/>
          <cell r="I4"/>
          <cell r="J4"/>
          <cell r="K4"/>
          <cell r="L4"/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/>
          <cell r="C6" t="str">
            <v>TABLA DESCUENTOS FLOTAS</v>
          </cell>
          <cell r="D6"/>
          <cell r="E6"/>
          <cell r="F6" t="str">
            <v>Conces. Professional</v>
          </cell>
          <cell r="G6"/>
          <cell r="H6" t="str">
            <v>Conces. No Professional</v>
          </cell>
          <cell r="I6"/>
          <cell r="J6"/>
          <cell r="K6"/>
          <cell r="L6"/>
        </row>
        <row r="7">
          <cell r="B7"/>
          <cell r="C7"/>
          <cell r="D7"/>
          <cell r="E7"/>
          <cell r="F7" t="str">
            <v>Tramo 1
(1 a 5)</v>
          </cell>
          <cell r="G7" t="str">
            <v>Tramo 2
(6 a 99)</v>
          </cell>
          <cell r="H7" t="str">
            <v>Tramo 1
(1 a 5)</v>
          </cell>
          <cell r="I7" t="str">
            <v>Tramo 2
(6 a 99)</v>
          </cell>
          <cell r="J7"/>
          <cell r="K7" t="str">
            <v>Grandes Cuentas
(sobre 100)</v>
          </cell>
          <cell r="L7"/>
        </row>
        <row r="8">
          <cell r="B8"/>
          <cell r="C8" t="str">
            <v xml:space="preserve">Versión </v>
          </cell>
          <cell r="D8" t="str">
            <v>Margen Fijo</v>
          </cell>
          <cell r="E8" t="str">
            <v>Aportes</v>
          </cell>
          <cell r="F8"/>
          <cell r="G8"/>
          <cell r="H8"/>
          <cell r="I8"/>
          <cell r="J8"/>
          <cell r="K8"/>
          <cell r="L8"/>
        </row>
        <row r="9">
          <cell r="A9" t="str">
            <v>B10 BEV</v>
          </cell>
          <cell r="B9"/>
          <cell r="C9" t="str">
            <v>B10 BEV</v>
          </cell>
          <cell r="D9">
            <v>0.1</v>
          </cell>
          <cell r="E9" t="str">
            <v>Total</v>
          </cell>
          <cell r="F9">
            <v>0.08</v>
          </cell>
          <cell r="G9">
            <v>0.1</v>
          </cell>
          <cell r="H9">
            <v>0.08</v>
          </cell>
          <cell r="I9">
            <v>0.1</v>
          </cell>
          <cell r="J9"/>
          <cell r="K9">
            <v>0.12</v>
          </cell>
          <cell r="L9"/>
        </row>
        <row r="10">
          <cell r="B10"/>
          <cell r="C10"/>
          <cell r="D10"/>
          <cell r="E10" t="str">
            <v>Stellantis</v>
          </cell>
          <cell r="F10">
            <v>3.4999999999999996E-2</v>
          </cell>
          <cell r="G10">
            <v>4.4999999999999998E-2</v>
          </cell>
          <cell r="H10">
            <v>2.4999999999999994E-2</v>
          </cell>
          <cell r="I10">
            <v>3.5000000000000003E-2</v>
          </cell>
          <cell r="J10"/>
          <cell r="K10">
            <v>4.9999999999999989E-2</v>
          </cell>
          <cell r="L10"/>
        </row>
        <row r="11">
          <cell r="B11"/>
          <cell r="C11"/>
          <cell r="D11"/>
          <cell r="E11" t="str">
            <v xml:space="preserve">RED </v>
          </cell>
          <cell r="F11">
            <v>4.5000000000000005E-2</v>
          </cell>
          <cell r="G11">
            <v>5.5000000000000007E-2</v>
          </cell>
          <cell r="H11">
            <v>5.5000000000000007E-2</v>
          </cell>
          <cell r="I11">
            <v>6.5000000000000002E-2</v>
          </cell>
          <cell r="J11"/>
          <cell r="K11">
            <v>7.0000000000000007E-2</v>
          </cell>
          <cell r="L11"/>
        </row>
        <row r="12">
          <cell r="A12" t="str">
            <v>C10 REEV</v>
          </cell>
          <cell r="B12"/>
          <cell r="C12" t="str">
            <v>C10 REEV DESIGN</v>
          </cell>
          <cell r="D12">
            <v>0.1</v>
          </cell>
          <cell r="E12" t="str">
            <v>Total</v>
          </cell>
          <cell r="F12">
            <v>0.08</v>
          </cell>
          <cell r="G12">
            <v>0.1</v>
          </cell>
          <cell r="H12">
            <v>0.08</v>
          </cell>
          <cell r="I12">
            <v>0.1</v>
          </cell>
          <cell r="J12"/>
          <cell r="K12">
            <v>0.12</v>
          </cell>
          <cell r="L12"/>
        </row>
        <row r="13">
          <cell r="B13"/>
          <cell r="C13"/>
          <cell r="D13"/>
          <cell r="E13" t="str">
            <v>Stellantis</v>
          </cell>
          <cell r="F13">
            <v>3.9999999999999994E-2</v>
          </cell>
          <cell r="G13">
            <v>0.05</v>
          </cell>
          <cell r="H13">
            <v>2.9999999999999992E-2</v>
          </cell>
          <cell r="I13">
            <v>0.04</v>
          </cell>
          <cell r="J13"/>
          <cell r="K13">
            <v>5.9999999999999991E-2</v>
          </cell>
          <cell r="L13"/>
        </row>
        <row r="14">
          <cell r="B14"/>
          <cell r="C14"/>
          <cell r="D14"/>
          <cell r="E14" t="str">
            <v xml:space="preserve">RED </v>
          </cell>
          <cell r="F14">
            <v>4.0000000000000008E-2</v>
          </cell>
          <cell r="G14">
            <v>0.05</v>
          </cell>
          <cell r="H14">
            <v>5.000000000000001E-2</v>
          </cell>
          <cell r="I14">
            <v>6.0000000000000005E-2</v>
          </cell>
          <cell r="J14"/>
          <cell r="K14">
            <v>6.0000000000000005E-2</v>
          </cell>
          <cell r="L14"/>
        </row>
        <row r="15">
          <cell r="A15" t="str">
            <v>C10 BEV</v>
          </cell>
          <cell r="B15"/>
          <cell r="C15" t="str">
            <v>C10 BEV DESIGN</v>
          </cell>
          <cell r="D15">
            <v>0.1</v>
          </cell>
          <cell r="E15" t="str">
            <v>Total</v>
          </cell>
          <cell r="F15">
            <v>0.08</v>
          </cell>
          <cell r="G15">
            <v>0.1</v>
          </cell>
          <cell r="H15">
            <v>0.08</v>
          </cell>
          <cell r="I15">
            <v>0.1</v>
          </cell>
          <cell r="J15"/>
          <cell r="K15">
            <v>0.12</v>
          </cell>
          <cell r="L15"/>
        </row>
        <row r="16">
          <cell r="B16"/>
          <cell r="C16"/>
          <cell r="D16"/>
          <cell r="E16" t="str">
            <v>Stellantis</v>
          </cell>
          <cell r="F16">
            <v>3.9999999999999994E-2</v>
          </cell>
          <cell r="G16">
            <v>0.05</v>
          </cell>
          <cell r="H16">
            <v>2.9999999999999992E-2</v>
          </cell>
          <cell r="I16">
            <v>0.04</v>
          </cell>
          <cell r="J16"/>
          <cell r="K16">
            <v>5.9999999999999991E-2</v>
          </cell>
          <cell r="L16"/>
        </row>
        <row r="17">
          <cell r="B17"/>
          <cell r="C17"/>
          <cell r="D17"/>
          <cell r="E17" t="str">
            <v xml:space="preserve">RED </v>
          </cell>
          <cell r="F17">
            <v>4.0000000000000008E-2</v>
          </cell>
          <cell r="G17">
            <v>0.05</v>
          </cell>
          <cell r="H17">
            <v>5.000000000000001E-2</v>
          </cell>
          <cell r="I17">
            <v>6.0000000000000005E-2</v>
          </cell>
          <cell r="J17"/>
          <cell r="K17">
            <v>6.0000000000000005E-2</v>
          </cell>
          <cell r="L17"/>
        </row>
        <row r="18">
          <cell r="B18"/>
          <cell r="C18"/>
          <cell r="D18"/>
          <cell r="E18"/>
          <cell r="F18"/>
          <cell r="G18"/>
          <cell r="H18"/>
          <cell r="I18"/>
          <cell r="J18"/>
          <cell r="K18"/>
          <cell r="L18"/>
        </row>
        <row r="19">
          <cell r="B19"/>
          <cell r="C19"/>
          <cell r="D19"/>
          <cell r="E19"/>
          <cell r="F19"/>
          <cell r="G19"/>
          <cell r="H19"/>
          <cell r="I19"/>
          <cell r="J19"/>
          <cell r="K19"/>
          <cell r="L19"/>
        </row>
      </sheetData>
      <sheetData sheetId="6">
        <row r="1">
          <cell r="B1"/>
          <cell r="C1"/>
          <cell r="D1"/>
          <cell r="E1"/>
          <cell r="F1"/>
          <cell r="G1"/>
          <cell r="H1"/>
          <cell r="I1"/>
          <cell r="J1"/>
          <cell r="K1"/>
          <cell r="L1"/>
        </row>
        <row r="2">
          <cell r="A2" t="str">
            <v>MES</v>
          </cell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</row>
        <row r="3">
          <cell r="A3" t="str">
            <v>MAYO</v>
          </cell>
          <cell r="B3"/>
          <cell r="C3" t="str">
            <v xml:space="preserve">     ACCIONES COMERCIALES B2B RED - MAYO 2026</v>
          </cell>
          <cell r="D3"/>
          <cell r="E3"/>
          <cell r="F3"/>
          <cell r="G3"/>
          <cell r="H3"/>
          <cell r="I3"/>
          <cell r="J3"/>
          <cell r="K3"/>
          <cell r="L3"/>
        </row>
        <row r="4">
          <cell r="B4"/>
          <cell r="C4"/>
          <cell r="D4"/>
          <cell r="E4"/>
          <cell r="F4"/>
          <cell r="G4"/>
          <cell r="H4"/>
          <cell r="I4"/>
          <cell r="J4"/>
          <cell r="K4"/>
          <cell r="L4"/>
        </row>
        <row r="5"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</row>
        <row r="6">
          <cell r="B6"/>
          <cell r="C6" t="str">
            <v>TABLA DESCUENTOS FLOTAS</v>
          </cell>
          <cell r="D6"/>
          <cell r="E6"/>
          <cell r="F6" t="str">
            <v>Conces. Professional</v>
          </cell>
          <cell r="G6"/>
          <cell r="H6" t="str">
            <v>Conces. No Professional</v>
          </cell>
          <cell r="I6"/>
          <cell r="J6"/>
          <cell r="K6"/>
          <cell r="L6"/>
        </row>
        <row r="7">
          <cell r="B7"/>
          <cell r="C7"/>
          <cell r="D7"/>
          <cell r="E7"/>
          <cell r="F7" t="str">
            <v>Tramo 1
(1 a 5)</v>
          </cell>
          <cell r="G7" t="str">
            <v>Tramo 2
(6 a 99)</v>
          </cell>
          <cell r="H7" t="str">
            <v>Tramo 1
(1 a 5)</v>
          </cell>
          <cell r="I7" t="str">
            <v>Tramo 2
(6 a 99)</v>
          </cell>
          <cell r="J7"/>
          <cell r="K7" t="str">
            <v>Grandes Cuentas
(sobre 100)</v>
          </cell>
          <cell r="L7"/>
        </row>
        <row r="8">
          <cell r="B8"/>
          <cell r="C8" t="str">
            <v xml:space="preserve">Versión </v>
          </cell>
          <cell r="D8" t="str">
            <v>Margen Fijo</v>
          </cell>
          <cell r="E8" t="str">
            <v>Aportes</v>
          </cell>
          <cell r="F8"/>
          <cell r="G8"/>
          <cell r="H8"/>
          <cell r="I8"/>
          <cell r="J8"/>
          <cell r="K8"/>
          <cell r="L8"/>
        </row>
        <row r="9">
          <cell r="B9"/>
          <cell r="C9"/>
          <cell r="D9"/>
          <cell r="E9"/>
          <cell r="F9"/>
          <cell r="G9"/>
          <cell r="H9"/>
          <cell r="I9"/>
          <cell r="J9"/>
          <cell r="K9"/>
          <cell r="L9"/>
        </row>
        <row r="10">
          <cell r="A10" t="str">
            <v>FIAT PULSE Drive 1.3 MT MCA</v>
          </cell>
          <cell r="B10"/>
          <cell r="C10" t="str">
            <v>Familia PULSE MCA</v>
          </cell>
          <cell r="D10">
            <v>0.09</v>
          </cell>
          <cell r="E10" t="str">
            <v>Total</v>
          </cell>
          <cell r="F10">
            <v>0.06</v>
          </cell>
          <cell r="G10">
            <v>0.08</v>
          </cell>
          <cell r="H10">
            <v>0.06</v>
          </cell>
          <cell r="I10">
            <v>0.08</v>
          </cell>
          <cell r="J10"/>
          <cell r="K10">
            <v>0.1</v>
          </cell>
          <cell r="L10"/>
        </row>
        <row r="11">
          <cell r="B11"/>
          <cell r="C11"/>
          <cell r="D11"/>
          <cell r="E11" t="str">
            <v>Stellantis</v>
          </cell>
          <cell r="F11">
            <v>0.03</v>
          </cell>
          <cell r="G11">
            <v>4.0000000000000008E-2</v>
          </cell>
          <cell r="H11">
            <v>1.9999999999999997E-2</v>
          </cell>
          <cell r="I11">
            <v>3.0000000000000006E-2</v>
          </cell>
          <cell r="J11"/>
          <cell r="K11">
            <v>5.000000000000001E-2</v>
          </cell>
          <cell r="L11"/>
        </row>
        <row r="12">
          <cell r="B12"/>
          <cell r="C12"/>
          <cell r="D12"/>
          <cell r="E12" t="str">
            <v xml:space="preserve">RED </v>
          </cell>
          <cell r="F12">
            <v>0.03</v>
          </cell>
          <cell r="G12">
            <v>3.9999999999999994E-2</v>
          </cell>
          <cell r="H12">
            <v>0.04</v>
          </cell>
          <cell r="I12">
            <v>4.9999999999999996E-2</v>
          </cell>
          <cell r="J12"/>
          <cell r="K12">
            <v>4.9999999999999996E-2</v>
          </cell>
          <cell r="L12"/>
        </row>
        <row r="13">
          <cell r="A13" t="str">
            <v>FIAT FASTBACK Drive Turbo AT MCA</v>
          </cell>
          <cell r="B13"/>
          <cell r="C13" t="str">
            <v>Familia FASTBACK MCA</v>
          </cell>
          <cell r="D13">
            <v>0.09</v>
          </cell>
          <cell r="E13" t="str">
            <v>Total</v>
          </cell>
          <cell r="F13">
            <v>0.06</v>
          </cell>
          <cell r="G13">
            <v>0.08</v>
          </cell>
          <cell r="H13">
            <v>0.06</v>
          </cell>
          <cell r="I13">
            <v>0.08</v>
          </cell>
          <cell r="J13"/>
          <cell r="K13">
            <v>0.1</v>
          </cell>
          <cell r="L13"/>
        </row>
        <row r="14">
          <cell r="B14"/>
          <cell r="C14"/>
          <cell r="D14"/>
          <cell r="E14" t="str">
            <v>Stellantis</v>
          </cell>
          <cell r="F14">
            <v>0.03</v>
          </cell>
          <cell r="G14">
            <v>4.0000000000000008E-2</v>
          </cell>
          <cell r="H14">
            <v>1.9999999999999997E-2</v>
          </cell>
          <cell r="I14">
            <v>3.0000000000000006E-2</v>
          </cell>
          <cell r="J14"/>
          <cell r="K14">
            <v>5.000000000000001E-2</v>
          </cell>
          <cell r="L14"/>
        </row>
        <row r="15">
          <cell r="B15"/>
          <cell r="C15"/>
          <cell r="D15"/>
          <cell r="E15" t="str">
            <v xml:space="preserve">RED </v>
          </cell>
          <cell r="F15">
            <v>0.03</v>
          </cell>
          <cell r="G15">
            <v>3.9999999999999994E-2</v>
          </cell>
          <cell r="H15">
            <v>0.04</v>
          </cell>
          <cell r="I15">
            <v>4.9999999999999996E-2</v>
          </cell>
          <cell r="J15"/>
          <cell r="K15">
            <v>4.9999999999999996E-2</v>
          </cell>
          <cell r="L15"/>
        </row>
        <row r="16">
          <cell r="B16"/>
          <cell r="C16"/>
          <cell r="D16"/>
          <cell r="E16"/>
          <cell r="F16"/>
          <cell r="G16"/>
          <cell r="H16"/>
          <cell r="I16"/>
          <cell r="J16"/>
          <cell r="K16"/>
          <cell r="L16"/>
        </row>
        <row r="17">
          <cell r="B17"/>
          <cell r="C17"/>
          <cell r="D17"/>
          <cell r="E17"/>
          <cell r="F17"/>
          <cell r="G17"/>
          <cell r="H17"/>
          <cell r="I17"/>
          <cell r="J17"/>
          <cell r="K17"/>
          <cell r="L17"/>
        </row>
        <row r="18">
          <cell r="F18"/>
          <cell r="G18"/>
        </row>
      </sheetData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inculos"/>
      <sheetName val="Resumen"/>
      <sheetName val="Gestión (2)"/>
      <sheetName val="Gestión"/>
      <sheetName val="GCR"/>
      <sheetName val="Hoja1"/>
      <sheetName val="Verif. negativos"/>
      <sheetName val="Vol. Facturas"/>
      <sheetName val="Vol. Inmat"/>
      <sheetName val="Precios"/>
      <sheetName val="Color Especial"/>
      <sheetName val="Bonos"/>
      <sheetName val="Precio Promo"/>
      <sheetName val="Efecto Price"/>
      <sheetName val="B2B Directo"/>
      <sheetName val="Internos"/>
      <sheetName val="B2B Red"/>
      <sheetName val="Test Car"/>
      <sheetName val="Ayuda Zonales"/>
      <sheetName val="Acciones Tácticas B2C"/>
      <sheetName val="Acciones Tácticas B2B"/>
      <sheetName val="Floor Plan"/>
      <sheetName val="Prima Perfo"/>
      <sheetName val="Professional"/>
      <sheetName val="Quality"/>
      <sheetName val="Relación Cliente"/>
      <sheetName val="Provisión Financiera"/>
      <sheetName val="Fondo Coparticipado"/>
      <sheetName val="Otras Provisiones"/>
      <sheetName val="Ajustes"/>
      <sheetName val="Bonificación JEEP"/>
      <sheetName val="NPS Jeep"/>
      <sheetName val="Bonificación RAM"/>
      <sheetName val="NPS RAM"/>
    </sheetNames>
    <sheetDataSet>
      <sheetData sheetId="0"/>
      <sheetData sheetId="1"/>
      <sheetData sheetId="2"/>
      <sheetData sheetId="3">
        <row r="7">
          <cell r="D7" t="str">
            <v>EDS</v>
          </cell>
          <cell r="E7" t="str">
            <v>CD</v>
          </cell>
          <cell r="F7" t="str">
            <v>CÓDIGO GESTIÓN</v>
          </cell>
          <cell r="G7" t="str">
            <v>SOURCING</v>
          </cell>
          <cell r="H7" t="str">
            <v>MG FIJO</v>
          </cell>
        </row>
        <row r="8">
          <cell r="D8" t="str">
            <v>RAM 700 SLT SINGLE CAB 1.3 MT</v>
          </cell>
          <cell r="E8" t="str">
            <v>RAM 700 SLT CS 1.3 MT5</v>
          </cell>
          <cell r="F8"/>
          <cell r="G8" t="str">
            <v>Mercosur</v>
          </cell>
          <cell r="H8">
            <v>0.08</v>
          </cell>
        </row>
        <row r="9">
          <cell r="D9" t="str">
            <v>RAM 700 SLT CREW CAB 1.3 MT</v>
          </cell>
          <cell r="E9" t="str">
            <v>RAM 700 SLT CD 1.3 MT5</v>
          </cell>
          <cell r="F9"/>
          <cell r="G9" t="str">
            <v>Mercosur</v>
          </cell>
          <cell r="H9">
            <v>0.08</v>
          </cell>
        </row>
        <row r="10">
          <cell r="D10" t="str">
            <v>RAM 700 BIGHORN CREW CAB 1.3 MT</v>
          </cell>
          <cell r="E10" t="str">
            <v>RAM 700 BIGHORN CD 1.3 MT5</v>
          </cell>
          <cell r="F10"/>
          <cell r="G10" t="str">
            <v>Mercosur</v>
          </cell>
          <cell r="H10">
            <v>0.08</v>
          </cell>
        </row>
        <row r="11">
          <cell r="D11" t="str">
            <v>RAM 700 BIGHORN CREW CAB 1.3 CVT</v>
          </cell>
          <cell r="E11" t="str">
            <v>RAM 700 BIGHORN CD 1.3 CVT</v>
          </cell>
          <cell r="F11"/>
          <cell r="G11" t="str">
            <v>Mercosur</v>
          </cell>
          <cell r="H11">
            <v>0.08</v>
          </cell>
        </row>
        <row r="12">
          <cell r="D12" t="str">
            <v>RAM 700 LARAMIE CREW CAB 1.0T CVT</v>
          </cell>
          <cell r="E12" t="str">
            <v>RAM 700 LARAMIE CD 1.0T CVT</v>
          </cell>
          <cell r="F12"/>
          <cell r="G12" t="str">
            <v>Mercosur</v>
          </cell>
          <cell r="H12">
            <v>0.08</v>
          </cell>
        </row>
        <row r="13">
          <cell r="D13"/>
          <cell r="E13"/>
          <cell r="F13"/>
          <cell r="G13"/>
          <cell r="H13">
            <v>0.08</v>
          </cell>
        </row>
        <row r="14">
          <cell r="D14" t="str">
            <v>RAM RAMPAGE BIGHORN 2.2 DIESEL 200 HP 4X4 AT</v>
          </cell>
          <cell r="E14" t="str">
            <v>RAMPAGE BIGHORN 2.2 DIE AT9 4X4</v>
          </cell>
          <cell r="F14"/>
          <cell r="G14" t="str">
            <v>Vigo</v>
          </cell>
          <cell r="H14">
            <v>0.1</v>
          </cell>
        </row>
        <row r="15">
          <cell r="D15" t="str">
            <v>RAM RAMPAGE BIGHORN 2.0 DIESEL 170 HP 4X4 AT</v>
          </cell>
          <cell r="E15" t="str">
            <v>RAMPAGE BIGHORN 2.0</v>
          </cell>
          <cell r="F15"/>
          <cell r="G15" t="str">
            <v>Vigo</v>
          </cell>
          <cell r="H15">
            <v>0.1</v>
          </cell>
        </row>
        <row r="16">
          <cell r="D16" t="str">
            <v>RAM RAMPAGE REBEL 2.2 DIE AT9 4X4</v>
          </cell>
          <cell r="E16" t="str">
            <v>RAM RAMPAGE REBEL 2.2 DIE AT9 4X4</v>
          </cell>
          <cell r="F16"/>
          <cell r="G16" t="str">
            <v>Vigo</v>
          </cell>
          <cell r="H16">
            <v>0.1</v>
          </cell>
        </row>
        <row r="17">
          <cell r="D17" t="str">
            <v>RAM RAMPAGE LARAMIE 2.2 DIESEL 200 HP 4X4 AT</v>
          </cell>
          <cell r="E17" t="str">
            <v>RAMPAGE LARAMIE 2.2 DIE AT9 4X4</v>
          </cell>
          <cell r="F17"/>
          <cell r="G17" t="str">
            <v>Vigo</v>
          </cell>
          <cell r="H17">
            <v>0.1</v>
          </cell>
        </row>
        <row r="18">
          <cell r="D18" t="str">
            <v>RAM RAMPAGE LARAMIE 2.0 DIESEL 170 HP 4X4 AT</v>
          </cell>
          <cell r="E18" t="str">
            <v>RAMPAGE LARAMIE 2.0 DIE AT9 4X4</v>
          </cell>
          <cell r="F18"/>
          <cell r="G18" t="str">
            <v>Vigo</v>
          </cell>
          <cell r="H18">
            <v>0.1</v>
          </cell>
        </row>
        <row r="19">
          <cell r="D19" t="str">
            <v>RAM RAMPAGE R/T  2.0 GASOLINA 272 HP 4X4 AT</v>
          </cell>
          <cell r="E19" t="str">
            <v>RAMPAGE R/T 2.0 AT9 4X4</v>
          </cell>
          <cell r="F19"/>
          <cell r="G19" t="str">
            <v>Vigo</v>
          </cell>
          <cell r="H19">
            <v>0.1</v>
          </cell>
        </row>
        <row r="20">
          <cell r="D20"/>
          <cell r="E20"/>
          <cell r="F20"/>
          <cell r="G20"/>
          <cell r="H20">
            <v>0.1</v>
          </cell>
        </row>
        <row r="21">
          <cell r="D21" t="str">
            <v>RAM DAKOTA WARLOCK</v>
          </cell>
          <cell r="E21" t="str">
            <v>RAM DAKOTA WARLOCK</v>
          </cell>
          <cell r="F21"/>
          <cell r="G21" t="str">
            <v>Zeebrugge</v>
          </cell>
          <cell r="H21">
            <v>0.1</v>
          </cell>
        </row>
        <row r="22">
          <cell r="D22" t="str">
            <v>RAM DAKOTA LARAMIE</v>
          </cell>
          <cell r="E22" t="str">
            <v>RAM DAKOTA LARAMIE</v>
          </cell>
          <cell r="F22"/>
          <cell r="G22" t="str">
            <v>Zeebrugge</v>
          </cell>
          <cell r="H22">
            <v>0.1</v>
          </cell>
        </row>
        <row r="23">
          <cell r="D23"/>
          <cell r="E23"/>
          <cell r="F23"/>
          <cell r="G23"/>
          <cell r="H23">
            <v>0.1</v>
          </cell>
        </row>
        <row r="24">
          <cell r="D24" t="str">
            <v>RAM 1500 EXPRESS</v>
          </cell>
          <cell r="E24" t="str">
            <v>RAM 1500 EXPRESS</v>
          </cell>
          <cell r="F24"/>
          <cell r="G24" t="str">
            <v>Vigo</v>
          </cell>
          <cell r="H24">
            <v>0.12</v>
          </cell>
        </row>
        <row r="25">
          <cell r="D25" t="str">
            <v>RAM 1500 BIGHORN 3.0 SO 420 HP 4X4 AT</v>
          </cell>
          <cell r="E25" t="str">
            <v>RAM 1500 BIGHORN</v>
          </cell>
          <cell r="F25"/>
          <cell r="G25" t="str">
            <v>Vigo</v>
          </cell>
          <cell r="H25">
            <v>0.12</v>
          </cell>
        </row>
        <row r="26">
          <cell r="D26" t="str">
            <v>RAM 1500 REBEL 3.0 SO 420 HP 4X4 AT</v>
          </cell>
          <cell r="E26" t="str">
            <v>RAM 1500 REBEL</v>
          </cell>
          <cell r="F26"/>
          <cell r="G26" t="str">
            <v>Vigo</v>
          </cell>
          <cell r="H26">
            <v>0.12</v>
          </cell>
        </row>
        <row r="27">
          <cell r="D27" t="str">
            <v>RAM 1500 LARAMIE 3.0 SO 420 HP 4X4 AT</v>
          </cell>
          <cell r="E27" t="str">
            <v>RAM 1500 LARAMIE</v>
          </cell>
          <cell r="F27"/>
          <cell r="G27" t="str">
            <v>Vigo</v>
          </cell>
          <cell r="H27">
            <v>0.12</v>
          </cell>
        </row>
        <row r="28">
          <cell r="D28" t="str">
            <v>RAM 1500 RHO 3.0 HO 540 HP 4x4 AT</v>
          </cell>
          <cell r="E28" t="str">
            <v>RAM 1500 RHO</v>
          </cell>
          <cell r="F28"/>
          <cell r="G28" t="str">
            <v>Vigo</v>
          </cell>
          <cell r="H28">
            <v>0.12</v>
          </cell>
        </row>
        <row r="29">
          <cell r="D29" t="str">
            <v>RAM 1500 BIGHORN NIGHT EDITION 3.6 V6 MILD HYBRID 305 HP 4X4 AT</v>
          </cell>
          <cell r="E29" t="str">
            <v>RAM 1500 BIGHORN NIGHT EDITION 3.6 V6 MILD HYBRID 305 HP 4X4 AT</v>
          </cell>
          <cell r="F29"/>
          <cell r="G29" t="str">
            <v>Zeebrugge</v>
          </cell>
          <cell r="H29">
            <v>0.12</v>
          </cell>
        </row>
        <row r="30">
          <cell r="D30" t="str">
            <v>RAM 2500 BIGHORN</v>
          </cell>
          <cell r="E30" t="str">
            <v>RAM 2500 BIGHORN</v>
          </cell>
          <cell r="F30"/>
          <cell r="G30" t="str">
            <v>Zeebrugge</v>
          </cell>
          <cell r="H30">
            <v>0.12</v>
          </cell>
        </row>
        <row r="31">
          <cell r="D31" t="str">
            <v>RAM 2500 LARAMIE</v>
          </cell>
          <cell r="E31" t="str">
            <v>RAM 2500 REBEL</v>
          </cell>
          <cell r="F31"/>
          <cell r="G31" t="str">
            <v>Zeebrugge</v>
          </cell>
          <cell r="H31">
            <v>0.12</v>
          </cell>
        </row>
        <row r="32">
          <cell r="D32"/>
          <cell r="E32"/>
          <cell r="F32"/>
          <cell r="G32"/>
          <cell r="H32">
            <v>0.12</v>
          </cell>
        </row>
        <row r="33">
          <cell r="D33" t="str">
            <v>JEEP AVENGER ALTITUDE 1.2T MT6 FWD</v>
          </cell>
          <cell r="E33" t="str">
            <v>AVENGER ALTITUDE 1.2T MT</v>
          </cell>
          <cell r="F33"/>
          <cell r="G33" t="str">
            <v>Zeebrugge</v>
          </cell>
          <cell r="H33">
            <v>0.09</v>
          </cell>
        </row>
        <row r="34">
          <cell r="D34" t="str">
            <v>JEEP AVENGER SUMMIT BEV</v>
          </cell>
          <cell r="E34" t="str">
            <v>JEEP AVENGER SUMMIT BEV</v>
          </cell>
          <cell r="F34"/>
          <cell r="G34" t="str">
            <v>Zeebrugge</v>
          </cell>
          <cell r="H34">
            <v>0.09</v>
          </cell>
        </row>
        <row r="35">
          <cell r="D35" t="str">
            <v>JEEP AVENGER ALTITUDE 1.0T MHEV</v>
          </cell>
          <cell r="E35" t="str">
            <v>JEEP AVENGER ALTITUDE 1.0T MHEV</v>
          </cell>
          <cell r="F35"/>
          <cell r="G35" t="str">
            <v>Mercosur</v>
          </cell>
          <cell r="H35">
            <v>0.09</v>
          </cell>
        </row>
        <row r="36">
          <cell r="D36" t="str">
            <v>JEEP AVENGER ALTITUDE 1.2T H DDCT6 FWD</v>
          </cell>
          <cell r="E36" t="str">
            <v>AVENGER ALTITUDE 1.2T MHEV</v>
          </cell>
          <cell r="F36"/>
          <cell r="G36" t="str">
            <v>Zeebrugge</v>
          </cell>
          <cell r="H36">
            <v>0.09</v>
          </cell>
        </row>
        <row r="37">
          <cell r="D37" t="str">
            <v>JEEP AVENGER LONGITUDE 1.0T MHEV</v>
          </cell>
          <cell r="E37" t="str">
            <v>JEEP AVENGER LONGITUDE 1.0T MHEV</v>
          </cell>
          <cell r="F37"/>
          <cell r="G37" t="str">
            <v>Mercosur</v>
          </cell>
          <cell r="H37">
            <v>0.09</v>
          </cell>
        </row>
        <row r="38">
          <cell r="D38" t="str">
            <v>JEEP AVENGER SAHARA 1.0T MHEV</v>
          </cell>
          <cell r="E38" t="str">
            <v>JEEP AVENGER SAHARA 1.0T MHEV</v>
          </cell>
          <cell r="F38"/>
          <cell r="G38" t="str">
            <v>Mercosur</v>
          </cell>
          <cell r="H38">
            <v>0.09</v>
          </cell>
        </row>
        <row r="39">
          <cell r="D39" t="str">
            <v>JEEP AVENGER SUMMIT 1.2T H DDCT6 FWD</v>
          </cell>
          <cell r="E39" t="str">
            <v xml:space="preserve"> AVENGER SUMMIT 1.2T MHEV DDCT</v>
          </cell>
          <cell r="F39"/>
          <cell r="G39" t="str">
            <v>Zeebrugge</v>
          </cell>
          <cell r="H39">
            <v>0.09</v>
          </cell>
        </row>
        <row r="40">
          <cell r="D40" t="str">
            <v>JEEP RENEGADE ALTITUDE 1.3T AT6 FWD</v>
          </cell>
          <cell r="E40" t="str">
            <v>JEEP RENEGADE ALTITUDE 1.3T AT6 FWD</v>
          </cell>
          <cell r="F40"/>
          <cell r="G40" t="str">
            <v>Mercosur</v>
          </cell>
          <cell r="H40">
            <v>0.09</v>
          </cell>
        </row>
        <row r="41">
          <cell r="D41" t="str">
            <v>JEEP RENEGADE SAHARA1.3T AT6 FWD</v>
          </cell>
          <cell r="E41" t="str">
            <v>JEEP RENEGADE SAHARA1.3T AT6 FWD</v>
          </cell>
          <cell r="F41"/>
          <cell r="G41" t="str">
            <v>Mercosur</v>
          </cell>
          <cell r="H41">
            <v>0.09</v>
          </cell>
        </row>
        <row r="42">
          <cell r="D42"/>
          <cell r="E42"/>
          <cell r="F42"/>
          <cell r="G42"/>
          <cell r="H42">
            <v>0.09</v>
          </cell>
        </row>
        <row r="43">
          <cell r="D43" t="str">
            <v>JEEP COMPASS SPORT 1.3T AT6 FWD</v>
          </cell>
          <cell r="E43" t="str">
            <v>COMPASS SPORT 1.3T AT</v>
          </cell>
          <cell r="F43"/>
          <cell r="G43" t="str">
            <v>Mercosur</v>
          </cell>
          <cell r="H43">
            <v>0.09</v>
          </cell>
        </row>
        <row r="44">
          <cell r="D44" t="str">
            <v>JEEP COMPASS SPORT 1.3T AT6 FWD EU6B</v>
          </cell>
          <cell r="E44" t="str">
            <v>JEEP COMPASS SPORT 1.3T AT6 FWD EU6B</v>
          </cell>
          <cell r="F44"/>
          <cell r="G44" t="str">
            <v>Mercosur</v>
          </cell>
          <cell r="H44">
            <v>0.09</v>
          </cell>
        </row>
        <row r="45">
          <cell r="D45" t="str">
            <v>JEEP COMPASS LONGITUDE 1.3T AT6 FWD</v>
          </cell>
          <cell r="E45" t="str">
            <v>COMPASS LONGITUDE 1.3T AT</v>
          </cell>
          <cell r="F45"/>
          <cell r="G45" t="str">
            <v>Mercosur</v>
          </cell>
          <cell r="H45">
            <v>0.09</v>
          </cell>
        </row>
        <row r="46">
          <cell r="D46" t="str">
            <v>JEEP COMPASS LONGITUDE 1.3T AT6 FWD EU6B</v>
          </cell>
          <cell r="E46" t="str">
            <v>JEEP COMPASS LONGITUDE 1.3T AT6 FWD EU6B</v>
          </cell>
          <cell r="F46"/>
          <cell r="G46" t="str">
            <v>Mercosur</v>
          </cell>
          <cell r="H46">
            <v>0.09</v>
          </cell>
        </row>
        <row r="47">
          <cell r="D47" t="str">
            <v>JEEP COMPASS LIMITED 1.3T AT6 FWD</v>
          </cell>
          <cell r="E47" t="str">
            <v>COMPASS LIMITED 1.3T AT</v>
          </cell>
          <cell r="F47"/>
          <cell r="G47" t="str">
            <v>Mercosur</v>
          </cell>
          <cell r="H47">
            <v>0.09</v>
          </cell>
        </row>
        <row r="48">
          <cell r="D48" t="str">
            <v>JEEP COMPASS LIMITED 1.3T AT6 FWD EU6B</v>
          </cell>
          <cell r="E48" t="str">
            <v>JEEP COMPASS LIMITED 1.3T AT6 FWD EU6B</v>
          </cell>
          <cell r="F48"/>
          <cell r="G48" t="str">
            <v>Mercosur</v>
          </cell>
          <cell r="H48">
            <v>0.09</v>
          </cell>
        </row>
        <row r="49">
          <cell r="D49" t="str">
            <v>JEEP COMPASS BLACKHAWK 2.0T AT9 4X4</v>
          </cell>
          <cell r="E49" t="str">
            <v>COMPASS BLACKHAWK 2.0T AT 4X4</v>
          </cell>
          <cell r="F49"/>
          <cell r="G49" t="str">
            <v>Mercosur</v>
          </cell>
          <cell r="H49">
            <v>0.09</v>
          </cell>
        </row>
        <row r="50">
          <cell r="D50" t="str">
            <v>JEEP COMPASS SERIE S 4XE PHEV</v>
          </cell>
          <cell r="E50" t="str">
            <v>JEEP COMPASS SERIE S 4XE PHEV</v>
          </cell>
          <cell r="F50"/>
          <cell r="G50" t="str">
            <v>Mercosur</v>
          </cell>
          <cell r="H50">
            <v>0.09</v>
          </cell>
        </row>
        <row r="51">
          <cell r="D51" t="str">
            <v>JEEP COMMANDER MCA LIMITED 1.3T AT6 FWD</v>
          </cell>
          <cell r="E51" t="str">
            <v>COMMANDER LIMITED 1.3T AT</v>
          </cell>
          <cell r="F51"/>
          <cell r="G51" t="str">
            <v>Mercosur</v>
          </cell>
          <cell r="H51">
            <v>0.1</v>
          </cell>
        </row>
        <row r="52">
          <cell r="D52" t="str">
            <v>JEEP COMMANDER MCA OVERLAND 1.3T AT6 FWD</v>
          </cell>
          <cell r="E52" t="str">
            <v>COMMANDER OVERLAND 1.3T AT</v>
          </cell>
          <cell r="F52"/>
          <cell r="G52" t="str">
            <v>Mercosur</v>
          </cell>
          <cell r="H52">
            <v>0.1</v>
          </cell>
        </row>
        <row r="53">
          <cell r="D53" t="str">
            <v>JEEP COMMANDER MCA BLACKHAWK 2.0T AT9 4X4</v>
          </cell>
          <cell r="E53" t="str">
            <v>COMMANDER BACKHAWK 2.0T AT 4X4</v>
          </cell>
          <cell r="F53"/>
          <cell r="G53" t="str">
            <v>Mercosur</v>
          </cell>
          <cell r="H53">
            <v>0.1</v>
          </cell>
        </row>
        <row r="54">
          <cell r="D54"/>
          <cell r="E54"/>
          <cell r="F54"/>
          <cell r="G54"/>
          <cell r="H54">
            <v>0.1</v>
          </cell>
        </row>
        <row r="55">
          <cell r="D55" t="str">
            <v>JEEP Cherokee Limited HEV 1.6T AWD</v>
          </cell>
          <cell r="E55" t="str">
            <v>Cherokee Limited HEV 1.6T AWD</v>
          </cell>
          <cell r="F55"/>
          <cell r="G55" t="str">
            <v>Mercosur</v>
          </cell>
          <cell r="H55">
            <v>0.1</v>
          </cell>
        </row>
        <row r="56">
          <cell r="D56" t="str">
            <v>JEEP Cherokee Overland HEV 1.6T AWD</v>
          </cell>
          <cell r="E56" t="str">
            <v>Cherokee Overland HEV 1.6T AWD</v>
          </cell>
          <cell r="F56"/>
          <cell r="G56" t="str">
            <v>Mercosur</v>
          </cell>
          <cell r="H56">
            <v>0.1</v>
          </cell>
        </row>
        <row r="57">
          <cell r="D57"/>
          <cell r="E57"/>
          <cell r="F57"/>
          <cell r="G57"/>
          <cell r="H57">
            <v>0.1</v>
          </cell>
        </row>
        <row r="58">
          <cell r="D58" t="str">
            <v>JEEP GRAND CHEROKEE ALTITUDE 3.6L AT8 4X4</v>
          </cell>
          <cell r="E58" t="str">
            <v>JEEP GRAND CHEROKEE ALTITUDE 3.6L AT8 4X4</v>
          </cell>
          <cell r="F58"/>
          <cell r="G58" t="str">
            <v>Norte América</v>
          </cell>
          <cell r="H58">
            <v>0.12</v>
          </cell>
        </row>
        <row r="59">
          <cell r="D59" t="str">
            <v>JEEP GRAND CHEROKEE L LIMITED 3.6L AT8 4X4</v>
          </cell>
          <cell r="E59" t="str">
            <v>JEEP GRAND CHEROKEE L LIMITED 3.6L AT8 4X4</v>
          </cell>
          <cell r="F59"/>
          <cell r="G59" t="str">
            <v>Norte América</v>
          </cell>
          <cell r="H59">
            <v>0.12</v>
          </cell>
        </row>
        <row r="60">
          <cell r="D60" t="str">
            <v>JEEP GRAND CHEROKEE LIMITED 3.6L AT8 4X4</v>
          </cell>
          <cell r="E60" t="str">
            <v>JEEP GRAND CHEROKEE LIMITED 3.6L AT8 4X4</v>
          </cell>
          <cell r="F60"/>
          <cell r="G60" t="str">
            <v>Norte América</v>
          </cell>
          <cell r="H60">
            <v>0.12</v>
          </cell>
        </row>
        <row r="61">
          <cell r="D61"/>
          <cell r="E61"/>
          <cell r="F61"/>
          <cell r="G61"/>
          <cell r="H61">
            <v>0.12</v>
          </cell>
        </row>
        <row r="62">
          <cell r="D62"/>
          <cell r="E62"/>
          <cell r="F62"/>
          <cell r="G62"/>
          <cell r="H62">
            <v>0.12</v>
          </cell>
        </row>
        <row r="63">
          <cell r="D63" t="str">
            <v>JEEP WRANGLER SPORT 2.0T AT8 4x4</v>
          </cell>
          <cell r="E63" t="str">
            <v>WRANGLER SPORT 2.0T AT 4X4</v>
          </cell>
          <cell r="F63"/>
          <cell r="G63" t="str">
            <v>Norte América</v>
          </cell>
          <cell r="H63">
            <v>0.1</v>
          </cell>
        </row>
        <row r="64">
          <cell r="D64" t="str">
            <v>JEEP WRANGLER SAHARA 2.0T AT8 4x4</v>
          </cell>
          <cell r="E64" t="str">
            <v>WRANGLER SAHARA 2.0T AT 4X4</v>
          </cell>
          <cell r="F64"/>
          <cell r="G64" t="str">
            <v>Norte América</v>
          </cell>
          <cell r="H64">
            <v>0.1</v>
          </cell>
        </row>
        <row r="65">
          <cell r="D65" t="str">
            <v>JEEP WRANGLER RUBICON 2.0T AT8 4x4</v>
          </cell>
          <cell r="E65" t="str">
            <v>WRANGLER RUBICON 2.0T AT 4X4</v>
          </cell>
          <cell r="F65"/>
          <cell r="G65" t="str">
            <v>Norte América</v>
          </cell>
          <cell r="H65">
            <v>0.1</v>
          </cell>
        </row>
        <row r="66">
          <cell r="D66"/>
          <cell r="E66"/>
          <cell r="F66"/>
          <cell r="G66"/>
          <cell r="H66">
            <v>0.1</v>
          </cell>
        </row>
        <row r="67">
          <cell r="D67" t="str">
            <v>G.Cherokee Altitude 2.0T AT 4x4</v>
          </cell>
          <cell r="E67" t="str">
            <v>Grand Cherokee Altitude 3.6L 4x4</v>
          </cell>
          <cell r="F67"/>
          <cell r="G67" t="str">
            <v>Norte América</v>
          </cell>
          <cell r="H67">
            <v>0.1</v>
          </cell>
        </row>
        <row r="68">
          <cell r="D68" t="str">
            <v>G.Cherokee Limited 2.0T AT 4x4</v>
          </cell>
          <cell r="E68" t="str">
            <v>Grand Cherokee Limited 3.6L 4x4</v>
          </cell>
          <cell r="F68"/>
          <cell r="G68" t="str">
            <v>Norte América</v>
          </cell>
          <cell r="H68">
            <v>0.1</v>
          </cell>
        </row>
        <row r="69">
          <cell r="D69" t="str">
            <v>JEEP RENEGADE SPORT 1.3T AT6 FWD</v>
          </cell>
          <cell r="E69" t="str">
            <v>Renegade Sport 1.3T AT</v>
          </cell>
          <cell r="F69"/>
          <cell r="G69" t="str">
            <v>Mercosur</v>
          </cell>
          <cell r="H69">
            <v>0.09</v>
          </cell>
        </row>
        <row r="70">
          <cell r="D70" t="str">
            <v>JEEP RENEGADE LONGITUDE 1.3T AT6 FWD</v>
          </cell>
          <cell r="E70" t="str">
            <v>Renegade Longitude 1.3T AT</v>
          </cell>
          <cell r="F70"/>
          <cell r="G70" t="str">
            <v>Mercosur</v>
          </cell>
          <cell r="H70">
            <v>0.09</v>
          </cell>
        </row>
        <row r="71">
          <cell r="D71" t="str">
            <v>JEEP GLADIATOR RUBICON 3.6L AT8 4x4</v>
          </cell>
          <cell r="E71" t="str">
            <v>GLADIATOR RUBICON</v>
          </cell>
          <cell r="F71"/>
          <cell r="G71" t="str">
            <v>Norte América</v>
          </cell>
          <cell r="H71">
            <v>0.1</v>
          </cell>
        </row>
        <row r="72">
          <cell r="D72"/>
          <cell r="E72"/>
          <cell r="F72"/>
          <cell r="G72"/>
          <cell r="H72">
            <v>0.1</v>
          </cell>
        </row>
        <row r="77">
          <cell r="D77"/>
          <cell r="E77"/>
          <cell r="F77"/>
          <cell r="G77"/>
          <cell r="H77"/>
        </row>
        <row r="78">
          <cell r="D78"/>
          <cell r="E78"/>
          <cell r="F78"/>
          <cell r="G78"/>
          <cell r="H78">
            <v>9.333064027469197E-2</v>
          </cell>
        </row>
        <row r="79">
          <cell r="D79" t="str">
            <v>RAM</v>
          </cell>
          <cell r="E79" t="str">
            <v>RAM</v>
          </cell>
          <cell r="F79" t="str">
            <v>RAM</v>
          </cell>
          <cell r="G79"/>
          <cell r="H79">
            <v>9.333064027469197E-2</v>
          </cell>
        </row>
        <row r="81">
          <cell r="D81"/>
          <cell r="E81"/>
          <cell r="F81"/>
          <cell r="G81"/>
          <cell r="H81">
            <v>7.1672287802136025E-2</v>
          </cell>
        </row>
        <row r="82">
          <cell r="D82"/>
          <cell r="E82"/>
          <cell r="F82"/>
          <cell r="G82"/>
          <cell r="H82">
            <v>0.1</v>
          </cell>
        </row>
        <row r="83">
          <cell r="D83" t="str">
            <v>JEEP</v>
          </cell>
          <cell r="E83" t="str">
            <v>JEEP</v>
          </cell>
          <cell r="F83" t="str">
            <v>JEEP</v>
          </cell>
          <cell r="G83"/>
          <cell r="H83">
            <v>7.2257087806220754E-2</v>
          </cell>
        </row>
        <row r="85">
          <cell r="D85"/>
          <cell r="E85"/>
          <cell r="F85"/>
          <cell r="G85"/>
          <cell r="H85">
            <v>7.1672287802136025E-2</v>
          </cell>
        </row>
        <row r="86">
          <cell r="D86"/>
          <cell r="E86"/>
          <cell r="F86"/>
          <cell r="G86"/>
          <cell r="H86">
            <v>9.3430163151611609E-2</v>
          </cell>
        </row>
        <row r="87">
          <cell r="D87" t="str">
            <v>NSC</v>
          </cell>
          <cell r="E87" t="str">
            <v>NSC</v>
          </cell>
          <cell r="F87"/>
          <cell r="G87"/>
          <cell r="H87">
            <v>8.4411696178937554E-2</v>
          </cell>
        </row>
        <row r="88">
          <cell r="H88"/>
        </row>
      </sheetData>
      <sheetData sheetId="4"/>
      <sheetData sheetId="5"/>
      <sheetData sheetId="6"/>
      <sheetData sheetId="7"/>
      <sheetData sheetId="8"/>
      <sheetData sheetId="9">
        <row r="2">
          <cell r="H2" t="str">
            <v>ALZAS DE PRECIOS</v>
          </cell>
        </row>
      </sheetData>
      <sheetData sheetId="10"/>
      <sheetData sheetId="11">
        <row r="2">
          <cell r="G2" t="str">
            <v>TMP</v>
          </cell>
        </row>
      </sheetData>
      <sheetData sheetId="12"/>
      <sheetData sheetId="13"/>
      <sheetData sheetId="14"/>
      <sheetData sheetId="15"/>
      <sheetData sheetId="16">
        <row r="4">
          <cell r="F4" t="str">
            <v>MIX VOL B2B RED</v>
          </cell>
          <cell r="G4"/>
          <cell r="H4"/>
          <cell r="I4"/>
          <cell r="J4"/>
          <cell r="K4"/>
          <cell r="L4"/>
          <cell r="M4"/>
          <cell r="N4"/>
          <cell r="O4"/>
          <cell r="P4"/>
          <cell r="Q4"/>
          <cell r="R4"/>
          <cell r="T4" t="str">
            <v>MIX TRAMOS</v>
          </cell>
          <cell r="U4"/>
          <cell r="V4"/>
          <cell r="W4"/>
          <cell r="X4"/>
          <cell r="Y4"/>
          <cell r="Z4"/>
          <cell r="AA4"/>
          <cell r="AB4"/>
          <cell r="AC4"/>
          <cell r="AD4"/>
          <cell r="AE4"/>
          <cell r="AF4"/>
          <cell r="AG4"/>
          <cell r="AH4"/>
          <cell r="AI4"/>
          <cell r="AJ4"/>
          <cell r="AK4"/>
          <cell r="AL4"/>
          <cell r="AM4"/>
          <cell r="AN4"/>
          <cell r="AO4"/>
          <cell r="AP4"/>
          <cell r="AQ4"/>
          <cell r="AR4"/>
          <cell r="AS4"/>
          <cell r="AT4"/>
          <cell r="AU4"/>
          <cell r="AV4"/>
          <cell r="AW4"/>
          <cell r="AX4"/>
          <cell r="AY4"/>
          <cell r="AZ4"/>
          <cell r="BA4"/>
          <cell r="BB4"/>
          <cell r="BC4"/>
          <cell r="BD4"/>
          <cell r="BF4" t="str">
            <v>DESCUENTOS</v>
          </cell>
          <cell r="BG4"/>
          <cell r="BH4"/>
          <cell r="BI4"/>
          <cell r="BJ4"/>
          <cell r="BK4"/>
          <cell r="BL4"/>
          <cell r="BM4"/>
          <cell r="BN4"/>
          <cell r="BO4"/>
          <cell r="BP4"/>
          <cell r="BQ4"/>
          <cell r="BR4"/>
          <cell r="BS4"/>
          <cell r="BT4"/>
          <cell r="BU4"/>
          <cell r="BV4"/>
          <cell r="BW4"/>
          <cell r="BX4"/>
          <cell r="BY4"/>
          <cell r="BZ4"/>
          <cell r="CA4"/>
          <cell r="CB4"/>
          <cell r="CC4"/>
          <cell r="CD4"/>
          <cell r="CE4"/>
          <cell r="CF4"/>
          <cell r="CG4"/>
          <cell r="CH4"/>
          <cell r="CI4"/>
          <cell r="CJ4"/>
          <cell r="CK4"/>
          <cell r="CL4"/>
          <cell r="CM4"/>
          <cell r="CN4"/>
          <cell r="CO4"/>
          <cell r="CP4"/>
          <cell r="CQ4"/>
          <cell r="CR4"/>
          <cell r="CS4"/>
          <cell r="CU4" t="str">
            <v>MG RED</v>
          </cell>
          <cell r="CV4"/>
          <cell r="CW4"/>
          <cell r="CX4"/>
          <cell r="CY4"/>
          <cell r="CZ4"/>
          <cell r="DA4"/>
          <cell r="DB4"/>
          <cell r="DC4"/>
          <cell r="DD4"/>
          <cell r="DE4"/>
          <cell r="DF4"/>
          <cell r="DG4"/>
          <cell r="DH4"/>
          <cell r="DI4"/>
          <cell r="DJ4"/>
          <cell r="DK4"/>
          <cell r="DL4"/>
          <cell r="DM4"/>
          <cell r="DN4"/>
          <cell r="DO4"/>
          <cell r="DP4"/>
          <cell r="DQ4"/>
          <cell r="DR4"/>
          <cell r="DS4"/>
          <cell r="DT4"/>
          <cell r="DU4"/>
          <cell r="DV4"/>
          <cell r="DW4"/>
          <cell r="DX4"/>
          <cell r="DY4"/>
          <cell r="DZ4"/>
          <cell r="EA4"/>
          <cell r="EB4"/>
          <cell r="EC4"/>
          <cell r="ED4"/>
          <cell r="EE4"/>
          <cell r="EG4" t="str">
            <v>APORTE PONDERADO</v>
          </cell>
          <cell r="EH4"/>
          <cell r="EI4"/>
          <cell r="EJ4"/>
          <cell r="EK4"/>
          <cell r="EL4"/>
          <cell r="EM4"/>
          <cell r="EN4"/>
          <cell r="EO4"/>
          <cell r="EP4"/>
          <cell r="EQ4"/>
          <cell r="ER4"/>
          <cell r="ES4"/>
          <cell r="EU4" t="str">
            <v>DESCUENTO PONDERADO</v>
          </cell>
          <cell r="EV4"/>
          <cell r="EW4"/>
          <cell r="EX4"/>
          <cell r="EY4"/>
          <cell r="EZ4"/>
          <cell r="FA4"/>
          <cell r="FB4"/>
          <cell r="FC4"/>
          <cell r="FD4"/>
          <cell r="FE4"/>
          <cell r="FF4"/>
          <cell r="FG4"/>
        </row>
        <row r="5">
          <cell r="T5"/>
          <cell r="U5"/>
          <cell r="V5"/>
          <cell r="W5"/>
          <cell r="X5"/>
          <cell r="Y5"/>
          <cell r="Z5"/>
          <cell r="AA5"/>
          <cell r="AB5"/>
          <cell r="AC5"/>
          <cell r="AD5"/>
          <cell r="AE5"/>
          <cell r="AF5"/>
          <cell r="AG5"/>
          <cell r="AH5"/>
          <cell r="AI5"/>
          <cell r="AJ5"/>
          <cell r="AK5"/>
          <cell r="AL5"/>
          <cell r="AM5"/>
          <cell r="AN5"/>
          <cell r="AO5"/>
          <cell r="AP5"/>
          <cell r="AQ5"/>
          <cell r="AR5"/>
          <cell r="AS5"/>
          <cell r="AT5"/>
          <cell r="AU5"/>
          <cell r="AV5"/>
          <cell r="AW5"/>
          <cell r="AX5"/>
          <cell r="AY5"/>
          <cell r="AZ5"/>
          <cell r="BA5"/>
          <cell r="BB5"/>
          <cell r="BC5"/>
          <cell r="BD5"/>
          <cell r="BF5"/>
          <cell r="BG5"/>
          <cell r="BH5"/>
          <cell r="BI5"/>
          <cell r="BJ5"/>
          <cell r="BK5"/>
          <cell r="BL5"/>
          <cell r="BM5"/>
          <cell r="BN5"/>
          <cell r="BO5"/>
          <cell r="BP5"/>
          <cell r="BQ5"/>
          <cell r="BR5"/>
          <cell r="BS5"/>
          <cell r="BT5"/>
          <cell r="BU5"/>
          <cell r="BV5"/>
          <cell r="BW5"/>
          <cell r="BX5"/>
          <cell r="BY5"/>
          <cell r="BZ5"/>
          <cell r="CA5"/>
          <cell r="CB5"/>
          <cell r="CC5"/>
          <cell r="CD5"/>
          <cell r="CE5"/>
          <cell r="CF5"/>
          <cell r="CG5"/>
          <cell r="CH5"/>
          <cell r="CI5"/>
          <cell r="CJ5"/>
          <cell r="CK5"/>
          <cell r="CL5"/>
          <cell r="CM5"/>
          <cell r="CN5"/>
          <cell r="CO5"/>
          <cell r="CP5"/>
          <cell r="CQ5"/>
          <cell r="CR5"/>
          <cell r="CS5"/>
          <cell r="CU5"/>
          <cell r="CV5"/>
          <cell r="CW5"/>
          <cell r="CX5"/>
          <cell r="CY5"/>
          <cell r="CZ5"/>
          <cell r="DA5"/>
          <cell r="DB5"/>
          <cell r="DC5"/>
          <cell r="DD5"/>
          <cell r="DE5"/>
          <cell r="DF5"/>
          <cell r="DG5"/>
          <cell r="DH5"/>
          <cell r="DI5"/>
          <cell r="DJ5"/>
          <cell r="DK5"/>
          <cell r="DL5"/>
          <cell r="DM5"/>
          <cell r="DN5"/>
          <cell r="DO5"/>
          <cell r="DP5"/>
          <cell r="DQ5"/>
          <cell r="DR5"/>
          <cell r="DS5"/>
          <cell r="DT5"/>
          <cell r="DU5"/>
          <cell r="DV5"/>
          <cell r="DW5"/>
          <cell r="DX5"/>
          <cell r="DY5"/>
          <cell r="DZ5"/>
          <cell r="EA5"/>
          <cell r="EB5"/>
          <cell r="EC5"/>
          <cell r="ED5"/>
          <cell r="EE5"/>
        </row>
        <row r="6">
          <cell r="G6" t="str">
            <v>ENERO</v>
          </cell>
          <cell r="H6" t="str">
            <v>FEBRERO</v>
          </cell>
          <cell r="I6" t="str">
            <v>MARZO</v>
          </cell>
          <cell r="J6" t="str">
            <v>ABRIL</v>
          </cell>
          <cell r="K6" t="str">
            <v>MAYO</v>
          </cell>
          <cell r="L6" t="str">
            <v>JUNIO</v>
          </cell>
          <cell r="M6" t="str">
            <v>JULIO</v>
          </cell>
          <cell r="N6" t="str">
            <v>AGOSTO</v>
          </cell>
          <cell r="O6" t="str">
            <v>SEPTIEMBRE</v>
          </cell>
          <cell r="P6" t="str">
            <v>OCTUBRE</v>
          </cell>
          <cell r="Q6" t="str">
            <v>NOVIEMBRE</v>
          </cell>
          <cell r="R6" t="str">
            <v>DICIEMBRE</v>
          </cell>
          <cell r="U6" t="str">
            <v>ENERO</v>
          </cell>
          <cell r="V6"/>
          <cell r="W6"/>
          <cell r="X6" t="str">
            <v>FEBRERO</v>
          </cell>
          <cell r="Y6"/>
          <cell r="Z6"/>
          <cell r="AA6" t="str">
            <v>MARZO</v>
          </cell>
          <cell r="AB6"/>
          <cell r="AC6"/>
          <cell r="AD6" t="str">
            <v>ABRIL</v>
          </cell>
          <cell r="AE6"/>
          <cell r="AF6"/>
          <cell r="AG6" t="str">
            <v>MAYO</v>
          </cell>
          <cell r="AH6"/>
          <cell r="AI6"/>
          <cell r="AJ6" t="str">
            <v>JUNIO</v>
          </cell>
          <cell r="AK6"/>
          <cell r="AL6"/>
          <cell r="AM6" t="str">
            <v>JULIO</v>
          </cell>
          <cell r="AN6"/>
          <cell r="AO6"/>
          <cell r="AP6" t="str">
            <v>AGOSTO</v>
          </cell>
          <cell r="AQ6"/>
          <cell r="AR6"/>
          <cell r="AS6" t="str">
            <v>SEPTIEMBRE</v>
          </cell>
          <cell r="AT6"/>
          <cell r="AU6"/>
          <cell r="AV6" t="str">
            <v>OCTUBRE</v>
          </cell>
          <cell r="AW6"/>
          <cell r="AX6"/>
          <cell r="AY6" t="str">
            <v>NOVIEMBRE</v>
          </cell>
          <cell r="AZ6"/>
          <cell r="BA6"/>
          <cell r="BB6" t="str">
            <v>DICIEMBRE</v>
          </cell>
          <cell r="BC6"/>
          <cell r="BD6"/>
          <cell r="BG6">
            <v>45992</v>
          </cell>
          <cell r="BH6"/>
          <cell r="BI6"/>
          <cell r="BJ6" t="str">
            <v>ENERO</v>
          </cell>
          <cell r="BK6"/>
          <cell r="BL6"/>
          <cell r="BM6" t="str">
            <v>FEBRERO</v>
          </cell>
          <cell r="BN6"/>
          <cell r="BO6"/>
          <cell r="BP6" t="str">
            <v>MARZO</v>
          </cell>
          <cell r="BQ6"/>
          <cell r="BR6"/>
          <cell r="BS6" t="str">
            <v>ABRIL</v>
          </cell>
          <cell r="BT6"/>
          <cell r="BU6"/>
          <cell r="BV6" t="str">
            <v>MAYO</v>
          </cell>
          <cell r="BW6"/>
          <cell r="BX6"/>
          <cell r="BY6" t="str">
            <v>JUNIO</v>
          </cell>
          <cell r="BZ6"/>
          <cell r="CA6"/>
          <cell r="CB6" t="str">
            <v>JULIO</v>
          </cell>
          <cell r="CC6"/>
          <cell r="CD6"/>
          <cell r="CE6" t="str">
            <v>AGOSTO</v>
          </cell>
          <cell r="CF6"/>
          <cell r="CG6"/>
          <cell r="CH6" t="str">
            <v>SEPTIEMBRE</v>
          </cell>
          <cell r="CI6"/>
          <cell r="CJ6"/>
          <cell r="CK6" t="str">
            <v>OCTUBRE</v>
          </cell>
          <cell r="CL6"/>
          <cell r="CM6"/>
          <cell r="CN6" t="str">
            <v>NOVIEMBRE</v>
          </cell>
          <cell r="CO6"/>
          <cell r="CP6"/>
          <cell r="CQ6" t="str">
            <v>DICIEMBRE</v>
          </cell>
          <cell r="CR6"/>
          <cell r="CS6"/>
          <cell r="CV6" t="str">
            <v>ENERO</v>
          </cell>
          <cell r="CW6"/>
          <cell r="CX6"/>
          <cell r="CY6" t="str">
            <v>FEBRERO</v>
          </cell>
          <cell r="CZ6"/>
          <cell r="DA6"/>
          <cell r="DB6" t="str">
            <v>MARZO</v>
          </cell>
          <cell r="DC6"/>
          <cell r="DD6"/>
          <cell r="DE6" t="str">
            <v>ABRIL</v>
          </cell>
          <cell r="DF6"/>
          <cell r="DG6"/>
          <cell r="DH6" t="str">
            <v>MAYO</v>
          </cell>
          <cell r="DI6"/>
          <cell r="DJ6"/>
          <cell r="DK6" t="str">
            <v>JUNIO</v>
          </cell>
          <cell r="DL6"/>
          <cell r="DM6"/>
          <cell r="DN6" t="str">
            <v>JULIO</v>
          </cell>
          <cell r="DO6"/>
          <cell r="DP6"/>
          <cell r="DQ6" t="str">
            <v>AGOSTO</v>
          </cell>
          <cell r="DR6"/>
          <cell r="DS6"/>
          <cell r="DT6" t="str">
            <v>SEPTIEMBRE</v>
          </cell>
          <cell r="DU6"/>
          <cell r="DV6"/>
          <cell r="DW6" t="str">
            <v>OCTUBRE</v>
          </cell>
          <cell r="DX6"/>
          <cell r="DY6"/>
          <cell r="DZ6" t="str">
            <v>NOVIEMBRE</v>
          </cell>
          <cell r="EA6"/>
          <cell r="EB6"/>
          <cell r="EC6" t="str">
            <v>DICIEMBRE</v>
          </cell>
          <cell r="ED6"/>
          <cell r="EE6"/>
          <cell r="EG6">
            <v>45992</v>
          </cell>
          <cell r="EH6" t="str">
            <v>ENERO</v>
          </cell>
          <cell r="EI6" t="str">
            <v>FEBRERO</v>
          </cell>
          <cell r="EJ6" t="str">
            <v>MARZO</v>
          </cell>
          <cell r="EK6" t="str">
            <v>ABRIL</v>
          </cell>
          <cell r="EL6" t="str">
            <v>MAYO</v>
          </cell>
          <cell r="EM6" t="str">
            <v>JUNIO</v>
          </cell>
          <cell r="EN6" t="str">
            <v>JULIO</v>
          </cell>
          <cell r="EO6" t="str">
            <v>AGOSTO</v>
          </cell>
          <cell r="EP6" t="str">
            <v>SEPTIEMBRE</v>
          </cell>
          <cell r="EQ6" t="str">
            <v>OCTUBRE</v>
          </cell>
          <cell r="ER6" t="str">
            <v>NOVIEMBRE</v>
          </cell>
          <cell r="ES6" t="str">
            <v>DICIEMBRE</v>
          </cell>
          <cell r="EU6">
            <v>45992</v>
          </cell>
          <cell r="EV6" t="str">
            <v>ENERO</v>
          </cell>
          <cell r="EW6" t="str">
            <v>FEBRERO</v>
          </cell>
          <cell r="EX6" t="str">
            <v>MARZO</v>
          </cell>
          <cell r="EY6" t="str">
            <v>ABRIL</v>
          </cell>
          <cell r="EZ6" t="str">
            <v>MAYO</v>
          </cell>
          <cell r="FA6" t="str">
            <v>JUNIO</v>
          </cell>
          <cell r="FB6" t="str">
            <v>JULIO</v>
          </cell>
          <cell r="FC6" t="str">
            <v>AGOSTO</v>
          </cell>
          <cell r="FD6" t="str">
            <v>SEPTIEMBRE</v>
          </cell>
          <cell r="FE6" t="str">
            <v>OCTUBRE</v>
          </cell>
          <cell r="FF6" t="str">
            <v>NOVIEMBRE</v>
          </cell>
          <cell r="FG6" t="str">
            <v>DICIEMBRE</v>
          </cell>
        </row>
        <row r="7">
          <cell r="C7" t="str">
            <v>EDS</v>
          </cell>
          <cell r="D7" t="str">
            <v>CD</v>
          </cell>
          <cell r="G7"/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U7" t="str">
            <v>T1</v>
          </cell>
          <cell r="V7" t="str">
            <v>T2</v>
          </cell>
          <cell r="W7" t="str">
            <v>GC</v>
          </cell>
          <cell r="X7" t="str">
            <v>T1</v>
          </cell>
          <cell r="Y7" t="str">
            <v>T2</v>
          </cell>
          <cell r="Z7" t="str">
            <v>GC</v>
          </cell>
          <cell r="AA7" t="str">
            <v>T1</v>
          </cell>
          <cell r="AB7" t="str">
            <v>T2</v>
          </cell>
          <cell r="AC7" t="str">
            <v>GC</v>
          </cell>
          <cell r="AD7" t="str">
            <v>T1</v>
          </cell>
          <cell r="AE7" t="str">
            <v>T2</v>
          </cell>
          <cell r="AF7" t="str">
            <v>GC</v>
          </cell>
          <cell r="AG7" t="str">
            <v>T1</v>
          </cell>
          <cell r="AH7" t="str">
            <v>T2</v>
          </cell>
          <cell r="AI7" t="str">
            <v>GC</v>
          </cell>
          <cell r="AJ7" t="str">
            <v>T1</v>
          </cell>
          <cell r="AK7" t="str">
            <v>T2</v>
          </cell>
          <cell r="AL7" t="str">
            <v>GC</v>
          </cell>
          <cell r="AM7" t="str">
            <v>T1</v>
          </cell>
          <cell r="AN7" t="str">
            <v>T2</v>
          </cell>
          <cell r="AO7" t="str">
            <v>GC</v>
          </cell>
          <cell r="AP7" t="str">
            <v>T1</v>
          </cell>
          <cell r="AQ7" t="str">
            <v>T2</v>
          </cell>
          <cell r="AR7" t="str">
            <v>GC</v>
          </cell>
          <cell r="AS7" t="str">
            <v>T1</v>
          </cell>
          <cell r="AT7" t="str">
            <v>T2</v>
          </cell>
          <cell r="AU7" t="str">
            <v>GC</v>
          </cell>
          <cell r="AV7" t="str">
            <v>T1</v>
          </cell>
          <cell r="AW7" t="str">
            <v>T2</v>
          </cell>
          <cell r="AX7" t="str">
            <v>GC</v>
          </cell>
          <cell r="AY7" t="str">
            <v>T1</v>
          </cell>
          <cell r="AZ7" t="str">
            <v>T2</v>
          </cell>
          <cell r="BA7" t="str">
            <v>GC</v>
          </cell>
          <cell r="BB7" t="str">
            <v>T1</v>
          </cell>
          <cell r="BC7" t="str">
            <v>T2</v>
          </cell>
          <cell r="BD7" t="str">
            <v>GC</v>
          </cell>
          <cell r="BG7" t="str">
            <v>T1</v>
          </cell>
          <cell r="BH7" t="str">
            <v>T2</v>
          </cell>
          <cell r="BI7" t="str">
            <v>GC</v>
          </cell>
          <cell r="BJ7" t="str">
            <v>T1</v>
          </cell>
          <cell r="BK7" t="str">
            <v>T2</v>
          </cell>
          <cell r="BL7" t="str">
            <v>GC</v>
          </cell>
          <cell r="BM7" t="str">
            <v>T1</v>
          </cell>
          <cell r="BN7" t="str">
            <v>T2</v>
          </cell>
          <cell r="BO7" t="str">
            <v>GC</v>
          </cell>
          <cell r="BP7" t="str">
            <v>T1</v>
          </cell>
          <cell r="BQ7" t="str">
            <v>T2</v>
          </cell>
          <cell r="BR7" t="str">
            <v>GC</v>
          </cell>
          <cell r="BS7" t="str">
            <v>T1</v>
          </cell>
          <cell r="BT7" t="str">
            <v>T2</v>
          </cell>
          <cell r="BU7" t="str">
            <v>GC</v>
          </cell>
          <cell r="BV7" t="str">
            <v>T1</v>
          </cell>
          <cell r="BW7" t="str">
            <v>T2</v>
          </cell>
          <cell r="BX7" t="str">
            <v>GC</v>
          </cell>
          <cell r="BY7" t="str">
            <v>T1</v>
          </cell>
          <cell r="BZ7" t="str">
            <v>T2</v>
          </cell>
          <cell r="CA7" t="str">
            <v>GC</v>
          </cell>
          <cell r="CB7" t="str">
            <v>T1</v>
          </cell>
          <cell r="CC7" t="str">
            <v>T2</v>
          </cell>
          <cell r="CD7" t="str">
            <v>GC</v>
          </cell>
          <cell r="CE7" t="str">
            <v>T1</v>
          </cell>
          <cell r="CF7" t="str">
            <v>T2</v>
          </cell>
          <cell r="CG7" t="str">
            <v>GC</v>
          </cell>
          <cell r="CH7" t="str">
            <v>T1</v>
          </cell>
          <cell r="CI7" t="str">
            <v>T2</v>
          </cell>
          <cell r="CJ7" t="str">
            <v>GC</v>
          </cell>
          <cell r="CK7" t="str">
            <v>T1</v>
          </cell>
          <cell r="CL7" t="str">
            <v>T2</v>
          </cell>
          <cell r="CM7" t="str">
            <v>GC</v>
          </cell>
          <cell r="CN7" t="str">
            <v>T1</v>
          </cell>
          <cell r="CO7" t="str">
            <v>T2</v>
          </cell>
          <cell r="CP7" t="str">
            <v>GC</v>
          </cell>
          <cell r="CQ7" t="str">
            <v>T1</v>
          </cell>
          <cell r="CR7" t="str">
            <v>T2</v>
          </cell>
          <cell r="CS7" t="str">
            <v>GC</v>
          </cell>
          <cell r="CV7" t="str">
            <v>T1</v>
          </cell>
          <cell r="CW7" t="str">
            <v>T2</v>
          </cell>
          <cell r="CX7" t="str">
            <v>GC</v>
          </cell>
          <cell r="CY7" t="str">
            <v>T1</v>
          </cell>
          <cell r="CZ7" t="str">
            <v>T2</v>
          </cell>
          <cell r="DA7" t="str">
            <v>GC</v>
          </cell>
          <cell r="DB7" t="str">
            <v>T1</v>
          </cell>
          <cell r="DC7" t="str">
            <v>T2</v>
          </cell>
          <cell r="DD7" t="str">
            <v>GC</v>
          </cell>
          <cell r="DE7" t="str">
            <v>T1</v>
          </cell>
          <cell r="DF7" t="str">
            <v>T2</v>
          </cell>
          <cell r="DG7" t="str">
            <v>GC</v>
          </cell>
          <cell r="DH7" t="str">
            <v>T1</v>
          </cell>
          <cell r="DI7" t="str">
            <v>T2</v>
          </cell>
          <cell r="DJ7" t="str">
            <v>GC</v>
          </cell>
          <cell r="DK7" t="str">
            <v>T1</v>
          </cell>
          <cell r="DL7" t="str">
            <v>T2</v>
          </cell>
          <cell r="DM7" t="str">
            <v>GC</v>
          </cell>
          <cell r="DN7" t="str">
            <v>T1</v>
          </cell>
          <cell r="DO7" t="str">
            <v>T2</v>
          </cell>
          <cell r="DP7" t="str">
            <v>GC</v>
          </cell>
          <cell r="DQ7" t="str">
            <v>T1</v>
          </cell>
          <cell r="DR7" t="str">
            <v>T2</v>
          </cell>
          <cell r="DS7" t="str">
            <v>GC</v>
          </cell>
          <cell r="DT7" t="str">
            <v>T1</v>
          </cell>
          <cell r="DU7" t="str">
            <v>T2</v>
          </cell>
          <cell r="DV7" t="str">
            <v>GC</v>
          </cell>
          <cell r="DW7" t="str">
            <v>T1</v>
          </cell>
          <cell r="DX7" t="str">
            <v>T2</v>
          </cell>
          <cell r="DY7" t="str">
            <v>GC</v>
          </cell>
          <cell r="DZ7" t="str">
            <v>T1</v>
          </cell>
          <cell r="EA7" t="str">
            <v>T2</v>
          </cell>
          <cell r="EB7" t="str">
            <v>GC</v>
          </cell>
          <cell r="EC7" t="str">
            <v>T1</v>
          </cell>
          <cell r="ED7" t="str">
            <v>T2</v>
          </cell>
          <cell r="EE7" t="str">
            <v>GC</v>
          </cell>
          <cell r="EG7"/>
          <cell r="EH7"/>
          <cell r="EI7"/>
          <cell r="EJ7"/>
          <cell r="EK7"/>
          <cell r="EL7"/>
          <cell r="EM7"/>
          <cell r="EN7"/>
          <cell r="EO7"/>
          <cell r="EP7"/>
          <cell r="EQ7"/>
          <cell r="ER7"/>
          <cell r="ES7"/>
          <cell r="EU7"/>
          <cell r="EV7"/>
          <cell r="EW7"/>
          <cell r="EX7"/>
          <cell r="EY7"/>
          <cell r="EZ7"/>
          <cell r="FA7"/>
          <cell r="FB7"/>
          <cell r="FC7"/>
          <cell r="FD7"/>
          <cell r="FE7"/>
          <cell r="FF7"/>
          <cell r="FG7"/>
        </row>
        <row r="8">
          <cell r="C8" t="str">
            <v>RAM 700 SLT SINGLE CAB 1.3 MT</v>
          </cell>
          <cell r="D8" t="str">
            <v>RAM 700 SLT CS 1.3 MT5</v>
          </cell>
          <cell r="G8">
            <v>0.8</v>
          </cell>
          <cell r="H8">
            <v>0.8</v>
          </cell>
          <cell r="I8">
            <v>0.8</v>
          </cell>
          <cell r="J8">
            <v>0.65</v>
          </cell>
          <cell r="K8">
            <v>0.65</v>
          </cell>
          <cell r="L8">
            <v>0.65</v>
          </cell>
          <cell r="M8">
            <v>0.65</v>
          </cell>
          <cell r="N8">
            <v>0.65</v>
          </cell>
          <cell r="O8">
            <v>0.65</v>
          </cell>
          <cell r="P8">
            <v>0.65</v>
          </cell>
          <cell r="Q8">
            <v>0.65</v>
          </cell>
          <cell r="R8">
            <v>0.65</v>
          </cell>
          <cell r="U8">
            <v>0.6</v>
          </cell>
          <cell r="V8">
            <v>0.3</v>
          </cell>
          <cell r="W8">
            <v>0.1</v>
          </cell>
          <cell r="X8">
            <v>0</v>
          </cell>
          <cell r="Y8">
            <v>0</v>
          </cell>
          <cell r="Z8">
            <v>1</v>
          </cell>
          <cell r="AA8">
            <v>0.5</v>
          </cell>
          <cell r="AB8">
            <v>0.1</v>
          </cell>
          <cell r="AC8">
            <v>0.4</v>
          </cell>
          <cell r="AD8">
            <v>0.4</v>
          </cell>
          <cell r="AE8">
            <v>0.5</v>
          </cell>
          <cell r="AF8">
            <v>0.1</v>
          </cell>
          <cell r="AG8">
            <v>0.4</v>
          </cell>
          <cell r="AH8">
            <v>0.5</v>
          </cell>
          <cell r="AI8">
            <v>0.1</v>
          </cell>
          <cell r="AJ8">
            <v>0.4</v>
          </cell>
          <cell r="AK8">
            <v>0.5</v>
          </cell>
          <cell r="AL8">
            <v>0.1</v>
          </cell>
          <cell r="AM8">
            <v>0.6</v>
          </cell>
          <cell r="AN8">
            <v>0.3</v>
          </cell>
          <cell r="AO8">
            <v>0.1</v>
          </cell>
          <cell r="AP8">
            <v>0.6</v>
          </cell>
          <cell r="AQ8">
            <v>0.3</v>
          </cell>
          <cell r="AR8">
            <v>0.1</v>
          </cell>
          <cell r="AS8">
            <v>0.6</v>
          </cell>
          <cell r="AT8">
            <v>0.3</v>
          </cell>
          <cell r="AU8">
            <v>0.1</v>
          </cell>
          <cell r="AV8">
            <v>0.6</v>
          </cell>
          <cell r="AW8">
            <v>0.3</v>
          </cell>
          <cell r="AX8">
            <v>0.1</v>
          </cell>
          <cell r="AY8">
            <v>0.6</v>
          </cell>
          <cell r="AZ8">
            <v>0.3</v>
          </cell>
          <cell r="BA8">
            <v>0.1</v>
          </cell>
          <cell r="BB8">
            <v>0.6</v>
          </cell>
          <cell r="BC8">
            <v>0.3</v>
          </cell>
          <cell r="BD8">
            <v>0.1</v>
          </cell>
          <cell r="BG8">
            <v>0.12</v>
          </cell>
          <cell r="BH8">
            <v>0.14000000000000001</v>
          </cell>
          <cell r="BI8">
            <v>0.18</v>
          </cell>
          <cell r="BJ8">
            <v>0.12</v>
          </cell>
          <cell r="BK8">
            <v>0.14000000000000001</v>
          </cell>
          <cell r="BL8">
            <v>0.18</v>
          </cell>
          <cell r="BM8">
            <v>0.12</v>
          </cell>
          <cell r="BN8">
            <v>0.14000000000000001</v>
          </cell>
          <cell r="BO8">
            <v>0.18</v>
          </cell>
          <cell r="BP8">
            <v>0.12</v>
          </cell>
          <cell r="BQ8">
            <v>0.14000000000000001</v>
          </cell>
          <cell r="BR8">
            <v>0.18</v>
          </cell>
          <cell r="BS8">
            <v>0.12</v>
          </cell>
          <cell r="BT8">
            <v>0.14000000000000001</v>
          </cell>
          <cell r="BU8">
            <v>0.18</v>
          </cell>
          <cell r="BV8">
            <v>0.12</v>
          </cell>
          <cell r="BW8">
            <v>0.14000000000000001</v>
          </cell>
          <cell r="BX8">
            <v>0.18</v>
          </cell>
          <cell r="BY8">
            <v>0.12</v>
          </cell>
          <cell r="BZ8">
            <v>0.14000000000000001</v>
          </cell>
          <cell r="CA8">
            <v>0.18</v>
          </cell>
          <cell r="CB8">
            <v>0.12</v>
          </cell>
          <cell r="CC8">
            <v>0.14000000000000001</v>
          </cell>
          <cell r="CD8">
            <v>0.18</v>
          </cell>
          <cell r="CE8">
            <v>0.12</v>
          </cell>
          <cell r="CF8">
            <v>0.14000000000000001</v>
          </cell>
          <cell r="CG8">
            <v>0.18</v>
          </cell>
          <cell r="CH8">
            <v>0.12</v>
          </cell>
          <cell r="CI8">
            <v>0.14000000000000001</v>
          </cell>
          <cell r="CJ8">
            <v>0.18</v>
          </cell>
          <cell r="CK8">
            <v>0.12</v>
          </cell>
          <cell r="CL8">
            <v>0.14000000000000001</v>
          </cell>
          <cell r="CM8">
            <v>0.18</v>
          </cell>
          <cell r="CN8">
            <v>0.12</v>
          </cell>
          <cell r="CO8">
            <v>0.14000000000000001</v>
          </cell>
          <cell r="CP8">
            <v>0.18</v>
          </cell>
          <cell r="CQ8">
            <v>0.12</v>
          </cell>
          <cell r="CR8">
            <v>0.14000000000000001</v>
          </cell>
          <cell r="CS8">
            <v>0.18</v>
          </cell>
          <cell r="CV8">
            <v>5.5E-2</v>
          </cell>
          <cell r="CW8">
            <v>4.4999999999999998E-2</v>
          </cell>
          <cell r="CX8">
            <v>0.03</v>
          </cell>
          <cell r="CY8">
            <v>5.5E-2</v>
          </cell>
          <cell r="CZ8">
            <v>4.4999999999999998E-2</v>
          </cell>
          <cell r="DA8">
            <v>0.03</v>
          </cell>
          <cell r="DB8">
            <v>5.5E-2</v>
          </cell>
          <cell r="DC8">
            <v>4.4999999999999998E-2</v>
          </cell>
          <cell r="DD8">
            <v>0.03</v>
          </cell>
          <cell r="DE8">
            <v>5.5E-2</v>
          </cell>
          <cell r="DF8">
            <v>4.4999999999999998E-2</v>
          </cell>
          <cell r="DG8">
            <v>0.03</v>
          </cell>
          <cell r="DH8">
            <v>5.5E-2</v>
          </cell>
          <cell r="DI8">
            <v>4.4999999999999998E-2</v>
          </cell>
          <cell r="DJ8">
            <v>0.03</v>
          </cell>
          <cell r="DK8">
            <v>5.5E-2</v>
          </cell>
          <cell r="DL8">
            <v>4.4999999999999998E-2</v>
          </cell>
          <cell r="DM8">
            <v>0.03</v>
          </cell>
          <cell r="DN8">
            <v>5.5E-2</v>
          </cell>
          <cell r="DO8">
            <v>4.4999999999999998E-2</v>
          </cell>
          <cell r="DP8">
            <v>0.03</v>
          </cell>
          <cell r="DQ8">
            <v>5.5E-2</v>
          </cell>
          <cell r="DR8">
            <v>4.4999999999999998E-2</v>
          </cell>
          <cell r="DS8">
            <v>0.03</v>
          </cell>
          <cell r="DT8">
            <v>5.5E-2</v>
          </cell>
          <cell r="DU8">
            <v>4.4999999999999998E-2</v>
          </cell>
          <cell r="DV8">
            <v>0.03</v>
          </cell>
          <cell r="DW8">
            <v>5.5E-2</v>
          </cell>
          <cell r="DX8">
            <v>4.4999999999999998E-2</v>
          </cell>
          <cell r="DY8">
            <v>0.03</v>
          </cell>
          <cell r="DZ8">
            <v>5.5E-2</v>
          </cell>
          <cell r="EA8">
            <v>4.4999999999999998E-2</v>
          </cell>
          <cell r="EB8">
            <v>0.03</v>
          </cell>
          <cell r="EC8">
            <v>5.5E-2</v>
          </cell>
          <cell r="ED8">
            <v>4.4999999999999998E-2</v>
          </cell>
          <cell r="EE8">
            <v>0.03</v>
          </cell>
          <cell r="EG8">
            <v>0.10149999999999998</v>
          </cell>
          <cell r="EH8">
            <v>0.10149999999999998</v>
          </cell>
          <cell r="EI8">
            <v>0.13</v>
          </cell>
          <cell r="EJ8">
            <v>0.10999999999999999</v>
          </cell>
          <cell r="EK8">
            <v>0.10350000000000001</v>
          </cell>
          <cell r="EL8">
            <v>0.10350000000000001</v>
          </cell>
          <cell r="EM8">
            <v>0.10350000000000001</v>
          </cell>
          <cell r="EN8">
            <v>0.10149999999999998</v>
          </cell>
          <cell r="EO8">
            <v>0.10149999999999998</v>
          </cell>
          <cell r="EP8">
            <v>0.10149999999999998</v>
          </cell>
          <cell r="EQ8">
            <v>0.10149999999999998</v>
          </cell>
          <cell r="ER8">
            <v>0.10149999999999998</v>
          </cell>
          <cell r="ES8">
            <v>0.10149999999999998</v>
          </cell>
          <cell r="EU8">
            <v>0.13199999999999998</v>
          </cell>
          <cell r="EV8">
            <v>0.13199999999999998</v>
          </cell>
          <cell r="EW8">
            <v>0.18</v>
          </cell>
          <cell r="EX8">
            <v>0.14599999999999999</v>
          </cell>
          <cell r="EY8">
            <v>0.13600000000000001</v>
          </cell>
          <cell r="EZ8">
            <v>0.13600000000000001</v>
          </cell>
          <cell r="FA8">
            <v>0.13600000000000001</v>
          </cell>
          <cell r="FB8">
            <v>0.13199999999999998</v>
          </cell>
          <cell r="FC8">
            <v>0.13199999999999998</v>
          </cell>
          <cell r="FD8">
            <v>0.13199999999999998</v>
          </cell>
          <cell r="FE8">
            <v>0.13199999999999998</v>
          </cell>
          <cell r="FF8">
            <v>0.13199999999999998</v>
          </cell>
          <cell r="FG8">
            <v>0.13199999999999998</v>
          </cell>
        </row>
        <row r="9">
          <cell r="C9" t="str">
            <v>RAM 700 SLT CREW CAB 1.3 MT</v>
          </cell>
          <cell r="D9" t="str">
            <v>RAM 700 SLT CD 1.3 MT5</v>
          </cell>
          <cell r="G9">
            <v>0.8</v>
          </cell>
          <cell r="H9">
            <v>0.8</v>
          </cell>
          <cell r="I9">
            <v>0.8</v>
          </cell>
          <cell r="J9">
            <v>0.65</v>
          </cell>
          <cell r="K9">
            <v>0.65</v>
          </cell>
          <cell r="L9">
            <v>0.65</v>
          </cell>
          <cell r="M9">
            <v>0.65</v>
          </cell>
          <cell r="N9">
            <v>0.65</v>
          </cell>
          <cell r="O9">
            <v>0.65</v>
          </cell>
          <cell r="P9">
            <v>0.65</v>
          </cell>
          <cell r="Q9">
            <v>0.65</v>
          </cell>
          <cell r="R9">
            <v>0.65</v>
          </cell>
          <cell r="U9">
            <v>0.6</v>
          </cell>
          <cell r="V9">
            <v>0.3</v>
          </cell>
          <cell r="W9">
            <v>0.1</v>
          </cell>
          <cell r="X9">
            <v>0.1</v>
          </cell>
          <cell r="Y9">
            <v>0.1</v>
          </cell>
          <cell r="Z9">
            <v>0.8</v>
          </cell>
          <cell r="AA9">
            <v>0.5</v>
          </cell>
          <cell r="AB9">
            <v>0.1</v>
          </cell>
          <cell r="AC9">
            <v>0.4</v>
          </cell>
          <cell r="AD9">
            <v>0.4</v>
          </cell>
          <cell r="AE9">
            <v>0.4</v>
          </cell>
          <cell r="AF9">
            <v>0.2</v>
          </cell>
          <cell r="AG9">
            <v>0.4</v>
          </cell>
          <cell r="AH9">
            <v>0.5</v>
          </cell>
          <cell r="AI9">
            <v>0.1</v>
          </cell>
          <cell r="AJ9">
            <v>0.4</v>
          </cell>
          <cell r="AK9">
            <v>0.5</v>
          </cell>
          <cell r="AL9">
            <v>0.1</v>
          </cell>
          <cell r="AM9">
            <v>0.6</v>
          </cell>
          <cell r="AN9">
            <v>0.3</v>
          </cell>
          <cell r="AO9">
            <v>0.1</v>
          </cell>
          <cell r="AP9">
            <v>0.6</v>
          </cell>
          <cell r="AQ9">
            <v>0.3</v>
          </cell>
          <cell r="AR9">
            <v>0.1</v>
          </cell>
          <cell r="AS9">
            <v>0.6</v>
          </cell>
          <cell r="AT9">
            <v>0.3</v>
          </cell>
          <cell r="AU9">
            <v>0.1</v>
          </cell>
          <cell r="AV9">
            <v>0.6</v>
          </cell>
          <cell r="AW9">
            <v>0.3</v>
          </cell>
          <cell r="AX9">
            <v>0.1</v>
          </cell>
          <cell r="AY9">
            <v>0.6</v>
          </cell>
          <cell r="AZ9">
            <v>0.3</v>
          </cell>
          <cell r="BA9">
            <v>0.1</v>
          </cell>
          <cell r="BB9">
            <v>0.6</v>
          </cell>
          <cell r="BC9">
            <v>0.3</v>
          </cell>
          <cell r="BD9">
            <v>0.1</v>
          </cell>
          <cell r="BG9">
            <v>0.12</v>
          </cell>
          <cell r="BH9">
            <v>0.14000000000000001</v>
          </cell>
          <cell r="BI9">
            <v>0.18</v>
          </cell>
          <cell r="BJ9">
            <v>0.12</v>
          </cell>
          <cell r="BK9">
            <v>0.14000000000000001</v>
          </cell>
          <cell r="BL9">
            <v>0.18</v>
          </cell>
          <cell r="BM9">
            <v>0.12</v>
          </cell>
          <cell r="BN9">
            <v>0.14000000000000001</v>
          </cell>
          <cell r="BO9">
            <v>0.18</v>
          </cell>
          <cell r="BP9">
            <v>0.12</v>
          </cell>
          <cell r="BQ9">
            <v>0.14000000000000001</v>
          </cell>
          <cell r="BR9">
            <v>0.18</v>
          </cell>
          <cell r="BS9">
            <v>0.12</v>
          </cell>
          <cell r="BT9">
            <v>0.14000000000000001</v>
          </cell>
          <cell r="BU9">
            <v>0.18</v>
          </cell>
          <cell r="BV9">
            <v>0.12</v>
          </cell>
          <cell r="BW9">
            <v>0.14000000000000001</v>
          </cell>
          <cell r="BX9">
            <v>0.18</v>
          </cell>
          <cell r="BY9">
            <v>0.12</v>
          </cell>
          <cell r="BZ9">
            <v>0.14000000000000001</v>
          </cell>
          <cell r="CA9">
            <v>0.18</v>
          </cell>
          <cell r="CB9">
            <v>0.12</v>
          </cell>
          <cell r="CC9">
            <v>0.14000000000000001</v>
          </cell>
          <cell r="CD9">
            <v>0.18</v>
          </cell>
          <cell r="CE9">
            <v>0.12</v>
          </cell>
          <cell r="CF9">
            <v>0.14000000000000001</v>
          </cell>
          <cell r="CG9">
            <v>0.18</v>
          </cell>
          <cell r="CH9">
            <v>0.12</v>
          </cell>
          <cell r="CI9">
            <v>0.14000000000000001</v>
          </cell>
          <cell r="CJ9">
            <v>0.18</v>
          </cell>
          <cell r="CK9">
            <v>0.12</v>
          </cell>
          <cell r="CL9">
            <v>0.14000000000000001</v>
          </cell>
          <cell r="CM9">
            <v>0.18</v>
          </cell>
          <cell r="CN9">
            <v>0.12</v>
          </cell>
          <cell r="CO9">
            <v>0.14000000000000001</v>
          </cell>
          <cell r="CP9">
            <v>0.18</v>
          </cell>
          <cell r="CQ9">
            <v>0.12</v>
          </cell>
          <cell r="CR9">
            <v>0.14000000000000001</v>
          </cell>
          <cell r="CS9">
            <v>0.18</v>
          </cell>
          <cell r="CU9"/>
          <cell r="CV9">
            <v>5.5E-2</v>
          </cell>
          <cell r="CW9">
            <v>4.4999999999999998E-2</v>
          </cell>
          <cell r="CX9">
            <v>0.03</v>
          </cell>
          <cell r="CY9">
            <v>5.5E-2</v>
          </cell>
          <cell r="CZ9">
            <v>4.4999999999999998E-2</v>
          </cell>
          <cell r="DA9">
            <v>0.03</v>
          </cell>
          <cell r="DB9">
            <v>5.5E-2</v>
          </cell>
          <cell r="DC9">
            <v>4.4999999999999998E-2</v>
          </cell>
          <cell r="DD9">
            <v>0.03</v>
          </cell>
          <cell r="DE9">
            <v>5.5E-2</v>
          </cell>
          <cell r="DF9">
            <v>4.4999999999999998E-2</v>
          </cell>
          <cell r="DG9">
            <v>0.03</v>
          </cell>
          <cell r="DH9">
            <v>5.5E-2</v>
          </cell>
          <cell r="DI9">
            <v>4.4999999999999998E-2</v>
          </cell>
          <cell r="DJ9">
            <v>0.03</v>
          </cell>
          <cell r="DK9">
            <v>5.5E-2</v>
          </cell>
          <cell r="DL9">
            <v>4.4999999999999998E-2</v>
          </cell>
          <cell r="DM9">
            <v>0.03</v>
          </cell>
          <cell r="DN9">
            <v>5.5E-2</v>
          </cell>
          <cell r="DO9">
            <v>4.4999999999999998E-2</v>
          </cell>
          <cell r="DP9">
            <v>0.03</v>
          </cell>
          <cell r="DQ9">
            <v>5.5E-2</v>
          </cell>
          <cell r="DR9">
            <v>4.4999999999999998E-2</v>
          </cell>
          <cell r="DS9">
            <v>0.03</v>
          </cell>
          <cell r="DT9">
            <v>5.5E-2</v>
          </cell>
          <cell r="DU9">
            <v>4.4999999999999998E-2</v>
          </cell>
          <cell r="DV9">
            <v>0.03</v>
          </cell>
          <cell r="DW9">
            <v>5.5E-2</v>
          </cell>
          <cell r="DX9">
            <v>4.4999999999999998E-2</v>
          </cell>
          <cell r="DY9">
            <v>0.03</v>
          </cell>
          <cell r="DZ9">
            <v>5.5E-2</v>
          </cell>
          <cell r="EA9">
            <v>4.4999999999999998E-2</v>
          </cell>
          <cell r="EB9">
            <v>0.03</v>
          </cell>
          <cell r="EC9">
            <v>5.5E-2</v>
          </cell>
          <cell r="ED9">
            <v>4.4999999999999998E-2</v>
          </cell>
          <cell r="EE9">
            <v>0.03</v>
          </cell>
          <cell r="EG9">
            <v>0.10149999999999998</v>
          </cell>
          <cell r="EH9">
            <v>0.10149999999999998</v>
          </cell>
          <cell r="EI9">
            <v>0.12399999999999999</v>
          </cell>
          <cell r="EJ9">
            <v>0.10999999999999999</v>
          </cell>
          <cell r="EK9">
            <v>0.10600000000000001</v>
          </cell>
          <cell r="EL9">
            <v>0.10350000000000001</v>
          </cell>
          <cell r="EM9">
            <v>0.10350000000000001</v>
          </cell>
          <cell r="EN9">
            <v>0.10149999999999998</v>
          </cell>
          <cell r="EO9">
            <v>0.10149999999999998</v>
          </cell>
          <cell r="EP9">
            <v>0.10149999999999998</v>
          </cell>
          <cell r="EQ9">
            <v>0.10149999999999998</v>
          </cell>
          <cell r="ER9">
            <v>0.10149999999999998</v>
          </cell>
          <cell r="ES9">
            <v>0.10149999999999998</v>
          </cell>
          <cell r="EU9">
            <v>0.13199999999999998</v>
          </cell>
          <cell r="EV9">
            <v>0.13199999999999998</v>
          </cell>
          <cell r="EW9">
            <v>0.16999999999999998</v>
          </cell>
          <cell r="EX9">
            <v>0.14599999999999999</v>
          </cell>
          <cell r="EY9">
            <v>0.14000000000000001</v>
          </cell>
          <cell r="EZ9">
            <v>0.13600000000000001</v>
          </cell>
          <cell r="FA9">
            <v>0.13600000000000001</v>
          </cell>
          <cell r="FB9">
            <v>0.13199999999999998</v>
          </cell>
          <cell r="FC9">
            <v>0.13199999999999998</v>
          </cell>
          <cell r="FD9">
            <v>0.13199999999999998</v>
          </cell>
          <cell r="FE9">
            <v>0.13199999999999998</v>
          </cell>
          <cell r="FF9">
            <v>0.13199999999999998</v>
          </cell>
          <cell r="FG9">
            <v>0.13199999999999998</v>
          </cell>
        </row>
        <row r="10">
          <cell r="C10" t="str">
            <v>RAM 700 BIGHORN CREW CAB 1.3 MT</v>
          </cell>
          <cell r="D10" t="str">
            <v>RAM 700 BIGHORN CD 1.3 MT5</v>
          </cell>
          <cell r="G10">
            <v>0.8</v>
          </cell>
          <cell r="H10">
            <v>0.8</v>
          </cell>
          <cell r="I10">
            <v>0.8</v>
          </cell>
          <cell r="J10">
            <v>0.65</v>
          </cell>
          <cell r="K10">
            <v>0.65</v>
          </cell>
          <cell r="L10">
            <v>0.65</v>
          </cell>
          <cell r="M10">
            <v>0.65</v>
          </cell>
          <cell r="N10">
            <v>0.65</v>
          </cell>
          <cell r="O10">
            <v>0.65</v>
          </cell>
          <cell r="P10">
            <v>0.65</v>
          </cell>
          <cell r="Q10">
            <v>0.65</v>
          </cell>
          <cell r="R10">
            <v>0.65</v>
          </cell>
          <cell r="U10">
            <v>0.6</v>
          </cell>
          <cell r="V10">
            <v>0.3</v>
          </cell>
          <cell r="W10">
            <v>0.1</v>
          </cell>
          <cell r="X10">
            <v>0</v>
          </cell>
          <cell r="Y10">
            <v>0</v>
          </cell>
          <cell r="Z10">
            <v>1</v>
          </cell>
          <cell r="AA10">
            <v>0.5</v>
          </cell>
          <cell r="AB10">
            <v>0.1</v>
          </cell>
          <cell r="AC10">
            <v>0.4</v>
          </cell>
          <cell r="AD10">
            <v>0.4</v>
          </cell>
          <cell r="AE10">
            <v>0.4</v>
          </cell>
          <cell r="AF10">
            <v>0.2</v>
          </cell>
          <cell r="AG10">
            <v>0.4</v>
          </cell>
          <cell r="AH10">
            <v>0.5</v>
          </cell>
          <cell r="AI10">
            <v>0.1</v>
          </cell>
          <cell r="AJ10">
            <v>0.4</v>
          </cell>
          <cell r="AK10">
            <v>0.5</v>
          </cell>
          <cell r="AL10">
            <v>0.1</v>
          </cell>
          <cell r="AM10">
            <v>0.6</v>
          </cell>
          <cell r="AN10">
            <v>0.3</v>
          </cell>
          <cell r="AO10">
            <v>0.1</v>
          </cell>
          <cell r="AP10">
            <v>0.6</v>
          </cell>
          <cell r="AQ10">
            <v>0.3</v>
          </cell>
          <cell r="AR10">
            <v>0.1</v>
          </cell>
          <cell r="AS10">
            <v>0.6</v>
          </cell>
          <cell r="AT10">
            <v>0.3</v>
          </cell>
          <cell r="AU10">
            <v>0.1</v>
          </cell>
          <cell r="AV10">
            <v>0.6</v>
          </cell>
          <cell r="AW10">
            <v>0.3</v>
          </cell>
          <cell r="AX10">
            <v>0.1</v>
          </cell>
          <cell r="AY10">
            <v>0.6</v>
          </cell>
          <cell r="AZ10">
            <v>0.3</v>
          </cell>
          <cell r="BA10">
            <v>0.1</v>
          </cell>
          <cell r="BB10">
            <v>0.6</v>
          </cell>
          <cell r="BC10">
            <v>0.3</v>
          </cell>
          <cell r="BD10">
            <v>0.1</v>
          </cell>
          <cell r="BG10">
            <v>0.12</v>
          </cell>
          <cell r="BH10">
            <v>0.14000000000000001</v>
          </cell>
          <cell r="BI10">
            <v>0.18</v>
          </cell>
          <cell r="BJ10">
            <v>0.12</v>
          </cell>
          <cell r="BK10">
            <v>0.14000000000000001</v>
          </cell>
          <cell r="BL10">
            <v>0.18</v>
          </cell>
          <cell r="BM10">
            <v>0.12</v>
          </cell>
          <cell r="BN10">
            <v>0.14000000000000001</v>
          </cell>
          <cell r="BO10">
            <v>0.18</v>
          </cell>
          <cell r="BP10">
            <v>0.12</v>
          </cell>
          <cell r="BQ10">
            <v>0.14000000000000001</v>
          </cell>
          <cell r="BR10">
            <v>0.18</v>
          </cell>
          <cell r="BS10">
            <v>0.12</v>
          </cell>
          <cell r="BT10">
            <v>0.14000000000000001</v>
          </cell>
          <cell r="BU10">
            <v>0.18</v>
          </cell>
          <cell r="BV10">
            <v>0.12</v>
          </cell>
          <cell r="BW10">
            <v>0.14000000000000001</v>
          </cell>
          <cell r="BX10">
            <v>0.18</v>
          </cell>
          <cell r="BY10">
            <v>0.12</v>
          </cell>
          <cell r="BZ10">
            <v>0.14000000000000001</v>
          </cell>
          <cell r="CA10">
            <v>0.18</v>
          </cell>
          <cell r="CB10">
            <v>0.12</v>
          </cell>
          <cell r="CC10">
            <v>0.14000000000000001</v>
          </cell>
          <cell r="CD10">
            <v>0.18</v>
          </cell>
          <cell r="CE10">
            <v>0.12</v>
          </cell>
          <cell r="CF10">
            <v>0.14000000000000001</v>
          </cell>
          <cell r="CG10">
            <v>0.18</v>
          </cell>
          <cell r="CH10">
            <v>0.12</v>
          </cell>
          <cell r="CI10">
            <v>0.14000000000000001</v>
          </cell>
          <cell r="CJ10">
            <v>0.18</v>
          </cell>
          <cell r="CK10">
            <v>0.12</v>
          </cell>
          <cell r="CL10">
            <v>0.14000000000000001</v>
          </cell>
          <cell r="CM10">
            <v>0.18</v>
          </cell>
          <cell r="CN10">
            <v>0.12</v>
          </cell>
          <cell r="CO10">
            <v>0.14000000000000001</v>
          </cell>
          <cell r="CP10">
            <v>0.18</v>
          </cell>
          <cell r="CQ10">
            <v>0.12</v>
          </cell>
          <cell r="CR10">
            <v>0.14000000000000001</v>
          </cell>
          <cell r="CS10">
            <v>0.18</v>
          </cell>
          <cell r="CU10"/>
          <cell r="CV10">
            <v>5.5E-2</v>
          </cell>
          <cell r="CW10">
            <v>4.4999999999999998E-2</v>
          </cell>
          <cell r="CX10">
            <v>0.03</v>
          </cell>
          <cell r="CY10">
            <v>5.5E-2</v>
          </cell>
          <cell r="CZ10">
            <v>4.4999999999999998E-2</v>
          </cell>
          <cell r="DA10">
            <v>0.03</v>
          </cell>
          <cell r="DB10">
            <v>5.5E-2</v>
          </cell>
          <cell r="DC10">
            <v>4.4999999999999998E-2</v>
          </cell>
          <cell r="DD10">
            <v>0.03</v>
          </cell>
          <cell r="DE10">
            <v>5.5E-2</v>
          </cell>
          <cell r="DF10">
            <v>4.4999999999999998E-2</v>
          </cell>
          <cell r="DG10">
            <v>0.03</v>
          </cell>
          <cell r="DH10">
            <v>5.5E-2</v>
          </cell>
          <cell r="DI10">
            <v>4.4999999999999998E-2</v>
          </cell>
          <cell r="DJ10">
            <v>0.03</v>
          </cell>
          <cell r="DK10">
            <v>5.5E-2</v>
          </cell>
          <cell r="DL10">
            <v>4.4999999999999998E-2</v>
          </cell>
          <cell r="DM10">
            <v>0.03</v>
          </cell>
          <cell r="DN10">
            <v>5.5E-2</v>
          </cell>
          <cell r="DO10">
            <v>4.4999999999999998E-2</v>
          </cell>
          <cell r="DP10">
            <v>0.03</v>
          </cell>
          <cell r="DQ10">
            <v>5.5E-2</v>
          </cell>
          <cell r="DR10">
            <v>4.4999999999999998E-2</v>
          </cell>
          <cell r="DS10">
            <v>0.03</v>
          </cell>
          <cell r="DT10">
            <v>5.5E-2</v>
          </cell>
          <cell r="DU10">
            <v>4.4999999999999998E-2</v>
          </cell>
          <cell r="DV10">
            <v>0.03</v>
          </cell>
          <cell r="DW10">
            <v>5.5E-2</v>
          </cell>
          <cell r="DX10">
            <v>4.4999999999999998E-2</v>
          </cell>
          <cell r="DY10">
            <v>0.03</v>
          </cell>
          <cell r="DZ10">
            <v>5.5E-2</v>
          </cell>
          <cell r="EA10">
            <v>4.4999999999999998E-2</v>
          </cell>
          <cell r="EB10">
            <v>0.03</v>
          </cell>
          <cell r="EC10">
            <v>5.5E-2</v>
          </cell>
          <cell r="ED10">
            <v>4.4999999999999998E-2</v>
          </cell>
          <cell r="EE10">
            <v>0.03</v>
          </cell>
          <cell r="EG10">
            <v>0.10149999999999998</v>
          </cell>
          <cell r="EH10">
            <v>0.10149999999999998</v>
          </cell>
          <cell r="EI10">
            <v>0.13</v>
          </cell>
          <cell r="EJ10">
            <v>0.10999999999999999</v>
          </cell>
          <cell r="EK10">
            <v>0.10600000000000001</v>
          </cell>
          <cell r="EL10">
            <v>0.10350000000000001</v>
          </cell>
          <cell r="EM10">
            <v>0.10350000000000001</v>
          </cell>
          <cell r="EN10">
            <v>0.10149999999999998</v>
          </cell>
          <cell r="EO10">
            <v>0.10149999999999998</v>
          </cell>
          <cell r="EP10">
            <v>0.10149999999999998</v>
          </cell>
          <cell r="EQ10">
            <v>0.10149999999999998</v>
          </cell>
          <cell r="ER10">
            <v>0.10149999999999998</v>
          </cell>
          <cell r="ES10">
            <v>0.10149999999999998</v>
          </cell>
          <cell r="EU10">
            <v>0.13199999999999998</v>
          </cell>
          <cell r="EV10">
            <v>0.13199999999999998</v>
          </cell>
          <cell r="EW10">
            <v>0.18</v>
          </cell>
          <cell r="EX10">
            <v>0.14599999999999999</v>
          </cell>
          <cell r="EY10">
            <v>0.14000000000000001</v>
          </cell>
          <cell r="EZ10">
            <v>0.13600000000000001</v>
          </cell>
          <cell r="FA10">
            <v>0.13600000000000001</v>
          </cell>
          <cell r="FB10">
            <v>0.13199999999999998</v>
          </cell>
          <cell r="FC10">
            <v>0.13199999999999998</v>
          </cell>
          <cell r="FD10">
            <v>0.13199999999999998</v>
          </cell>
          <cell r="FE10">
            <v>0.13199999999999998</v>
          </cell>
          <cell r="FF10">
            <v>0.13199999999999998</v>
          </cell>
          <cell r="FG10">
            <v>0.13199999999999998</v>
          </cell>
        </row>
        <row r="11">
          <cell r="C11" t="str">
            <v>RAM 700 BIGHORN CREW CAB 1.3 CVT</v>
          </cell>
          <cell r="D11" t="str">
            <v>RAM 700 BIGHORN CD 1.3 CVT</v>
          </cell>
          <cell r="G11">
            <v>0.8</v>
          </cell>
          <cell r="H11">
            <v>0.8</v>
          </cell>
          <cell r="I11">
            <v>0.8</v>
          </cell>
          <cell r="J11">
            <v>0.65</v>
          </cell>
          <cell r="K11">
            <v>0.65</v>
          </cell>
          <cell r="L11">
            <v>0.65</v>
          </cell>
          <cell r="M11">
            <v>0.65</v>
          </cell>
          <cell r="N11">
            <v>0.65</v>
          </cell>
          <cell r="O11">
            <v>0.65</v>
          </cell>
          <cell r="P11">
            <v>0.65</v>
          </cell>
          <cell r="Q11">
            <v>0.65</v>
          </cell>
          <cell r="R11">
            <v>0.65</v>
          </cell>
          <cell r="U11">
            <v>0.6</v>
          </cell>
          <cell r="V11">
            <v>0.3</v>
          </cell>
          <cell r="W11">
            <v>0.1</v>
          </cell>
          <cell r="X11">
            <v>0.6</v>
          </cell>
          <cell r="Y11">
            <v>0.3</v>
          </cell>
          <cell r="Z11">
            <v>0.1</v>
          </cell>
          <cell r="AA11">
            <v>0.5</v>
          </cell>
          <cell r="AB11">
            <v>0.1</v>
          </cell>
          <cell r="AC11">
            <v>0.4</v>
          </cell>
          <cell r="AD11">
            <v>0.4</v>
          </cell>
          <cell r="AE11">
            <v>0.4</v>
          </cell>
          <cell r="AF11">
            <v>0.1</v>
          </cell>
          <cell r="AG11">
            <v>0.4</v>
          </cell>
          <cell r="AH11">
            <v>0.5</v>
          </cell>
          <cell r="AI11">
            <v>0.1</v>
          </cell>
          <cell r="AJ11">
            <v>0.4</v>
          </cell>
          <cell r="AK11">
            <v>0.5</v>
          </cell>
          <cell r="AL11">
            <v>0.1</v>
          </cell>
          <cell r="AM11">
            <v>0.6</v>
          </cell>
          <cell r="AN11">
            <v>0.3</v>
          </cell>
          <cell r="AO11">
            <v>0.1</v>
          </cell>
          <cell r="AP11">
            <v>0.6</v>
          </cell>
          <cell r="AQ11">
            <v>0.3</v>
          </cell>
          <cell r="AR11">
            <v>0.1</v>
          </cell>
          <cell r="AS11">
            <v>0.6</v>
          </cell>
          <cell r="AT11">
            <v>0.3</v>
          </cell>
          <cell r="AU11">
            <v>0.1</v>
          </cell>
          <cell r="AV11">
            <v>0.6</v>
          </cell>
          <cell r="AW11">
            <v>0.3</v>
          </cell>
          <cell r="AX11">
            <v>0.1</v>
          </cell>
          <cell r="AY11">
            <v>0.6</v>
          </cell>
          <cell r="AZ11">
            <v>0.3</v>
          </cell>
          <cell r="BA11">
            <v>0.1</v>
          </cell>
          <cell r="BB11">
            <v>0.6</v>
          </cell>
          <cell r="BC11">
            <v>0.3</v>
          </cell>
          <cell r="BD11">
            <v>0.1</v>
          </cell>
          <cell r="BG11">
            <v>0.12</v>
          </cell>
          <cell r="BH11">
            <v>0.14000000000000001</v>
          </cell>
          <cell r="BI11">
            <v>0.18</v>
          </cell>
          <cell r="BJ11">
            <v>0.12</v>
          </cell>
          <cell r="BK11">
            <v>0.14000000000000001</v>
          </cell>
          <cell r="BL11">
            <v>0.18</v>
          </cell>
          <cell r="BM11">
            <v>0.12</v>
          </cell>
          <cell r="BN11">
            <v>0.14000000000000001</v>
          </cell>
          <cell r="BO11">
            <v>0.18</v>
          </cell>
          <cell r="BP11">
            <v>0.12</v>
          </cell>
          <cell r="BQ11">
            <v>0.14000000000000001</v>
          </cell>
          <cell r="BR11">
            <v>0.18</v>
          </cell>
          <cell r="BS11">
            <v>0.12</v>
          </cell>
          <cell r="BT11">
            <v>0.14000000000000001</v>
          </cell>
          <cell r="BU11">
            <v>0.18</v>
          </cell>
          <cell r="BV11">
            <v>0.12</v>
          </cell>
          <cell r="BW11">
            <v>0.14000000000000001</v>
          </cell>
          <cell r="BX11">
            <v>0.18</v>
          </cell>
          <cell r="BY11">
            <v>0.12</v>
          </cell>
          <cell r="BZ11">
            <v>0.14000000000000001</v>
          </cell>
          <cell r="CA11">
            <v>0.18</v>
          </cell>
          <cell r="CB11">
            <v>0.12</v>
          </cell>
          <cell r="CC11">
            <v>0.14000000000000001</v>
          </cell>
          <cell r="CD11">
            <v>0.18</v>
          </cell>
          <cell r="CE11">
            <v>0.12</v>
          </cell>
          <cell r="CF11">
            <v>0.14000000000000001</v>
          </cell>
          <cell r="CG11">
            <v>0.18</v>
          </cell>
          <cell r="CH11">
            <v>0.12</v>
          </cell>
          <cell r="CI11">
            <v>0.14000000000000001</v>
          </cell>
          <cell r="CJ11">
            <v>0.18</v>
          </cell>
          <cell r="CK11">
            <v>0.12</v>
          </cell>
          <cell r="CL11">
            <v>0.14000000000000001</v>
          </cell>
          <cell r="CM11">
            <v>0.18</v>
          </cell>
          <cell r="CN11">
            <v>0.12</v>
          </cell>
          <cell r="CO11">
            <v>0.14000000000000001</v>
          </cell>
          <cell r="CP11">
            <v>0.18</v>
          </cell>
          <cell r="CQ11">
            <v>0.12</v>
          </cell>
          <cell r="CR11">
            <v>0.14000000000000001</v>
          </cell>
          <cell r="CS11">
            <v>0.18</v>
          </cell>
          <cell r="CU11"/>
          <cell r="CV11">
            <v>5.5E-2</v>
          </cell>
          <cell r="CW11">
            <v>4.4999999999999998E-2</v>
          </cell>
          <cell r="CX11">
            <v>0.03</v>
          </cell>
          <cell r="CY11">
            <v>5.5E-2</v>
          </cell>
          <cell r="CZ11">
            <v>4.4999999999999998E-2</v>
          </cell>
          <cell r="DA11">
            <v>0.03</v>
          </cell>
          <cell r="DB11">
            <v>5.5E-2</v>
          </cell>
          <cell r="DC11">
            <v>4.4999999999999998E-2</v>
          </cell>
          <cell r="DD11">
            <v>0.03</v>
          </cell>
          <cell r="DE11">
            <v>5.5E-2</v>
          </cell>
          <cell r="DF11">
            <v>4.4999999999999998E-2</v>
          </cell>
          <cell r="DG11">
            <v>0.03</v>
          </cell>
          <cell r="DH11">
            <v>5.5E-2</v>
          </cell>
          <cell r="DI11">
            <v>4.4999999999999998E-2</v>
          </cell>
          <cell r="DJ11">
            <v>0.03</v>
          </cell>
          <cell r="DK11">
            <v>5.5E-2</v>
          </cell>
          <cell r="DL11">
            <v>4.4999999999999998E-2</v>
          </cell>
          <cell r="DM11">
            <v>0.03</v>
          </cell>
          <cell r="DN11">
            <v>5.5E-2</v>
          </cell>
          <cell r="DO11">
            <v>4.4999999999999998E-2</v>
          </cell>
          <cell r="DP11">
            <v>0.03</v>
          </cell>
          <cell r="DQ11">
            <v>5.5E-2</v>
          </cell>
          <cell r="DR11">
            <v>4.4999999999999998E-2</v>
          </cell>
          <cell r="DS11">
            <v>0.03</v>
          </cell>
          <cell r="DT11">
            <v>5.5E-2</v>
          </cell>
          <cell r="DU11">
            <v>4.4999999999999998E-2</v>
          </cell>
          <cell r="DV11">
            <v>0.03</v>
          </cell>
          <cell r="DW11">
            <v>5.5E-2</v>
          </cell>
          <cell r="DX11">
            <v>4.4999999999999998E-2</v>
          </cell>
          <cell r="DY11">
            <v>0.03</v>
          </cell>
          <cell r="DZ11">
            <v>5.5E-2</v>
          </cell>
          <cell r="EA11">
            <v>4.4999999999999998E-2</v>
          </cell>
          <cell r="EB11">
            <v>0.03</v>
          </cell>
          <cell r="EC11">
            <v>5.5E-2</v>
          </cell>
          <cell r="ED11">
            <v>4.4999999999999998E-2</v>
          </cell>
          <cell r="EE11">
            <v>0.03</v>
          </cell>
          <cell r="EG11">
            <v>0.10149999999999998</v>
          </cell>
          <cell r="EH11">
            <v>0.10149999999999998</v>
          </cell>
          <cell r="EI11">
            <v>0.10149999999999998</v>
          </cell>
          <cell r="EJ11">
            <v>0.10999999999999999</v>
          </cell>
          <cell r="EK11">
            <v>8.500000000000002E-2</v>
          </cell>
          <cell r="EL11">
            <v>0.10350000000000001</v>
          </cell>
          <cell r="EM11">
            <v>0.10350000000000001</v>
          </cell>
          <cell r="EN11">
            <v>0.10149999999999998</v>
          </cell>
          <cell r="EO11">
            <v>0.10149999999999998</v>
          </cell>
          <cell r="EP11">
            <v>0.10149999999999998</v>
          </cell>
          <cell r="EQ11">
            <v>0.10149999999999998</v>
          </cell>
          <cell r="ER11">
            <v>0.10149999999999998</v>
          </cell>
          <cell r="ES11">
            <v>0.10149999999999998</v>
          </cell>
          <cell r="EU11">
            <v>0.13199999999999998</v>
          </cell>
          <cell r="EV11">
            <v>0.13199999999999998</v>
          </cell>
          <cell r="EW11">
            <v>0.13199999999999998</v>
          </cell>
          <cell r="EX11">
            <v>0.14599999999999999</v>
          </cell>
          <cell r="EY11">
            <v>0.12200000000000001</v>
          </cell>
          <cell r="EZ11">
            <v>0.13600000000000001</v>
          </cell>
          <cell r="FA11">
            <v>0.13600000000000001</v>
          </cell>
          <cell r="FB11">
            <v>0.13199999999999998</v>
          </cell>
          <cell r="FC11">
            <v>0.13199999999999998</v>
          </cell>
          <cell r="FD11">
            <v>0.13199999999999998</v>
          </cell>
          <cell r="FE11">
            <v>0.13199999999999998</v>
          </cell>
          <cell r="FF11">
            <v>0.13199999999999998</v>
          </cell>
          <cell r="FG11">
            <v>0.13199999999999998</v>
          </cell>
        </row>
        <row r="12">
          <cell r="C12" t="str">
            <v>RAM 700 LARAMIE CREW CAB 1.0T CVT</v>
          </cell>
          <cell r="D12" t="str">
            <v>RAM 700 LARAMIE CD 1.0T CVT</v>
          </cell>
          <cell r="G12">
            <v>0.8</v>
          </cell>
          <cell r="H12">
            <v>0.8</v>
          </cell>
          <cell r="I12">
            <v>0.8</v>
          </cell>
          <cell r="J12">
            <v>0.65</v>
          </cell>
          <cell r="K12">
            <v>0.65</v>
          </cell>
          <cell r="L12">
            <v>0.65</v>
          </cell>
          <cell r="M12">
            <v>0.65</v>
          </cell>
          <cell r="N12">
            <v>0.65</v>
          </cell>
          <cell r="O12">
            <v>0.65</v>
          </cell>
          <cell r="P12">
            <v>0.65</v>
          </cell>
          <cell r="Q12">
            <v>0.65</v>
          </cell>
          <cell r="R12">
            <v>0.65</v>
          </cell>
          <cell r="U12">
            <v>0.6</v>
          </cell>
          <cell r="V12">
            <v>0.3</v>
          </cell>
          <cell r="W12">
            <v>0.1</v>
          </cell>
          <cell r="X12">
            <v>0.6</v>
          </cell>
          <cell r="Y12">
            <v>0.3</v>
          </cell>
          <cell r="Z12">
            <v>0.1</v>
          </cell>
          <cell r="AA12">
            <v>0.5</v>
          </cell>
          <cell r="AB12">
            <v>0.1</v>
          </cell>
          <cell r="AC12">
            <v>0.4</v>
          </cell>
          <cell r="AD12">
            <v>0.4</v>
          </cell>
          <cell r="AE12">
            <v>0.4</v>
          </cell>
          <cell r="AF12">
            <v>0.1</v>
          </cell>
          <cell r="AG12">
            <v>0.4</v>
          </cell>
          <cell r="AH12">
            <v>0.5</v>
          </cell>
          <cell r="AI12">
            <v>0.1</v>
          </cell>
          <cell r="AJ12">
            <v>0.4</v>
          </cell>
          <cell r="AK12">
            <v>0.5</v>
          </cell>
          <cell r="AL12">
            <v>0.1</v>
          </cell>
          <cell r="AM12">
            <v>0.6</v>
          </cell>
          <cell r="AN12">
            <v>0.3</v>
          </cell>
          <cell r="AO12">
            <v>0.1</v>
          </cell>
          <cell r="AP12">
            <v>0.6</v>
          </cell>
          <cell r="AQ12">
            <v>0.3</v>
          </cell>
          <cell r="AR12">
            <v>0.1</v>
          </cell>
          <cell r="AS12">
            <v>0.6</v>
          </cell>
          <cell r="AT12">
            <v>0.3</v>
          </cell>
          <cell r="AU12">
            <v>0.1</v>
          </cell>
          <cell r="AV12">
            <v>0.6</v>
          </cell>
          <cell r="AW12">
            <v>0.3</v>
          </cell>
          <cell r="AX12">
            <v>0.1</v>
          </cell>
          <cell r="AY12">
            <v>0.6</v>
          </cell>
          <cell r="AZ12">
            <v>0.3</v>
          </cell>
          <cell r="BA12">
            <v>0.1</v>
          </cell>
          <cell r="BB12">
            <v>0.6</v>
          </cell>
          <cell r="BC12">
            <v>0.3</v>
          </cell>
          <cell r="BD12">
            <v>0.1</v>
          </cell>
          <cell r="BG12">
            <v>0.12</v>
          </cell>
          <cell r="BH12">
            <v>0.14000000000000001</v>
          </cell>
          <cell r="BI12">
            <v>0.18</v>
          </cell>
          <cell r="BJ12">
            <v>0.12</v>
          </cell>
          <cell r="BK12">
            <v>0.14000000000000001</v>
          </cell>
          <cell r="BL12">
            <v>0.18</v>
          </cell>
          <cell r="BM12">
            <v>0.12</v>
          </cell>
          <cell r="BN12">
            <v>0.14000000000000001</v>
          </cell>
          <cell r="BO12">
            <v>0.18</v>
          </cell>
          <cell r="BP12">
            <v>0.12</v>
          </cell>
          <cell r="BQ12">
            <v>0.14000000000000001</v>
          </cell>
          <cell r="BR12">
            <v>0.18</v>
          </cell>
          <cell r="BS12">
            <v>0.12</v>
          </cell>
          <cell r="BT12">
            <v>0.14000000000000001</v>
          </cell>
          <cell r="BU12">
            <v>0.18</v>
          </cell>
          <cell r="BV12">
            <v>0.12</v>
          </cell>
          <cell r="BW12">
            <v>0.14000000000000001</v>
          </cell>
          <cell r="BX12">
            <v>0.18</v>
          </cell>
          <cell r="BY12">
            <v>0.12</v>
          </cell>
          <cell r="BZ12">
            <v>0.14000000000000001</v>
          </cell>
          <cell r="CA12">
            <v>0.18</v>
          </cell>
          <cell r="CB12">
            <v>0.12</v>
          </cell>
          <cell r="CC12">
            <v>0.14000000000000001</v>
          </cell>
          <cell r="CD12">
            <v>0.18</v>
          </cell>
          <cell r="CE12">
            <v>0.12</v>
          </cell>
          <cell r="CF12">
            <v>0.14000000000000001</v>
          </cell>
          <cell r="CG12">
            <v>0.18</v>
          </cell>
          <cell r="CH12">
            <v>0.12</v>
          </cell>
          <cell r="CI12">
            <v>0.14000000000000001</v>
          </cell>
          <cell r="CJ12">
            <v>0.18</v>
          </cell>
          <cell r="CK12">
            <v>0.12</v>
          </cell>
          <cell r="CL12">
            <v>0.14000000000000001</v>
          </cell>
          <cell r="CM12">
            <v>0.18</v>
          </cell>
          <cell r="CN12">
            <v>0.12</v>
          </cell>
          <cell r="CO12">
            <v>0.14000000000000001</v>
          </cell>
          <cell r="CP12">
            <v>0.18</v>
          </cell>
          <cell r="CQ12">
            <v>0.12</v>
          </cell>
          <cell r="CR12">
            <v>0.14000000000000001</v>
          </cell>
          <cell r="CS12">
            <v>0.18</v>
          </cell>
          <cell r="CV12">
            <v>5.5E-2</v>
          </cell>
          <cell r="CW12">
            <v>4.4999999999999998E-2</v>
          </cell>
          <cell r="CX12">
            <v>0.03</v>
          </cell>
          <cell r="CY12">
            <v>5.5E-2</v>
          </cell>
          <cell r="CZ12">
            <v>4.4999999999999998E-2</v>
          </cell>
          <cell r="DA12">
            <v>0.03</v>
          </cell>
          <cell r="DB12">
            <v>5.5E-2</v>
          </cell>
          <cell r="DC12">
            <v>4.4999999999999998E-2</v>
          </cell>
          <cell r="DD12">
            <v>0.03</v>
          </cell>
          <cell r="DE12">
            <v>5.5E-2</v>
          </cell>
          <cell r="DF12">
            <v>4.4999999999999998E-2</v>
          </cell>
          <cell r="DG12">
            <v>0.03</v>
          </cell>
          <cell r="DH12">
            <v>5.5E-2</v>
          </cell>
          <cell r="DI12">
            <v>4.4999999999999998E-2</v>
          </cell>
          <cell r="DJ12">
            <v>0.03</v>
          </cell>
          <cell r="DK12">
            <v>5.5E-2</v>
          </cell>
          <cell r="DL12">
            <v>4.4999999999999998E-2</v>
          </cell>
          <cell r="DM12">
            <v>0.03</v>
          </cell>
          <cell r="DN12">
            <v>5.5E-2</v>
          </cell>
          <cell r="DO12">
            <v>4.4999999999999998E-2</v>
          </cell>
          <cell r="DP12">
            <v>0.03</v>
          </cell>
          <cell r="DQ12">
            <v>5.5E-2</v>
          </cell>
          <cell r="DR12">
            <v>4.4999999999999998E-2</v>
          </cell>
          <cell r="DS12">
            <v>0.03</v>
          </cell>
          <cell r="DT12">
            <v>5.5E-2</v>
          </cell>
          <cell r="DU12">
            <v>4.4999999999999998E-2</v>
          </cell>
          <cell r="DV12">
            <v>0.03</v>
          </cell>
          <cell r="DW12">
            <v>5.5E-2</v>
          </cell>
          <cell r="DX12">
            <v>4.4999999999999998E-2</v>
          </cell>
          <cell r="DY12">
            <v>0.03</v>
          </cell>
          <cell r="DZ12">
            <v>5.5E-2</v>
          </cell>
          <cell r="EA12">
            <v>4.4999999999999998E-2</v>
          </cell>
          <cell r="EB12">
            <v>0.03</v>
          </cell>
          <cell r="EC12">
            <v>5.5E-2</v>
          </cell>
          <cell r="ED12">
            <v>4.4999999999999998E-2</v>
          </cell>
          <cell r="EE12">
            <v>0.03</v>
          </cell>
          <cell r="EG12">
            <v>0.10149999999999998</v>
          </cell>
          <cell r="EH12">
            <v>0.10149999999999998</v>
          </cell>
          <cell r="EI12">
            <v>0.10149999999999998</v>
          </cell>
          <cell r="EJ12">
            <v>0.10999999999999999</v>
          </cell>
          <cell r="EK12">
            <v>8.500000000000002E-2</v>
          </cell>
          <cell r="EL12">
            <v>0.10350000000000001</v>
          </cell>
          <cell r="EM12">
            <v>0.10350000000000001</v>
          </cell>
          <cell r="EN12">
            <v>0.10149999999999998</v>
          </cell>
          <cell r="EO12">
            <v>0.10149999999999998</v>
          </cell>
          <cell r="EP12">
            <v>0.10149999999999998</v>
          </cell>
          <cell r="EQ12">
            <v>0.10149999999999998</v>
          </cell>
          <cell r="ER12">
            <v>0.10149999999999998</v>
          </cell>
          <cell r="ES12">
            <v>0.10149999999999998</v>
          </cell>
          <cell r="EU12">
            <v>0.13199999999999998</v>
          </cell>
          <cell r="EV12">
            <v>0.13199999999999998</v>
          </cell>
          <cell r="EW12">
            <v>0.13199999999999998</v>
          </cell>
          <cell r="EX12">
            <v>0.14599999999999999</v>
          </cell>
          <cell r="EY12">
            <v>0.12200000000000001</v>
          </cell>
          <cell r="EZ12">
            <v>0.13600000000000001</v>
          </cell>
          <cell r="FA12">
            <v>0.13600000000000001</v>
          </cell>
          <cell r="FB12">
            <v>0.13199999999999998</v>
          </cell>
          <cell r="FC12">
            <v>0.13199999999999998</v>
          </cell>
          <cell r="FD12">
            <v>0.13199999999999998</v>
          </cell>
          <cell r="FE12">
            <v>0.13199999999999998</v>
          </cell>
          <cell r="FF12">
            <v>0.13199999999999998</v>
          </cell>
          <cell r="FG12">
            <v>0.13199999999999998</v>
          </cell>
        </row>
        <row r="13">
          <cell r="C13"/>
          <cell r="D13" t="str">
            <v/>
          </cell>
          <cell r="G13">
            <v>0.8</v>
          </cell>
          <cell r="H13">
            <v>0.8</v>
          </cell>
          <cell r="I13">
            <v>0.8</v>
          </cell>
          <cell r="J13">
            <v>0.65</v>
          </cell>
          <cell r="K13">
            <v>0.65</v>
          </cell>
          <cell r="L13">
            <v>0.65</v>
          </cell>
          <cell r="M13">
            <v>0.65</v>
          </cell>
          <cell r="N13">
            <v>0.65</v>
          </cell>
          <cell r="O13">
            <v>0.65</v>
          </cell>
          <cell r="P13">
            <v>0.65</v>
          </cell>
          <cell r="Q13">
            <v>0.65</v>
          </cell>
          <cell r="R13">
            <v>0.65</v>
          </cell>
          <cell r="U13">
            <v>0.6</v>
          </cell>
          <cell r="V13">
            <v>0.3</v>
          </cell>
          <cell r="W13">
            <v>0.1</v>
          </cell>
          <cell r="X13">
            <v>0.6</v>
          </cell>
          <cell r="Y13">
            <v>0.3</v>
          </cell>
          <cell r="Z13">
            <v>0.1</v>
          </cell>
          <cell r="AA13">
            <v>0.5</v>
          </cell>
          <cell r="AB13">
            <v>0.1</v>
          </cell>
          <cell r="AC13">
            <v>0.4</v>
          </cell>
          <cell r="AD13">
            <v>0.4</v>
          </cell>
          <cell r="AE13">
            <v>0.4</v>
          </cell>
          <cell r="AF13">
            <v>0.1</v>
          </cell>
          <cell r="AG13">
            <v>0.4</v>
          </cell>
          <cell r="AH13">
            <v>0.5</v>
          </cell>
          <cell r="AI13">
            <v>0.1</v>
          </cell>
          <cell r="AJ13">
            <v>0.4</v>
          </cell>
          <cell r="AK13">
            <v>0.5</v>
          </cell>
          <cell r="AL13">
            <v>0.1</v>
          </cell>
          <cell r="AM13">
            <v>0.6</v>
          </cell>
          <cell r="AN13">
            <v>0.3</v>
          </cell>
          <cell r="AO13">
            <v>0.1</v>
          </cell>
          <cell r="AP13">
            <v>0.6</v>
          </cell>
          <cell r="AQ13">
            <v>0.3</v>
          </cell>
          <cell r="AR13">
            <v>0.1</v>
          </cell>
          <cell r="AS13">
            <v>0.6</v>
          </cell>
          <cell r="AT13">
            <v>0.3</v>
          </cell>
          <cell r="AU13">
            <v>0.1</v>
          </cell>
          <cell r="AV13">
            <v>0.6</v>
          </cell>
          <cell r="AW13">
            <v>0.3</v>
          </cell>
          <cell r="AX13">
            <v>0.1</v>
          </cell>
          <cell r="AY13">
            <v>0.6</v>
          </cell>
          <cell r="AZ13">
            <v>0.3</v>
          </cell>
          <cell r="BA13">
            <v>0.1</v>
          </cell>
          <cell r="BB13">
            <v>0.6</v>
          </cell>
          <cell r="BC13">
            <v>0.3</v>
          </cell>
          <cell r="BD13">
            <v>0.1</v>
          </cell>
          <cell r="BG13">
            <v>0.12</v>
          </cell>
          <cell r="BH13">
            <v>0.14000000000000001</v>
          </cell>
          <cell r="BI13">
            <v>0.18</v>
          </cell>
          <cell r="BJ13">
            <v>0.12</v>
          </cell>
          <cell r="BK13">
            <v>0.14000000000000001</v>
          </cell>
          <cell r="BL13">
            <v>0.18</v>
          </cell>
          <cell r="BM13">
            <v>0.12</v>
          </cell>
          <cell r="BN13">
            <v>0.14000000000000001</v>
          </cell>
          <cell r="BO13">
            <v>0.18</v>
          </cell>
          <cell r="BP13">
            <v>0.12</v>
          </cell>
          <cell r="BQ13">
            <v>0.14000000000000001</v>
          </cell>
          <cell r="BR13">
            <v>0.18</v>
          </cell>
          <cell r="BS13">
            <v>0.12</v>
          </cell>
          <cell r="BT13">
            <v>0.14000000000000001</v>
          </cell>
          <cell r="BU13">
            <v>0.18</v>
          </cell>
          <cell r="BV13">
            <v>0.12</v>
          </cell>
          <cell r="BW13">
            <v>0.14000000000000001</v>
          </cell>
          <cell r="BX13">
            <v>0.18</v>
          </cell>
          <cell r="BY13">
            <v>0.12</v>
          </cell>
          <cell r="BZ13">
            <v>0.14000000000000001</v>
          </cell>
          <cell r="CA13">
            <v>0.18</v>
          </cell>
          <cell r="CB13">
            <v>0.12</v>
          </cell>
          <cell r="CC13">
            <v>0.14000000000000001</v>
          </cell>
          <cell r="CD13">
            <v>0.18</v>
          </cell>
          <cell r="CE13">
            <v>0.12</v>
          </cell>
          <cell r="CF13">
            <v>0.14000000000000001</v>
          </cell>
          <cell r="CG13">
            <v>0.18</v>
          </cell>
          <cell r="CH13">
            <v>0.12</v>
          </cell>
          <cell r="CI13">
            <v>0.14000000000000001</v>
          </cell>
          <cell r="CJ13">
            <v>0.18</v>
          </cell>
          <cell r="CK13">
            <v>0.12</v>
          </cell>
          <cell r="CL13">
            <v>0.14000000000000001</v>
          </cell>
          <cell r="CM13">
            <v>0.18</v>
          </cell>
          <cell r="CN13">
            <v>0.12</v>
          </cell>
          <cell r="CO13">
            <v>0.14000000000000001</v>
          </cell>
          <cell r="CP13">
            <v>0.18</v>
          </cell>
          <cell r="CQ13">
            <v>0.12</v>
          </cell>
          <cell r="CR13">
            <v>0.14000000000000001</v>
          </cell>
          <cell r="CS13">
            <v>0.18</v>
          </cell>
          <cell r="CV13">
            <v>5.5E-2</v>
          </cell>
          <cell r="CW13">
            <v>4.4999999999999998E-2</v>
          </cell>
          <cell r="CX13">
            <v>0.03</v>
          </cell>
          <cell r="CY13">
            <v>5.5E-2</v>
          </cell>
          <cell r="CZ13">
            <v>4.4999999999999998E-2</v>
          </cell>
          <cell r="DA13">
            <v>0.03</v>
          </cell>
          <cell r="DB13">
            <v>5.5E-2</v>
          </cell>
          <cell r="DC13">
            <v>4.4999999999999998E-2</v>
          </cell>
          <cell r="DD13">
            <v>0.03</v>
          </cell>
          <cell r="DE13">
            <v>5.5E-2</v>
          </cell>
          <cell r="DF13">
            <v>4.4999999999999998E-2</v>
          </cell>
          <cell r="DG13">
            <v>0.03</v>
          </cell>
          <cell r="DH13">
            <v>5.5E-2</v>
          </cell>
          <cell r="DI13">
            <v>4.4999999999999998E-2</v>
          </cell>
          <cell r="DJ13">
            <v>0.03</v>
          </cell>
          <cell r="DK13">
            <v>5.5E-2</v>
          </cell>
          <cell r="DL13">
            <v>4.4999999999999998E-2</v>
          </cell>
          <cell r="DM13">
            <v>0.03</v>
          </cell>
          <cell r="DN13">
            <v>5.5E-2</v>
          </cell>
          <cell r="DO13">
            <v>4.4999999999999998E-2</v>
          </cell>
          <cell r="DP13">
            <v>0.03</v>
          </cell>
          <cell r="DQ13">
            <v>5.5E-2</v>
          </cell>
          <cell r="DR13">
            <v>4.4999999999999998E-2</v>
          </cell>
          <cell r="DS13">
            <v>0.03</v>
          </cell>
          <cell r="DT13">
            <v>5.5E-2</v>
          </cell>
          <cell r="DU13">
            <v>4.4999999999999998E-2</v>
          </cell>
          <cell r="DV13">
            <v>0.03</v>
          </cell>
          <cell r="DW13">
            <v>5.5E-2</v>
          </cell>
          <cell r="DX13">
            <v>4.4999999999999998E-2</v>
          </cell>
          <cell r="DY13">
            <v>0.03</v>
          </cell>
          <cell r="DZ13">
            <v>5.5E-2</v>
          </cell>
          <cell r="EA13">
            <v>4.4999999999999998E-2</v>
          </cell>
          <cell r="EB13">
            <v>0.03</v>
          </cell>
          <cell r="EC13">
            <v>5.5E-2</v>
          </cell>
          <cell r="ED13">
            <v>4.4999999999999998E-2</v>
          </cell>
          <cell r="EE13">
            <v>0.03</v>
          </cell>
          <cell r="EG13">
            <v>0.10149999999999998</v>
          </cell>
          <cell r="EH13">
            <v>0.10149999999999998</v>
          </cell>
          <cell r="EI13">
            <v>0.10149999999999998</v>
          </cell>
          <cell r="EJ13">
            <v>0.10999999999999999</v>
          </cell>
          <cell r="EK13">
            <v>8.500000000000002E-2</v>
          </cell>
          <cell r="EL13">
            <v>0.10350000000000001</v>
          </cell>
          <cell r="EM13">
            <v>0.10350000000000001</v>
          </cell>
          <cell r="EN13">
            <v>0.10149999999999998</v>
          </cell>
          <cell r="EO13">
            <v>0.10149999999999998</v>
          </cell>
          <cell r="EP13">
            <v>0.10149999999999998</v>
          </cell>
          <cell r="EQ13">
            <v>0.10149999999999998</v>
          </cell>
          <cell r="ER13">
            <v>0.10149999999999998</v>
          </cell>
          <cell r="ES13">
            <v>0.10149999999999998</v>
          </cell>
          <cell r="EU13">
            <v>0.13199999999999998</v>
          </cell>
          <cell r="EV13">
            <v>0.13199999999999998</v>
          </cell>
          <cell r="EW13">
            <v>0.13199999999999998</v>
          </cell>
          <cell r="EX13">
            <v>0.14599999999999999</v>
          </cell>
          <cell r="EY13">
            <v>0.12200000000000001</v>
          </cell>
          <cell r="EZ13">
            <v>0.13600000000000001</v>
          </cell>
          <cell r="FA13">
            <v>0.13600000000000001</v>
          </cell>
          <cell r="FB13">
            <v>0.13199999999999998</v>
          </cell>
          <cell r="FC13">
            <v>0.13199999999999998</v>
          </cell>
          <cell r="FD13">
            <v>0.13199999999999998</v>
          </cell>
          <cell r="FE13">
            <v>0.13199999999999998</v>
          </cell>
          <cell r="FF13">
            <v>0.13199999999999998</v>
          </cell>
          <cell r="FG13">
            <v>0.13199999999999998</v>
          </cell>
        </row>
        <row r="14">
          <cell r="C14" t="str">
            <v>RAM RAMPAGE BIGHORN 2.2 DIESEL 200 HP 4X4 AT</v>
          </cell>
          <cell r="D14" t="str">
            <v>RAMPAGE BIGHORN 2.2 DIE AT9 4X4</v>
          </cell>
          <cell r="G14">
            <v>0.7</v>
          </cell>
          <cell r="H14">
            <v>0.7</v>
          </cell>
          <cell r="I14">
            <v>0.7</v>
          </cell>
          <cell r="J14">
            <v>0.6</v>
          </cell>
          <cell r="K14">
            <v>0.6</v>
          </cell>
          <cell r="L14">
            <v>0.6</v>
          </cell>
          <cell r="M14">
            <v>0.6</v>
          </cell>
          <cell r="N14">
            <v>0.6</v>
          </cell>
          <cell r="O14">
            <v>0.6</v>
          </cell>
          <cell r="P14">
            <v>0.6</v>
          </cell>
          <cell r="Q14">
            <v>0.6</v>
          </cell>
          <cell r="R14">
            <v>0.6</v>
          </cell>
          <cell r="U14">
            <v>0.6</v>
          </cell>
          <cell r="V14">
            <v>0.3</v>
          </cell>
          <cell r="W14">
            <v>0.1</v>
          </cell>
          <cell r="X14">
            <v>0.6</v>
          </cell>
          <cell r="Y14">
            <v>0.3</v>
          </cell>
          <cell r="Z14">
            <v>0.1</v>
          </cell>
          <cell r="AA14">
            <v>0.25</v>
          </cell>
          <cell r="AB14">
            <v>0.3</v>
          </cell>
          <cell r="AC14">
            <v>0.45</v>
          </cell>
          <cell r="AD14">
            <v>0.5</v>
          </cell>
          <cell r="AE14">
            <v>0.4</v>
          </cell>
          <cell r="AF14">
            <v>0.1</v>
          </cell>
          <cell r="AG14">
            <v>0.5</v>
          </cell>
          <cell r="AH14">
            <v>0.4</v>
          </cell>
          <cell r="AI14">
            <v>0.1</v>
          </cell>
          <cell r="AJ14">
            <v>0.5</v>
          </cell>
          <cell r="AK14">
            <v>0.4</v>
          </cell>
          <cell r="AL14">
            <v>0.1</v>
          </cell>
          <cell r="AM14">
            <v>0.6</v>
          </cell>
          <cell r="AN14">
            <v>0.3</v>
          </cell>
          <cell r="AO14">
            <v>0.1</v>
          </cell>
          <cell r="AP14">
            <v>0.6</v>
          </cell>
          <cell r="AQ14">
            <v>0.3</v>
          </cell>
          <cell r="AR14">
            <v>0.1</v>
          </cell>
          <cell r="AS14">
            <v>0.6</v>
          </cell>
          <cell r="AT14">
            <v>0.3</v>
          </cell>
          <cell r="AU14">
            <v>0.1</v>
          </cell>
          <cell r="AV14">
            <v>0.6</v>
          </cell>
          <cell r="AW14">
            <v>0.3</v>
          </cell>
          <cell r="AX14">
            <v>0.1</v>
          </cell>
          <cell r="AY14">
            <v>0.6</v>
          </cell>
          <cell r="AZ14">
            <v>0.3</v>
          </cell>
          <cell r="BA14">
            <v>0.1</v>
          </cell>
          <cell r="BB14">
            <v>0.6</v>
          </cell>
          <cell r="BC14">
            <v>0.3</v>
          </cell>
          <cell r="BD14">
            <v>0.1</v>
          </cell>
          <cell r="BG14">
            <v>0.14000000000000001</v>
          </cell>
          <cell r="BH14">
            <v>0.16</v>
          </cell>
          <cell r="BI14">
            <v>0.18</v>
          </cell>
          <cell r="BJ14">
            <v>0.14000000000000001</v>
          </cell>
          <cell r="BK14">
            <v>0.16</v>
          </cell>
          <cell r="BL14">
            <v>0.18</v>
          </cell>
          <cell r="BM14">
            <v>0.18</v>
          </cell>
          <cell r="BN14">
            <v>0.18</v>
          </cell>
          <cell r="BO14">
            <v>0.18</v>
          </cell>
          <cell r="BP14">
            <v>0.18</v>
          </cell>
          <cell r="BQ14">
            <v>0.18</v>
          </cell>
          <cell r="BR14">
            <v>0.2</v>
          </cell>
          <cell r="BS14">
            <v>0.18</v>
          </cell>
          <cell r="BT14">
            <v>0.18</v>
          </cell>
          <cell r="BU14">
            <v>0.2</v>
          </cell>
          <cell r="BV14">
            <v>0.16</v>
          </cell>
          <cell r="BW14">
            <v>0.18</v>
          </cell>
          <cell r="BX14">
            <v>0.2</v>
          </cell>
          <cell r="BY14">
            <v>0.13</v>
          </cell>
          <cell r="BZ14">
            <v>0.15</v>
          </cell>
          <cell r="CA14">
            <v>0.17</v>
          </cell>
          <cell r="CB14">
            <v>0.13</v>
          </cell>
          <cell r="CC14">
            <v>0.15</v>
          </cell>
          <cell r="CD14">
            <v>0.17</v>
          </cell>
          <cell r="CE14">
            <v>0.13</v>
          </cell>
          <cell r="CF14">
            <v>0.15</v>
          </cell>
          <cell r="CG14">
            <v>0.17</v>
          </cell>
          <cell r="CH14">
            <v>0.13</v>
          </cell>
          <cell r="CI14">
            <v>0.15</v>
          </cell>
          <cell r="CJ14">
            <v>0.17</v>
          </cell>
          <cell r="CK14">
            <v>0.13</v>
          </cell>
          <cell r="CL14">
            <v>0.15</v>
          </cell>
          <cell r="CM14">
            <v>0.17</v>
          </cell>
          <cell r="CN14">
            <v>0.13</v>
          </cell>
          <cell r="CO14">
            <v>0.15</v>
          </cell>
          <cell r="CP14">
            <v>0.17</v>
          </cell>
          <cell r="CQ14">
            <v>0.13</v>
          </cell>
          <cell r="CR14">
            <v>0.15</v>
          </cell>
          <cell r="CS14">
            <v>0.17</v>
          </cell>
          <cell r="CV14">
            <v>5.5E-2</v>
          </cell>
          <cell r="CW14">
            <v>4.4999999999999998E-2</v>
          </cell>
          <cell r="CX14">
            <v>0.03</v>
          </cell>
          <cell r="CY14">
            <v>4.4999999999999998E-2</v>
          </cell>
          <cell r="CZ14">
            <v>4.4999999999999998E-2</v>
          </cell>
          <cell r="DA14">
            <v>0.03</v>
          </cell>
          <cell r="DB14">
            <v>4.4999999999999998E-2</v>
          </cell>
          <cell r="DC14">
            <v>4.4999999999999998E-2</v>
          </cell>
          <cell r="DD14">
            <v>0.04</v>
          </cell>
          <cell r="DE14">
            <v>4.4999999999999998E-2</v>
          </cell>
          <cell r="DF14">
            <v>4.4999999999999998E-2</v>
          </cell>
          <cell r="DG14">
            <v>0.04</v>
          </cell>
          <cell r="DH14">
            <v>4.4999999999999998E-2</v>
          </cell>
          <cell r="DI14">
            <v>4.4999999999999998E-2</v>
          </cell>
          <cell r="DJ14">
            <v>0.04</v>
          </cell>
          <cell r="DK14">
            <v>4.4999999999999998E-2</v>
          </cell>
          <cell r="DL14">
            <v>4.4999999999999998E-2</v>
          </cell>
          <cell r="DM14">
            <v>0.04</v>
          </cell>
          <cell r="DN14">
            <v>4.4999999999999998E-2</v>
          </cell>
          <cell r="DO14">
            <v>4.4999999999999998E-2</v>
          </cell>
          <cell r="DP14">
            <v>0.04</v>
          </cell>
          <cell r="DQ14">
            <v>4.4999999999999998E-2</v>
          </cell>
          <cell r="DR14">
            <v>4.4999999999999998E-2</v>
          </cell>
          <cell r="DS14">
            <v>0.04</v>
          </cell>
          <cell r="DT14">
            <v>4.4999999999999998E-2</v>
          </cell>
          <cell r="DU14">
            <v>4.4999999999999998E-2</v>
          </cell>
          <cell r="DV14">
            <v>0.04</v>
          </cell>
          <cell r="DW14">
            <v>4.4999999999999998E-2</v>
          </cell>
          <cell r="DX14">
            <v>4.4999999999999998E-2</v>
          </cell>
          <cell r="DY14">
            <v>0.04</v>
          </cell>
          <cell r="DZ14">
            <v>4.4999999999999998E-2</v>
          </cell>
          <cell r="EA14">
            <v>4.4999999999999998E-2</v>
          </cell>
          <cell r="EB14">
            <v>0.04</v>
          </cell>
          <cell r="EC14">
            <v>4.4999999999999998E-2</v>
          </cell>
          <cell r="ED14">
            <v>4.4999999999999998E-2</v>
          </cell>
          <cell r="EE14">
            <v>0.04</v>
          </cell>
          <cell r="EG14">
            <v>9.9499999999999991E-2</v>
          </cell>
          <cell r="EH14">
            <v>9.9499999999999991E-2</v>
          </cell>
          <cell r="EI14">
            <v>0.1235</v>
          </cell>
          <cell r="EJ14">
            <v>0.13175000000000001</v>
          </cell>
          <cell r="EK14">
            <v>0.1265</v>
          </cell>
          <cell r="EL14">
            <v>0.11649999999999998</v>
          </cell>
          <cell r="EM14">
            <v>8.6500000000000007E-2</v>
          </cell>
          <cell r="EN14">
            <v>8.4500000000000006E-2</v>
          </cell>
          <cell r="EO14">
            <v>8.4500000000000006E-2</v>
          </cell>
          <cell r="EP14">
            <v>8.4500000000000006E-2</v>
          </cell>
          <cell r="EQ14">
            <v>8.4500000000000006E-2</v>
          </cell>
          <cell r="ER14">
            <v>8.4500000000000006E-2</v>
          </cell>
          <cell r="ES14">
            <v>8.4500000000000006E-2</v>
          </cell>
          <cell r="EU14">
            <v>0.15</v>
          </cell>
          <cell r="EV14">
            <v>0.15</v>
          </cell>
          <cell r="EW14">
            <v>0.18</v>
          </cell>
          <cell r="EX14">
            <v>0.189</v>
          </cell>
          <cell r="EY14">
            <v>0.182</v>
          </cell>
          <cell r="EZ14">
            <v>0.17199999999999999</v>
          </cell>
          <cell r="FA14">
            <v>0.14200000000000002</v>
          </cell>
          <cell r="FB14">
            <v>0.14000000000000001</v>
          </cell>
          <cell r="FC14">
            <v>0.14000000000000001</v>
          </cell>
          <cell r="FD14">
            <v>0.14000000000000001</v>
          </cell>
          <cell r="FE14">
            <v>0.14000000000000001</v>
          </cell>
          <cell r="FF14">
            <v>0.14000000000000001</v>
          </cell>
          <cell r="FG14">
            <v>0.14000000000000001</v>
          </cell>
        </row>
        <row r="15">
          <cell r="C15" t="str">
            <v>RAM RAMPAGE BIGHORN 2.0 DIESEL 170 HP 4X4 AT</v>
          </cell>
          <cell r="D15" t="str">
            <v>RAMPAGE BIGHORN 2.0</v>
          </cell>
          <cell r="G15">
            <v>0.7</v>
          </cell>
          <cell r="H15">
            <v>0.7</v>
          </cell>
          <cell r="I15">
            <v>0.7</v>
          </cell>
          <cell r="J15">
            <v>0.6</v>
          </cell>
          <cell r="K15">
            <v>0.6</v>
          </cell>
          <cell r="L15">
            <v>0.6</v>
          </cell>
          <cell r="M15">
            <v>0.6</v>
          </cell>
          <cell r="N15">
            <v>0.6</v>
          </cell>
          <cell r="O15">
            <v>0.6</v>
          </cell>
          <cell r="P15">
            <v>0.6</v>
          </cell>
          <cell r="Q15">
            <v>0.6</v>
          </cell>
          <cell r="R15">
            <v>0.6</v>
          </cell>
          <cell r="U15">
            <v>0.6</v>
          </cell>
          <cell r="V15">
            <v>0.3</v>
          </cell>
          <cell r="W15">
            <v>0.1</v>
          </cell>
          <cell r="X15">
            <v>0.6</v>
          </cell>
          <cell r="Y15">
            <v>0.3</v>
          </cell>
          <cell r="Z15">
            <v>0.1</v>
          </cell>
          <cell r="AA15">
            <v>0.25</v>
          </cell>
          <cell r="AB15">
            <v>0.3</v>
          </cell>
          <cell r="AC15">
            <v>0.45</v>
          </cell>
          <cell r="AD15">
            <v>0.5</v>
          </cell>
          <cell r="AE15">
            <v>0.4</v>
          </cell>
          <cell r="AF15">
            <v>0.1</v>
          </cell>
          <cell r="AG15">
            <v>0.5</v>
          </cell>
          <cell r="AH15">
            <v>0.4</v>
          </cell>
          <cell r="AI15">
            <v>0.1</v>
          </cell>
          <cell r="AJ15">
            <v>0.5</v>
          </cell>
          <cell r="AK15">
            <v>0.4</v>
          </cell>
          <cell r="AL15">
            <v>0.1</v>
          </cell>
          <cell r="AM15">
            <v>0.6</v>
          </cell>
          <cell r="AN15">
            <v>0.3</v>
          </cell>
          <cell r="AO15">
            <v>0.1</v>
          </cell>
          <cell r="AP15">
            <v>0.6</v>
          </cell>
          <cell r="AQ15">
            <v>0.3</v>
          </cell>
          <cell r="AR15">
            <v>0.1</v>
          </cell>
          <cell r="AS15">
            <v>0.6</v>
          </cell>
          <cell r="AT15">
            <v>0.3</v>
          </cell>
          <cell r="AU15">
            <v>0.1</v>
          </cell>
          <cell r="AV15">
            <v>0.6</v>
          </cell>
          <cell r="AW15">
            <v>0.3</v>
          </cell>
          <cell r="AX15">
            <v>0.1</v>
          </cell>
          <cell r="AY15">
            <v>0.6</v>
          </cell>
          <cell r="AZ15">
            <v>0.3</v>
          </cell>
          <cell r="BA15">
            <v>0.1</v>
          </cell>
          <cell r="BB15">
            <v>0.6</v>
          </cell>
          <cell r="BC15">
            <v>0.3</v>
          </cell>
          <cell r="BD15">
            <v>0.1</v>
          </cell>
          <cell r="BG15">
            <v>0.14000000000000001</v>
          </cell>
          <cell r="BH15">
            <v>0.16</v>
          </cell>
          <cell r="BI15">
            <v>0.18</v>
          </cell>
          <cell r="BJ15">
            <v>0.14000000000000001</v>
          </cell>
          <cell r="BK15">
            <v>0.16</v>
          </cell>
          <cell r="BL15">
            <v>0.18</v>
          </cell>
          <cell r="BM15">
            <v>0.18</v>
          </cell>
          <cell r="BN15">
            <v>0.18</v>
          </cell>
          <cell r="BO15">
            <v>0.18</v>
          </cell>
          <cell r="BP15">
            <v>0.18</v>
          </cell>
          <cell r="BQ15">
            <v>0.18</v>
          </cell>
          <cell r="BR15">
            <v>0.2</v>
          </cell>
          <cell r="BS15">
            <v>0.18</v>
          </cell>
          <cell r="BT15">
            <v>0.18</v>
          </cell>
          <cell r="BU15">
            <v>0.2</v>
          </cell>
          <cell r="BV15">
            <v>0.16</v>
          </cell>
          <cell r="BW15">
            <v>0.18</v>
          </cell>
          <cell r="BX15">
            <v>0.2</v>
          </cell>
          <cell r="BY15">
            <v>0.16</v>
          </cell>
          <cell r="BZ15">
            <v>0.18</v>
          </cell>
          <cell r="CA15">
            <v>0.2</v>
          </cell>
          <cell r="CB15">
            <v>0.16</v>
          </cell>
          <cell r="CC15">
            <v>0.18</v>
          </cell>
          <cell r="CD15">
            <v>0.2</v>
          </cell>
          <cell r="CE15">
            <v>0.16</v>
          </cell>
          <cell r="CF15">
            <v>0.18</v>
          </cell>
          <cell r="CG15">
            <v>0.2</v>
          </cell>
          <cell r="CH15">
            <v>0.16</v>
          </cell>
          <cell r="CI15">
            <v>0.18</v>
          </cell>
          <cell r="CJ15">
            <v>0.2</v>
          </cell>
          <cell r="CK15">
            <v>0.16</v>
          </cell>
          <cell r="CL15">
            <v>0.18</v>
          </cell>
          <cell r="CM15">
            <v>0.2</v>
          </cell>
          <cell r="CN15">
            <v>0.16</v>
          </cell>
          <cell r="CO15">
            <v>0.18</v>
          </cell>
          <cell r="CP15">
            <v>0.2</v>
          </cell>
          <cell r="CQ15">
            <v>0.16</v>
          </cell>
          <cell r="CR15">
            <v>0.18</v>
          </cell>
          <cell r="CS15">
            <v>0.2</v>
          </cell>
          <cell r="CV15">
            <v>5.5E-2</v>
          </cell>
          <cell r="CW15">
            <v>4.4999999999999998E-2</v>
          </cell>
          <cell r="CX15">
            <v>0.03</v>
          </cell>
          <cell r="CY15">
            <v>4.4999999999999998E-2</v>
          </cell>
          <cell r="CZ15">
            <v>4.4999999999999998E-2</v>
          </cell>
          <cell r="DA15">
            <v>0.03</v>
          </cell>
          <cell r="DB15">
            <v>4.4999999999999998E-2</v>
          </cell>
          <cell r="DC15">
            <v>4.4999999999999998E-2</v>
          </cell>
          <cell r="DD15">
            <v>0.04</v>
          </cell>
          <cell r="DE15">
            <v>4.4999999999999998E-2</v>
          </cell>
          <cell r="DF15">
            <v>4.4999999999999998E-2</v>
          </cell>
          <cell r="DG15">
            <v>0.04</v>
          </cell>
          <cell r="DH15">
            <v>4.4999999999999998E-2</v>
          </cell>
          <cell r="DI15">
            <v>4.4999999999999998E-2</v>
          </cell>
          <cell r="DJ15">
            <v>0.04</v>
          </cell>
          <cell r="DK15">
            <v>4.4999999999999998E-2</v>
          </cell>
          <cell r="DL15">
            <v>4.4999999999999998E-2</v>
          </cell>
          <cell r="DM15">
            <v>0.04</v>
          </cell>
          <cell r="DN15">
            <v>4.4999999999999998E-2</v>
          </cell>
          <cell r="DO15">
            <v>4.4999999999999998E-2</v>
          </cell>
          <cell r="DP15">
            <v>0.04</v>
          </cell>
          <cell r="DQ15">
            <v>4.4999999999999998E-2</v>
          </cell>
          <cell r="DR15">
            <v>4.4999999999999998E-2</v>
          </cell>
          <cell r="DS15">
            <v>0.04</v>
          </cell>
          <cell r="DT15">
            <v>4.4999999999999998E-2</v>
          </cell>
          <cell r="DU15">
            <v>4.4999999999999998E-2</v>
          </cell>
          <cell r="DV15">
            <v>0.04</v>
          </cell>
          <cell r="DW15">
            <v>4.4999999999999998E-2</v>
          </cell>
          <cell r="DX15">
            <v>4.4999999999999998E-2</v>
          </cell>
          <cell r="DY15">
            <v>0.04</v>
          </cell>
          <cell r="DZ15">
            <v>4.4999999999999998E-2</v>
          </cell>
          <cell r="EA15">
            <v>4.4999999999999998E-2</v>
          </cell>
          <cell r="EB15">
            <v>0.04</v>
          </cell>
          <cell r="EC15">
            <v>4.4999999999999998E-2</v>
          </cell>
          <cell r="ED15">
            <v>4.4999999999999998E-2</v>
          </cell>
          <cell r="EE15">
            <v>0.04</v>
          </cell>
          <cell r="EG15">
            <v>9.9499999999999991E-2</v>
          </cell>
          <cell r="EH15">
            <v>9.9499999999999991E-2</v>
          </cell>
          <cell r="EI15">
            <v>0.1235</v>
          </cell>
          <cell r="EJ15">
            <v>0.13175000000000001</v>
          </cell>
          <cell r="EK15">
            <v>0.1265</v>
          </cell>
          <cell r="EL15">
            <v>0.11649999999999998</v>
          </cell>
          <cell r="EM15">
            <v>0.11649999999999998</v>
          </cell>
          <cell r="EN15">
            <v>0.11449999999999998</v>
          </cell>
          <cell r="EO15">
            <v>0.11449999999999998</v>
          </cell>
          <cell r="EP15">
            <v>0.11449999999999998</v>
          </cell>
          <cell r="EQ15">
            <v>0.11449999999999998</v>
          </cell>
          <cell r="ER15">
            <v>0.11449999999999998</v>
          </cell>
          <cell r="ES15">
            <v>0.11449999999999998</v>
          </cell>
          <cell r="EU15">
            <v>0.15</v>
          </cell>
          <cell r="EV15">
            <v>0.15</v>
          </cell>
          <cell r="EW15">
            <v>0.18</v>
          </cell>
          <cell r="EX15">
            <v>0.189</v>
          </cell>
          <cell r="EY15">
            <v>0.182</v>
          </cell>
          <cell r="EZ15">
            <v>0.17199999999999999</v>
          </cell>
          <cell r="FA15">
            <v>0.17199999999999999</v>
          </cell>
          <cell r="FB15">
            <v>0.16999999999999998</v>
          </cell>
          <cell r="FC15">
            <v>0.16999999999999998</v>
          </cell>
          <cell r="FD15">
            <v>0.16999999999999998</v>
          </cell>
          <cell r="FE15">
            <v>0.16999999999999998</v>
          </cell>
          <cell r="FF15">
            <v>0.16999999999999998</v>
          </cell>
          <cell r="FG15">
            <v>0.16999999999999998</v>
          </cell>
        </row>
        <row r="16">
          <cell r="C16" t="str">
            <v>RAM RAMPAGE REBEL 2.2 DIE AT9 4X4</v>
          </cell>
          <cell r="D16" t="str">
            <v>RAM RAMPAGE REBEL 2.2 DIE AT9 4X4</v>
          </cell>
          <cell r="G16">
            <v>0.7</v>
          </cell>
          <cell r="H16">
            <v>0.7</v>
          </cell>
          <cell r="I16">
            <v>0.7</v>
          </cell>
          <cell r="J16">
            <v>0.6</v>
          </cell>
          <cell r="K16">
            <v>0.6</v>
          </cell>
          <cell r="L16">
            <v>0.6</v>
          </cell>
          <cell r="M16">
            <v>0.6</v>
          </cell>
          <cell r="N16">
            <v>0.6</v>
          </cell>
          <cell r="O16">
            <v>0.6</v>
          </cell>
          <cell r="P16">
            <v>0.6</v>
          </cell>
          <cell r="Q16">
            <v>0.6</v>
          </cell>
          <cell r="R16">
            <v>0.6</v>
          </cell>
          <cell r="U16">
            <v>0.6</v>
          </cell>
          <cell r="V16">
            <v>0.3</v>
          </cell>
          <cell r="W16">
            <v>0.1</v>
          </cell>
          <cell r="X16">
            <v>0.6</v>
          </cell>
          <cell r="Y16">
            <v>0.3</v>
          </cell>
          <cell r="Z16">
            <v>0.1</v>
          </cell>
          <cell r="AA16">
            <v>0.25</v>
          </cell>
          <cell r="AB16">
            <v>0.3</v>
          </cell>
          <cell r="AC16">
            <v>0.45</v>
          </cell>
          <cell r="AD16">
            <v>0.5</v>
          </cell>
          <cell r="AE16">
            <v>0.4</v>
          </cell>
          <cell r="AF16">
            <v>0.1</v>
          </cell>
          <cell r="AG16">
            <v>0.5</v>
          </cell>
          <cell r="AH16">
            <v>0.4</v>
          </cell>
          <cell r="AI16">
            <v>0.1</v>
          </cell>
          <cell r="AJ16">
            <v>0.5</v>
          </cell>
          <cell r="AK16">
            <v>0.4</v>
          </cell>
          <cell r="AL16">
            <v>0.1</v>
          </cell>
          <cell r="AM16">
            <v>0.6</v>
          </cell>
          <cell r="AN16">
            <v>0.3</v>
          </cell>
          <cell r="AO16">
            <v>0.1</v>
          </cell>
          <cell r="AP16">
            <v>0.6</v>
          </cell>
          <cell r="AQ16">
            <v>0.3</v>
          </cell>
          <cell r="AR16">
            <v>0.1</v>
          </cell>
          <cell r="AS16">
            <v>0.6</v>
          </cell>
          <cell r="AT16">
            <v>0.3</v>
          </cell>
          <cell r="AU16">
            <v>0.1</v>
          </cell>
          <cell r="AV16">
            <v>0.6</v>
          </cell>
          <cell r="AW16">
            <v>0.3</v>
          </cell>
          <cell r="AX16">
            <v>0.1</v>
          </cell>
          <cell r="AY16">
            <v>0.6</v>
          </cell>
          <cell r="AZ16">
            <v>0.3</v>
          </cell>
          <cell r="BA16">
            <v>0.1</v>
          </cell>
          <cell r="BB16">
            <v>0.6</v>
          </cell>
          <cell r="BC16">
            <v>0.3</v>
          </cell>
          <cell r="BD16">
            <v>0.1</v>
          </cell>
          <cell r="BG16">
            <v>0.1</v>
          </cell>
          <cell r="BH16">
            <v>0.14000000000000001</v>
          </cell>
          <cell r="BI16">
            <v>0.18</v>
          </cell>
          <cell r="BJ16">
            <v>0.1</v>
          </cell>
          <cell r="BK16">
            <v>0.14000000000000001</v>
          </cell>
          <cell r="BL16">
            <v>0.18</v>
          </cell>
          <cell r="BM16">
            <v>0.1</v>
          </cell>
          <cell r="BN16">
            <v>0.14000000000000001</v>
          </cell>
          <cell r="BO16">
            <v>0.18</v>
          </cell>
          <cell r="BP16">
            <v>0.18</v>
          </cell>
          <cell r="BQ16">
            <v>0.18</v>
          </cell>
          <cell r="BR16">
            <v>0.2</v>
          </cell>
          <cell r="BS16">
            <v>0.18</v>
          </cell>
          <cell r="BT16">
            <v>0.18</v>
          </cell>
          <cell r="BU16">
            <v>0.2</v>
          </cell>
          <cell r="BV16">
            <v>0.16</v>
          </cell>
          <cell r="BW16">
            <v>0.18</v>
          </cell>
          <cell r="BX16">
            <v>0.2</v>
          </cell>
          <cell r="BY16">
            <v>0.16</v>
          </cell>
          <cell r="BZ16">
            <v>0.18</v>
          </cell>
          <cell r="CA16">
            <v>0.2</v>
          </cell>
          <cell r="CB16">
            <v>0.16</v>
          </cell>
          <cell r="CC16">
            <v>0.18</v>
          </cell>
          <cell r="CD16">
            <v>0.2</v>
          </cell>
          <cell r="CE16">
            <v>0.16</v>
          </cell>
          <cell r="CF16">
            <v>0.18</v>
          </cell>
          <cell r="CG16">
            <v>0.2</v>
          </cell>
          <cell r="CH16">
            <v>0.16</v>
          </cell>
          <cell r="CI16">
            <v>0.18</v>
          </cell>
          <cell r="CJ16">
            <v>0.2</v>
          </cell>
          <cell r="CK16">
            <v>0.16</v>
          </cell>
          <cell r="CL16">
            <v>0.18</v>
          </cell>
          <cell r="CM16">
            <v>0.2</v>
          </cell>
          <cell r="CN16">
            <v>0.16</v>
          </cell>
          <cell r="CO16">
            <v>0.18</v>
          </cell>
          <cell r="CP16">
            <v>0.2</v>
          </cell>
          <cell r="CQ16">
            <v>0.16</v>
          </cell>
          <cell r="CR16">
            <v>0.18</v>
          </cell>
          <cell r="CS16">
            <v>0.2</v>
          </cell>
          <cell r="CV16">
            <v>5.5E-2</v>
          </cell>
          <cell r="CW16">
            <v>4.4999999999999998E-2</v>
          </cell>
          <cell r="CX16">
            <v>0.03</v>
          </cell>
          <cell r="CY16">
            <v>4.4999999999999998E-2</v>
          </cell>
          <cell r="CZ16">
            <v>4.4999999999999998E-2</v>
          </cell>
          <cell r="DA16">
            <v>0.03</v>
          </cell>
          <cell r="DB16">
            <v>4.4999999999999998E-2</v>
          </cell>
          <cell r="DC16">
            <v>4.4999999999999998E-2</v>
          </cell>
          <cell r="DD16">
            <v>0.04</v>
          </cell>
          <cell r="DE16">
            <v>4.4999999999999998E-2</v>
          </cell>
          <cell r="DF16">
            <v>4.4999999999999998E-2</v>
          </cell>
          <cell r="DG16">
            <v>0.04</v>
          </cell>
          <cell r="DH16">
            <v>4.4999999999999998E-2</v>
          </cell>
          <cell r="DI16">
            <v>4.4999999999999998E-2</v>
          </cell>
          <cell r="DJ16">
            <v>0.04</v>
          </cell>
          <cell r="DK16">
            <v>4.4999999999999998E-2</v>
          </cell>
          <cell r="DL16">
            <v>4.4999999999999998E-2</v>
          </cell>
          <cell r="DM16">
            <v>0.04</v>
          </cell>
          <cell r="DN16">
            <v>4.4999999999999998E-2</v>
          </cell>
          <cell r="DO16">
            <v>4.4999999999999998E-2</v>
          </cell>
          <cell r="DP16">
            <v>0.04</v>
          </cell>
          <cell r="DQ16">
            <v>4.4999999999999998E-2</v>
          </cell>
          <cell r="DR16">
            <v>4.4999999999999998E-2</v>
          </cell>
          <cell r="DS16">
            <v>0.04</v>
          </cell>
          <cell r="DT16">
            <v>4.4999999999999998E-2</v>
          </cell>
          <cell r="DU16">
            <v>4.4999999999999998E-2</v>
          </cell>
          <cell r="DV16">
            <v>0.04</v>
          </cell>
          <cell r="DW16">
            <v>4.4999999999999998E-2</v>
          </cell>
          <cell r="DX16">
            <v>4.4999999999999998E-2</v>
          </cell>
          <cell r="DY16">
            <v>0.04</v>
          </cell>
          <cell r="DZ16">
            <v>4.4999999999999998E-2</v>
          </cell>
          <cell r="EA16">
            <v>4.4999999999999998E-2</v>
          </cell>
          <cell r="EB16">
            <v>0.04</v>
          </cell>
          <cell r="EC16">
            <v>4.4999999999999998E-2</v>
          </cell>
          <cell r="ED16">
            <v>4.4999999999999998E-2</v>
          </cell>
          <cell r="EE16">
            <v>0.04</v>
          </cell>
          <cell r="EG16">
            <v>6.9500000000000006E-2</v>
          </cell>
          <cell r="EH16">
            <v>6.9500000000000006E-2</v>
          </cell>
          <cell r="EI16">
            <v>6.3500000000000001E-2</v>
          </cell>
          <cell r="EJ16">
            <v>0.13175000000000001</v>
          </cell>
          <cell r="EK16">
            <v>0.1265</v>
          </cell>
          <cell r="EL16">
            <v>0.11649999999999998</v>
          </cell>
          <cell r="EM16">
            <v>0.11649999999999998</v>
          </cell>
          <cell r="EN16">
            <v>0.11449999999999998</v>
          </cell>
          <cell r="EO16">
            <v>0.11449999999999998</v>
          </cell>
          <cell r="EP16">
            <v>0.11449999999999998</v>
          </cell>
          <cell r="EQ16">
            <v>0.11449999999999998</v>
          </cell>
          <cell r="ER16">
            <v>0.11449999999999998</v>
          </cell>
          <cell r="ES16">
            <v>0.11449999999999998</v>
          </cell>
          <cell r="EU16">
            <v>0.12000000000000001</v>
          </cell>
          <cell r="EV16">
            <v>0.12000000000000001</v>
          </cell>
          <cell r="EW16">
            <v>0.12000000000000001</v>
          </cell>
          <cell r="EX16">
            <v>0.189</v>
          </cell>
          <cell r="EY16">
            <v>0.182</v>
          </cell>
          <cell r="EZ16">
            <v>0.17199999999999999</v>
          </cell>
          <cell r="FA16">
            <v>0.17199999999999999</v>
          </cell>
          <cell r="FB16">
            <v>0.16999999999999998</v>
          </cell>
          <cell r="FC16">
            <v>0.16999999999999998</v>
          </cell>
          <cell r="FD16">
            <v>0.16999999999999998</v>
          </cell>
          <cell r="FE16">
            <v>0.16999999999999998</v>
          </cell>
          <cell r="FF16">
            <v>0.16999999999999998</v>
          </cell>
          <cell r="FG16">
            <v>0.16999999999999998</v>
          </cell>
        </row>
        <row r="17">
          <cell r="C17" t="str">
            <v>RAM RAMPAGE LARAMIE 2.2 DIESEL 200 HP 4X4 AT</v>
          </cell>
          <cell r="D17" t="str">
            <v>RAMPAGE LARAMIE 2.2 DIE AT9 4X4</v>
          </cell>
          <cell r="G17">
            <v>0.7</v>
          </cell>
          <cell r="H17">
            <v>0.7</v>
          </cell>
          <cell r="I17">
            <v>0.7</v>
          </cell>
          <cell r="J17">
            <v>0.6</v>
          </cell>
          <cell r="K17">
            <v>0.6</v>
          </cell>
          <cell r="L17">
            <v>0.6</v>
          </cell>
          <cell r="M17">
            <v>0.6</v>
          </cell>
          <cell r="N17">
            <v>0.6</v>
          </cell>
          <cell r="O17">
            <v>0.6</v>
          </cell>
          <cell r="P17">
            <v>0.6</v>
          </cell>
          <cell r="Q17">
            <v>0.6</v>
          </cell>
          <cell r="R17">
            <v>0.6</v>
          </cell>
          <cell r="U17">
            <v>0.6</v>
          </cell>
          <cell r="V17">
            <v>0.3</v>
          </cell>
          <cell r="W17">
            <v>0.1</v>
          </cell>
          <cell r="X17">
            <v>0.6</v>
          </cell>
          <cell r="Y17">
            <v>0.3</v>
          </cell>
          <cell r="Z17">
            <v>0.1</v>
          </cell>
          <cell r="AA17">
            <v>0.25</v>
          </cell>
          <cell r="AB17">
            <v>0.3</v>
          </cell>
          <cell r="AC17">
            <v>0.45</v>
          </cell>
          <cell r="AD17">
            <v>0.5</v>
          </cell>
          <cell r="AE17">
            <v>0.4</v>
          </cell>
          <cell r="AF17">
            <v>0.1</v>
          </cell>
          <cell r="AG17">
            <v>0.5</v>
          </cell>
          <cell r="AH17">
            <v>0.4</v>
          </cell>
          <cell r="AI17">
            <v>0.1</v>
          </cell>
          <cell r="AJ17">
            <v>0.5</v>
          </cell>
          <cell r="AK17">
            <v>0.4</v>
          </cell>
          <cell r="AL17">
            <v>0.1</v>
          </cell>
          <cell r="AM17">
            <v>0.6</v>
          </cell>
          <cell r="AN17">
            <v>0.3</v>
          </cell>
          <cell r="AO17">
            <v>0.1</v>
          </cell>
          <cell r="AP17">
            <v>0.6</v>
          </cell>
          <cell r="AQ17">
            <v>0.3</v>
          </cell>
          <cell r="AR17">
            <v>0.1</v>
          </cell>
          <cell r="AS17">
            <v>0.6</v>
          </cell>
          <cell r="AT17">
            <v>0.3</v>
          </cell>
          <cell r="AU17">
            <v>0.1</v>
          </cell>
          <cell r="AV17">
            <v>0.6</v>
          </cell>
          <cell r="AW17">
            <v>0.3</v>
          </cell>
          <cell r="AX17">
            <v>0.1</v>
          </cell>
          <cell r="AY17">
            <v>0.6</v>
          </cell>
          <cell r="AZ17">
            <v>0.3</v>
          </cell>
          <cell r="BA17">
            <v>0.1</v>
          </cell>
          <cell r="BB17">
            <v>0.6</v>
          </cell>
          <cell r="BC17">
            <v>0.3</v>
          </cell>
          <cell r="BD17">
            <v>0.1</v>
          </cell>
          <cell r="BG17">
            <v>0.11</v>
          </cell>
          <cell r="BH17">
            <v>0.13</v>
          </cell>
          <cell r="BI17">
            <v>0.16</v>
          </cell>
          <cell r="BJ17">
            <v>0.11</v>
          </cell>
          <cell r="BK17">
            <v>0.13</v>
          </cell>
          <cell r="BL17">
            <v>0.16</v>
          </cell>
          <cell r="BM17">
            <v>0.16</v>
          </cell>
          <cell r="BN17">
            <v>0.16</v>
          </cell>
          <cell r="BO17">
            <v>0.16</v>
          </cell>
          <cell r="BP17">
            <v>0.18</v>
          </cell>
          <cell r="BQ17">
            <v>0.18</v>
          </cell>
          <cell r="BR17">
            <v>0.2</v>
          </cell>
          <cell r="BS17">
            <v>0.18</v>
          </cell>
          <cell r="BT17">
            <v>0.18</v>
          </cell>
          <cell r="BU17">
            <v>0.2</v>
          </cell>
          <cell r="BV17">
            <v>0.16</v>
          </cell>
          <cell r="BW17">
            <v>0.18</v>
          </cell>
          <cell r="BX17">
            <v>0.2</v>
          </cell>
          <cell r="BY17">
            <v>0.15</v>
          </cell>
          <cell r="BZ17">
            <v>0.17</v>
          </cell>
          <cell r="CA17">
            <v>0.19</v>
          </cell>
          <cell r="CB17">
            <v>0.15</v>
          </cell>
          <cell r="CC17">
            <v>0.17</v>
          </cell>
          <cell r="CD17">
            <v>0.19</v>
          </cell>
          <cell r="CE17">
            <v>0.15</v>
          </cell>
          <cell r="CF17">
            <v>0.17</v>
          </cell>
          <cell r="CG17">
            <v>0.19</v>
          </cell>
          <cell r="CH17">
            <v>0.15</v>
          </cell>
          <cell r="CI17">
            <v>0.17</v>
          </cell>
          <cell r="CJ17">
            <v>0.19</v>
          </cell>
          <cell r="CK17">
            <v>0.15</v>
          </cell>
          <cell r="CL17">
            <v>0.17</v>
          </cell>
          <cell r="CM17">
            <v>0.19</v>
          </cell>
          <cell r="CN17">
            <v>0.15</v>
          </cell>
          <cell r="CO17">
            <v>0.17</v>
          </cell>
          <cell r="CP17">
            <v>0.19</v>
          </cell>
          <cell r="CQ17">
            <v>0.15</v>
          </cell>
          <cell r="CR17">
            <v>0.17</v>
          </cell>
          <cell r="CS17">
            <v>0.19</v>
          </cell>
          <cell r="CV17">
            <v>5.5E-2</v>
          </cell>
          <cell r="CW17">
            <v>4.4999999999999998E-2</v>
          </cell>
          <cell r="CX17">
            <v>0.03</v>
          </cell>
          <cell r="CY17">
            <v>4.4999999999999998E-2</v>
          </cell>
          <cell r="CZ17">
            <v>4.4999999999999998E-2</v>
          </cell>
          <cell r="DA17">
            <v>0.03</v>
          </cell>
          <cell r="DB17">
            <v>4.4999999999999998E-2</v>
          </cell>
          <cell r="DC17">
            <v>4.4999999999999998E-2</v>
          </cell>
          <cell r="DD17">
            <v>0.04</v>
          </cell>
          <cell r="DE17">
            <v>4.4999999999999998E-2</v>
          </cell>
          <cell r="DF17">
            <v>4.4999999999999998E-2</v>
          </cell>
          <cell r="DG17">
            <v>0.04</v>
          </cell>
          <cell r="DH17">
            <v>4.4999999999999998E-2</v>
          </cell>
          <cell r="DI17">
            <v>4.4999999999999998E-2</v>
          </cell>
          <cell r="DJ17">
            <v>0.04</v>
          </cell>
          <cell r="DK17">
            <v>4.4999999999999998E-2</v>
          </cell>
          <cell r="DL17">
            <v>4.4999999999999998E-2</v>
          </cell>
          <cell r="DM17">
            <v>0.04</v>
          </cell>
          <cell r="DN17">
            <v>4.4999999999999998E-2</v>
          </cell>
          <cell r="DO17">
            <v>4.4999999999999998E-2</v>
          </cell>
          <cell r="DP17">
            <v>0.04</v>
          </cell>
          <cell r="DQ17">
            <v>4.4999999999999998E-2</v>
          </cell>
          <cell r="DR17">
            <v>4.4999999999999998E-2</v>
          </cell>
          <cell r="DS17">
            <v>0.04</v>
          </cell>
          <cell r="DT17">
            <v>4.4999999999999998E-2</v>
          </cell>
          <cell r="DU17">
            <v>4.4999999999999998E-2</v>
          </cell>
          <cell r="DV17">
            <v>0.04</v>
          </cell>
          <cell r="DW17">
            <v>4.4999999999999998E-2</v>
          </cell>
          <cell r="DX17">
            <v>4.4999999999999998E-2</v>
          </cell>
          <cell r="DY17">
            <v>0.04</v>
          </cell>
          <cell r="DZ17">
            <v>4.4999999999999998E-2</v>
          </cell>
          <cell r="EA17">
            <v>4.4999999999999998E-2</v>
          </cell>
          <cell r="EB17">
            <v>0.04</v>
          </cell>
          <cell r="EC17">
            <v>4.4999999999999998E-2</v>
          </cell>
          <cell r="ED17">
            <v>4.4999999999999998E-2</v>
          </cell>
          <cell r="EE17">
            <v>0.04</v>
          </cell>
          <cell r="EG17">
            <v>7.0500000000000007E-2</v>
          </cell>
          <cell r="EH17">
            <v>7.0500000000000007E-2</v>
          </cell>
          <cell r="EI17">
            <v>0.10350000000000004</v>
          </cell>
          <cell r="EJ17">
            <v>0.13175000000000001</v>
          </cell>
          <cell r="EK17">
            <v>0.1265</v>
          </cell>
          <cell r="EL17">
            <v>0.11649999999999998</v>
          </cell>
          <cell r="EM17">
            <v>0.10650000000000003</v>
          </cell>
          <cell r="EN17">
            <v>0.10450000000000002</v>
          </cell>
          <cell r="EO17">
            <v>0.10450000000000002</v>
          </cell>
          <cell r="EP17">
            <v>0.10450000000000002</v>
          </cell>
          <cell r="EQ17">
            <v>0.10450000000000002</v>
          </cell>
          <cell r="ER17">
            <v>0.10450000000000002</v>
          </cell>
          <cell r="ES17">
            <v>0.10450000000000002</v>
          </cell>
          <cell r="EU17">
            <v>0.12100000000000001</v>
          </cell>
          <cell r="EV17">
            <v>0.12100000000000001</v>
          </cell>
          <cell r="EW17">
            <v>0.16000000000000003</v>
          </cell>
          <cell r="EX17">
            <v>0.189</v>
          </cell>
          <cell r="EY17">
            <v>0.182</v>
          </cell>
          <cell r="EZ17">
            <v>0.17199999999999999</v>
          </cell>
          <cell r="FA17">
            <v>0.16200000000000003</v>
          </cell>
          <cell r="FB17">
            <v>0.16000000000000003</v>
          </cell>
          <cell r="FC17">
            <v>0.16000000000000003</v>
          </cell>
          <cell r="FD17">
            <v>0.16000000000000003</v>
          </cell>
          <cell r="FE17">
            <v>0.16000000000000003</v>
          </cell>
          <cell r="FF17">
            <v>0.16000000000000003</v>
          </cell>
          <cell r="FG17">
            <v>0.16000000000000003</v>
          </cell>
        </row>
        <row r="18">
          <cell r="C18" t="str">
            <v>RAM RAMPAGE LARAMIE 2.0 DIESEL 170 HP 4X4 AT</v>
          </cell>
          <cell r="D18" t="str">
            <v>RAMPAGE LARAMIE 2.0 DIE AT9 4X4</v>
          </cell>
          <cell r="G18">
            <v>0.7</v>
          </cell>
          <cell r="H18">
            <v>0.7</v>
          </cell>
          <cell r="I18">
            <v>0.7</v>
          </cell>
          <cell r="J18">
            <v>0.6</v>
          </cell>
          <cell r="K18">
            <v>0.6</v>
          </cell>
          <cell r="L18">
            <v>0.6</v>
          </cell>
          <cell r="M18">
            <v>0.6</v>
          </cell>
          <cell r="N18">
            <v>0.6</v>
          </cell>
          <cell r="O18">
            <v>0.6</v>
          </cell>
          <cell r="P18">
            <v>0.6</v>
          </cell>
          <cell r="Q18">
            <v>0.6</v>
          </cell>
          <cell r="R18">
            <v>0.6</v>
          </cell>
          <cell r="U18">
            <v>0.6</v>
          </cell>
          <cell r="V18">
            <v>0.3</v>
          </cell>
          <cell r="W18">
            <v>0.1</v>
          </cell>
          <cell r="X18">
            <v>0.6</v>
          </cell>
          <cell r="Y18">
            <v>0.3</v>
          </cell>
          <cell r="Z18">
            <v>0.1</v>
          </cell>
          <cell r="AA18">
            <v>0.25</v>
          </cell>
          <cell r="AB18">
            <v>0.3</v>
          </cell>
          <cell r="AC18">
            <v>0.45</v>
          </cell>
          <cell r="AD18">
            <v>0.5</v>
          </cell>
          <cell r="AE18">
            <v>0.4</v>
          </cell>
          <cell r="AF18">
            <v>0.1</v>
          </cell>
          <cell r="AG18">
            <v>0.5</v>
          </cell>
          <cell r="AH18">
            <v>0.4</v>
          </cell>
          <cell r="AI18">
            <v>0.1</v>
          </cell>
          <cell r="AJ18">
            <v>0.5</v>
          </cell>
          <cell r="AK18">
            <v>0.4</v>
          </cell>
          <cell r="AL18">
            <v>0.1</v>
          </cell>
          <cell r="AM18">
            <v>0.6</v>
          </cell>
          <cell r="AN18">
            <v>0.3</v>
          </cell>
          <cell r="AO18">
            <v>0.1</v>
          </cell>
          <cell r="AP18">
            <v>0.6</v>
          </cell>
          <cell r="AQ18">
            <v>0.3</v>
          </cell>
          <cell r="AR18">
            <v>0.1</v>
          </cell>
          <cell r="AS18">
            <v>0.6</v>
          </cell>
          <cell r="AT18">
            <v>0.3</v>
          </cell>
          <cell r="AU18">
            <v>0.1</v>
          </cell>
          <cell r="AV18">
            <v>0.6</v>
          </cell>
          <cell r="AW18">
            <v>0.3</v>
          </cell>
          <cell r="AX18">
            <v>0.1</v>
          </cell>
          <cell r="AY18">
            <v>0.6</v>
          </cell>
          <cell r="AZ18">
            <v>0.3</v>
          </cell>
          <cell r="BA18">
            <v>0.1</v>
          </cell>
          <cell r="BB18">
            <v>0.6</v>
          </cell>
          <cell r="BC18">
            <v>0.3</v>
          </cell>
          <cell r="BD18">
            <v>0.1</v>
          </cell>
          <cell r="BG18">
            <v>0.11</v>
          </cell>
          <cell r="BH18">
            <v>0.13</v>
          </cell>
          <cell r="BI18">
            <v>0.16</v>
          </cell>
          <cell r="BJ18">
            <v>0.11</v>
          </cell>
          <cell r="BK18">
            <v>0.13</v>
          </cell>
          <cell r="BL18">
            <v>0.16</v>
          </cell>
          <cell r="BM18">
            <v>0.16</v>
          </cell>
          <cell r="BN18">
            <v>0.16</v>
          </cell>
          <cell r="BO18">
            <v>0.16</v>
          </cell>
          <cell r="BP18">
            <v>0.18</v>
          </cell>
          <cell r="BQ18">
            <v>0.18</v>
          </cell>
          <cell r="BR18">
            <v>0.2</v>
          </cell>
          <cell r="BS18">
            <v>0.18</v>
          </cell>
          <cell r="BT18">
            <v>0.18</v>
          </cell>
          <cell r="BU18">
            <v>0.2</v>
          </cell>
          <cell r="BV18">
            <v>0.16</v>
          </cell>
          <cell r="BW18">
            <v>0.18</v>
          </cell>
          <cell r="BX18">
            <v>0.2</v>
          </cell>
          <cell r="BY18">
            <v>0.16</v>
          </cell>
          <cell r="BZ18">
            <v>0.18</v>
          </cell>
          <cell r="CA18">
            <v>0.2</v>
          </cell>
          <cell r="CB18">
            <v>0.16</v>
          </cell>
          <cell r="CC18">
            <v>0.18</v>
          </cell>
          <cell r="CD18">
            <v>0.2</v>
          </cell>
          <cell r="CE18">
            <v>0.16</v>
          </cell>
          <cell r="CF18">
            <v>0.18</v>
          </cell>
          <cell r="CG18">
            <v>0.2</v>
          </cell>
          <cell r="CH18">
            <v>0.16</v>
          </cell>
          <cell r="CI18">
            <v>0.18</v>
          </cell>
          <cell r="CJ18">
            <v>0.2</v>
          </cell>
          <cell r="CK18">
            <v>0.16</v>
          </cell>
          <cell r="CL18">
            <v>0.18</v>
          </cell>
          <cell r="CM18">
            <v>0.2</v>
          </cell>
          <cell r="CN18">
            <v>0.16</v>
          </cell>
          <cell r="CO18">
            <v>0.18</v>
          </cell>
          <cell r="CP18">
            <v>0.2</v>
          </cell>
          <cell r="CQ18">
            <v>0.16</v>
          </cell>
          <cell r="CR18">
            <v>0.18</v>
          </cell>
          <cell r="CS18">
            <v>0.2</v>
          </cell>
          <cell r="CV18">
            <v>5.5E-2</v>
          </cell>
          <cell r="CW18">
            <v>4.4999999999999998E-2</v>
          </cell>
          <cell r="CX18">
            <v>0.03</v>
          </cell>
          <cell r="CY18">
            <v>4.4999999999999998E-2</v>
          </cell>
          <cell r="CZ18">
            <v>4.4999999999999998E-2</v>
          </cell>
          <cell r="DA18">
            <v>0.03</v>
          </cell>
          <cell r="DB18">
            <v>4.4999999999999998E-2</v>
          </cell>
          <cell r="DC18">
            <v>4.4999999999999998E-2</v>
          </cell>
          <cell r="DD18">
            <v>0.04</v>
          </cell>
          <cell r="DE18">
            <v>4.4999999999999998E-2</v>
          </cell>
          <cell r="DF18">
            <v>4.4999999999999998E-2</v>
          </cell>
          <cell r="DG18">
            <v>0.04</v>
          </cell>
          <cell r="DH18">
            <v>4.4999999999999998E-2</v>
          </cell>
          <cell r="DI18">
            <v>4.4999999999999998E-2</v>
          </cell>
          <cell r="DJ18">
            <v>0.04</v>
          </cell>
          <cell r="DK18">
            <v>4.4999999999999998E-2</v>
          </cell>
          <cell r="DL18">
            <v>4.4999999999999998E-2</v>
          </cell>
          <cell r="DM18">
            <v>0.04</v>
          </cell>
          <cell r="DN18">
            <v>4.4999999999999998E-2</v>
          </cell>
          <cell r="DO18">
            <v>4.4999999999999998E-2</v>
          </cell>
          <cell r="DP18">
            <v>0.04</v>
          </cell>
          <cell r="DQ18">
            <v>4.4999999999999998E-2</v>
          </cell>
          <cell r="DR18">
            <v>4.4999999999999998E-2</v>
          </cell>
          <cell r="DS18">
            <v>0.04</v>
          </cell>
          <cell r="DT18">
            <v>4.4999999999999998E-2</v>
          </cell>
          <cell r="DU18">
            <v>4.4999999999999998E-2</v>
          </cell>
          <cell r="DV18">
            <v>0.04</v>
          </cell>
          <cell r="DW18">
            <v>4.4999999999999998E-2</v>
          </cell>
          <cell r="DX18">
            <v>4.4999999999999998E-2</v>
          </cell>
          <cell r="DY18">
            <v>0.04</v>
          </cell>
          <cell r="DZ18">
            <v>4.4999999999999998E-2</v>
          </cell>
          <cell r="EA18">
            <v>4.4999999999999998E-2</v>
          </cell>
          <cell r="EB18">
            <v>0.04</v>
          </cell>
          <cell r="EC18">
            <v>4.4999999999999998E-2</v>
          </cell>
          <cell r="ED18">
            <v>4.4999999999999998E-2</v>
          </cell>
          <cell r="EE18">
            <v>0.04</v>
          </cell>
          <cell r="EG18">
            <v>7.0500000000000007E-2</v>
          </cell>
          <cell r="EH18">
            <v>7.0500000000000007E-2</v>
          </cell>
          <cell r="EI18">
            <v>0.10350000000000004</v>
          </cell>
          <cell r="EJ18">
            <v>0.13175000000000001</v>
          </cell>
          <cell r="EK18">
            <v>0.1265</v>
          </cell>
          <cell r="EL18">
            <v>0.11649999999999998</v>
          </cell>
          <cell r="EM18">
            <v>0.11649999999999998</v>
          </cell>
          <cell r="EN18">
            <v>0.11449999999999998</v>
          </cell>
          <cell r="EO18">
            <v>0.11449999999999998</v>
          </cell>
          <cell r="EP18">
            <v>0.11449999999999998</v>
          </cell>
          <cell r="EQ18">
            <v>0.11449999999999998</v>
          </cell>
          <cell r="ER18">
            <v>0.11449999999999998</v>
          </cell>
          <cell r="ES18">
            <v>0.11449999999999998</v>
          </cell>
          <cell r="EU18">
            <v>0.12100000000000001</v>
          </cell>
          <cell r="EV18">
            <v>0.12100000000000001</v>
          </cell>
          <cell r="EW18">
            <v>0.16000000000000003</v>
          </cell>
          <cell r="EX18">
            <v>0.189</v>
          </cell>
          <cell r="EY18">
            <v>0.182</v>
          </cell>
          <cell r="EZ18">
            <v>0.17199999999999999</v>
          </cell>
          <cell r="FA18">
            <v>0.17199999999999999</v>
          </cell>
          <cell r="FB18">
            <v>0.16999999999999998</v>
          </cell>
          <cell r="FC18">
            <v>0.16999999999999998</v>
          </cell>
          <cell r="FD18">
            <v>0.16999999999999998</v>
          </cell>
          <cell r="FE18">
            <v>0.16999999999999998</v>
          </cell>
          <cell r="FF18">
            <v>0.16999999999999998</v>
          </cell>
          <cell r="FG18">
            <v>0.16999999999999998</v>
          </cell>
        </row>
        <row r="19">
          <cell r="C19" t="str">
            <v>RAM RAMPAGE R/T  2.0 GASOLINA 272 HP 4X4 AT</v>
          </cell>
          <cell r="D19" t="str">
            <v>RAMPAGE R/T 2.0 AT9 4X4</v>
          </cell>
          <cell r="G19">
            <v>0.7</v>
          </cell>
          <cell r="H19">
            <v>0.7</v>
          </cell>
          <cell r="I19">
            <v>0.7</v>
          </cell>
          <cell r="J19">
            <v>0.6</v>
          </cell>
          <cell r="K19">
            <v>0.6</v>
          </cell>
          <cell r="L19">
            <v>0.6</v>
          </cell>
          <cell r="M19">
            <v>0.6</v>
          </cell>
          <cell r="N19">
            <v>0.6</v>
          </cell>
          <cell r="O19">
            <v>0.6</v>
          </cell>
          <cell r="P19">
            <v>0.6</v>
          </cell>
          <cell r="Q19">
            <v>0.6</v>
          </cell>
          <cell r="R19">
            <v>0.6</v>
          </cell>
          <cell r="U19">
            <v>0.6</v>
          </cell>
          <cell r="V19">
            <v>0.3</v>
          </cell>
          <cell r="W19">
            <v>0.1</v>
          </cell>
          <cell r="X19">
            <v>0.6</v>
          </cell>
          <cell r="Y19">
            <v>0.3</v>
          </cell>
          <cell r="Z19">
            <v>0.1</v>
          </cell>
          <cell r="AA19">
            <v>0.25</v>
          </cell>
          <cell r="AB19">
            <v>0.3</v>
          </cell>
          <cell r="AC19">
            <v>0.45</v>
          </cell>
          <cell r="AD19">
            <v>0.5</v>
          </cell>
          <cell r="AE19">
            <v>0.4</v>
          </cell>
          <cell r="AF19">
            <v>0.1</v>
          </cell>
          <cell r="AG19">
            <v>0.5</v>
          </cell>
          <cell r="AH19">
            <v>0.4</v>
          </cell>
          <cell r="AI19">
            <v>0.1</v>
          </cell>
          <cell r="AJ19">
            <v>0.5</v>
          </cell>
          <cell r="AK19">
            <v>0.4</v>
          </cell>
          <cell r="AL19">
            <v>0.1</v>
          </cell>
          <cell r="AM19">
            <v>0.6</v>
          </cell>
          <cell r="AN19">
            <v>0.3</v>
          </cell>
          <cell r="AO19">
            <v>0.1</v>
          </cell>
          <cell r="AP19">
            <v>0.6</v>
          </cell>
          <cell r="AQ19">
            <v>0.3</v>
          </cell>
          <cell r="AR19">
            <v>0.1</v>
          </cell>
          <cell r="AS19">
            <v>0.6</v>
          </cell>
          <cell r="AT19">
            <v>0.3</v>
          </cell>
          <cell r="AU19">
            <v>0.1</v>
          </cell>
          <cell r="AV19">
            <v>0.6</v>
          </cell>
          <cell r="AW19">
            <v>0.3</v>
          </cell>
          <cell r="AX19">
            <v>0.1</v>
          </cell>
          <cell r="AY19">
            <v>0.6</v>
          </cell>
          <cell r="AZ19">
            <v>0.3</v>
          </cell>
          <cell r="BA19">
            <v>0.1</v>
          </cell>
          <cell r="BB19">
            <v>0.6</v>
          </cell>
          <cell r="BC19">
            <v>0.3</v>
          </cell>
          <cell r="BD19">
            <v>0.1</v>
          </cell>
          <cell r="BG19">
            <v>7.0000000000000007E-2</v>
          </cell>
          <cell r="BH19">
            <v>0.09</v>
          </cell>
          <cell r="BI19">
            <v>0.12</v>
          </cell>
          <cell r="BJ19">
            <v>7.0000000000000007E-2</v>
          </cell>
          <cell r="BK19">
            <v>0.09</v>
          </cell>
          <cell r="BL19">
            <v>0.12</v>
          </cell>
          <cell r="BM19">
            <v>7.0000000000000007E-2</v>
          </cell>
          <cell r="BN19">
            <v>0.09</v>
          </cell>
          <cell r="BO19">
            <v>0.12</v>
          </cell>
          <cell r="BP19">
            <v>0.18</v>
          </cell>
          <cell r="BQ19">
            <v>0.18</v>
          </cell>
          <cell r="BR19">
            <v>0.2</v>
          </cell>
          <cell r="BS19">
            <v>0.18</v>
          </cell>
          <cell r="BT19">
            <v>0.18</v>
          </cell>
          <cell r="BU19">
            <v>0.2</v>
          </cell>
          <cell r="BV19">
            <v>0.16</v>
          </cell>
          <cell r="BW19">
            <v>0.18</v>
          </cell>
          <cell r="BX19">
            <v>0.2</v>
          </cell>
          <cell r="BY19">
            <v>0.16</v>
          </cell>
          <cell r="BZ19">
            <v>0.18</v>
          </cell>
          <cell r="CA19">
            <v>0.2</v>
          </cell>
          <cell r="CB19">
            <v>0.16</v>
          </cell>
          <cell r="CC19">
            <v>0.18</v>
          </cell>
          <cell r="CD19">
            <v>0.2</v>
          </cell>
          <cell r="CE19">
            <v>0.16</v>
          </cell>
          <cell r="CF19">
            <v>0.18</v>
          </cell>
          <cell r="CG19">
            <v>0.2</v>
          </cell>
          <cell r="CH19">
            <v>0.16</v>
          </cell>
          <cell r="CI19">
            <v>0.18</v>
          </cell>
          <cell r="CJ19">
            <v>0.2</v>
          </cell>
          <cell r="CK19">
            <v>0.16</v>
          </cell>
          <cell r="CL19">
            <v>0.18</v>
          </cell>
          <cell r="CM19">
            <v>0.2</v>
          </cell>
          <cell r="CN19">
            <v>0.16</v>
          </cell>
          <cell r="CO19">
            <v>0.18</v>
          </cell>
          <cell r="CP19">
            <v>0.2</v>
          </cell>
          <cell r="CQ19">
            <v>0.16</v>
          </cell>
          <cell r="CR19">
            <v>0.18</v>
          </cell>
          <cell r="CS19">
            <v>0.2</v>
          </cell>
          <cell r="CV19">
            <v>6.5000000000000002E-2</v>
          </cell>
          <cell r="CW19">
            <v>5.5E-2</v>
          </cell>
          <cell r="CX19">
            <v>0.03</v>
          </cell>
          <cell r="CY19">
            <v>5.5E-2</v>
          </cell>
          <cell r="CZ19">
            <v>4.4999999999999998E-2</v>
          </cell>
          <cell r="DA19">
            <v>0.03</v>
          </cell>
          <cell r="DB19">
            <v>4.4999999999999998E-2</v>
          </cell>
          <cell r="DC19">
            <v>4.4999999999999998E-2</v>
          </cell>
          <cell r="DD19">
            <v>0.04</v>
          </cell>
          <cell r="DE19">
            <v>4.4999999999999998E-2</v>
          </cell>
          <cell r="DF19">
            <v>4.4999999999999998E-2</v>
          </cell>
          <cell r="DG19">
            <v>0.04</v>
          </cell>
          <cell r="DH19">
            <v>4.4999999999999998E-2</v>
          </cell>
          <cell r="DI19">
            <v>4.4999999999999998E-2</v>
          </cell>
          <cell r="DJ19">
            <v>0.04</v>
          </cell>
          <cell r="DK19">
            <v>4.4999999999999998E-2</v>
          </cell>
          <cell r="DL19">
            <v>4.4999999999999998E-2</v>
          </cell>
          <cell r="DM19">
            <v>0.04</v>
          </cell>
          <cell r="DN19">
            <v>4.4999999999999998E-2</v>
          </cell>
          <cell r="DO19">
            <v>4.4999999999999998E-2</v>
          </cell>
          <cell r="DP19">
            <v>0.04</v>
          </cell>
          <cell r="DQ19">
            <v>4.4999999999999998E-2</v>
          </cell>
          <cell r="DR19">
            <v>4.4999999999999998E-2</v>
          </cell>
          <cell r="DS19">
            <v>0.04</v>
          </cell>
          <cell r="DT19">
            <v>4.4999999999999998E-2</v>
          </cell>
          <cell r="DU19">
            <v>4.4999999999999998E-2</v>
          </cell>
          <cell r="DV19">
            <v>0.04</v>
          </cell>
          <cell r="DW19">
            <v>4.4999999999999998E-2</v>
          </cell>
          <cell r="DX19">
            <v>4.4999999999999998E-2</v>
          </cell>
          <cell r="DY19">
            <v>0.04</v>
          </cell>
          <cell r="DZ19">
            <v>4.4999999999999998E-2</v>
          </cell>
          <cell r="EA19">
            <v>4.4999999999999998E-2</v>
          </cell>
          <cell r="EB19">
            <v>0.04</v>
          </cell>
          <cell r="EC19">
            <v>4.4999999999999998E-2</v>
          </cell>
          <cell r="ED19">
            <v>4.4999999999999998E-2</v>
          </cell>
          <cell r="EE19">
            <v>0.04</v>
          </cell>
          <cell r="EG19">
            <v>3.95E-2</v>
          </cell>
          <cell r="EH19">
            <v>3.95E-2</v>
          </cell>
          <cell r="EI19">
            <v>3.0499999999999999E-2</v>
          </cell>
          <cell r="EJ19">
            <v>0.13175000000000001</v>
          </cell>
          <cell r="EK19">
            <v>0.1265</v>
          </cell>
          <cell r="EL19">
            <v>0.11649999999999998</v>
          </cell>
          <cell r="EM19">
            <v>0.11649999999999998</v>
          </cell>
          <cell r="EN19">
            <v>0.11449999999999998</v>
          </cell>
          <cell r="EO19">
            <v>0.11449999999999998</v>
          </cell>
          <cell r="EP19">
            <v>0.11449999999999998</v>
          </cell>
          <cell r="EQ19">
            <v>0.11449999999999998</v>
          </cell>
          <cell r="ER19">
            <v>0.11449999999999998</v>
          </cell>
          <cell r="ES19">
            <v>0.11449999999999998</v>
          </cell>
          <cell r="EU19">
            <v>8.1000000000000003E-2</v>
          </cell>
          <cell r="EV19">
            <v>8.1000000000000003E-2</v>
          </cell>
          <cell r="EW19">
            <v>8.1000000000000003E-2</v>
          </cell>
          <cell r="EX19">
            <v>0.189</v>
          </cell>
          <cell r="EY19">
            <v>0.182</v>
          </cell>
          <cell r="EZ19">
            <v>0.17199999999999999</v>
          </cell>
          <cell r="FA19">
            <v>0.17199999999999999</v>
          </cell>
          <cell r="FB19">
            <v>0.16999999999999998</v>
          </cell>
          <cell r="FC19">
            <v>0.16999999999999998</v>
          </cell>
          <cell r="FD19">
            <v>0.16999999999999998</v>
          </cell>
          <cell r="FE19">
            <v>0.16999999999999998</v>
          </cell>
          <cell r="FF19">
            <v>0.16999999999999998</v>
          </cell>
          <cell r="FG19">
            <v>0.16999999999999998</v>
          </cell>
        </row>
        <row r="20">
          <cell r="C20"/>
          <cell r="D20" t="str">
            <v/>
          </cell>
          <cell r="G20">
            <v>0.7</v>
          </cell>
          <cell r="H20">
            <v>0.7</v>
          </cell>
          <cell r="I20">
            <v>0.7</v>
          </cell>
          <cell r="J20">
            <v>0.6</v>
          </cell>
          <cell r="K20">
            <v>0.6</v>
          </cell>
          <cell r="L20">
            <v>0.6</v>
          </cell>
          <cell r="M20">
            <v>0.6</v>
          </cell>
          <cell r="N20">
            <v>0.6</v>
          </cell>
          <cell r="O20">
            <v>0.6</v>
          </cell>
          <cell r="P20">
            <v>0.6</v>
          </cell>
          <cell r="Q20">
            <v>0.6</v>
          </cell>
          <cell r="R20">
            <v>0.6</v>
          </cell>
          <cell r="U20">
            <v>0.6</v>
          </cell>
          <cell r="V20">
            <v>0.3</v>
          </cell>
          <cell r="W20">
            <v>0.1</v>
          </cell>
          <cell r="X20">
            <v>0.6</v>
          </cell>
          <cell r="Y20">
            <v>0.3</v>
          </cell>
          <cell r="Z20">
            <v>0.1</v>
          </cell>
          <cell r="AA20">
            <v>0.25</v>
          </cell>
          <cell r="AB20">
            <v>0.3</v>
          </cell>
          <cell r="AC20">
            <v>0.45</v>
          </cell>
          <cell r="AD20">
            <v>0.5</v>
          </cell>
          <cell r="AE20">
            <v>0.4</v>
          </cell>
          <cell r="AF20">
            <v>0.1</v>
          </cell>
          <cell r="AG20">
            <v>0.5</v>
          </cell>
          <cell r="AH20">
            <v>0.4</v>
          </cell>
          <cell r="AI20">
            <v>0.1</v>
          </cell>
          <cell r="AJ20">
            <v>0.5</v>
          </cell>
          <cell r="AK20">
            <v>0.4</v>
          </cell>
          <cell r="AL20">
            <v>0.1</v>
          </cell>
          <cell r="AM20">
            <v>0.6</v>
          </cell>
          <cell r="AN20">
            <v>0.3</v>
          </cell>
          <cell r="AO20">
            <v>0.1</v>
          </cell>
          <cell r="AP20">
            <v>0.6</v>
          </cell>
          <cell r="AQ20">
            <v>0.3</v>
          </cell>
          <cell r="AR20">
            <v>0.1</v>
          </cell>
          <cell r="AS20">
            <v>0.6</v>
          </cell>
          <cell r="AT20">
            <v>0.3</v>
          </cell>
          <cell r="AU20">
            <v>0.1</v>
          </cell>
          <cell r="AV20">
            <v>0.6</v>
          </cell>
          <cell r="AW20">
            <v>0.3</v>
          </cell>
          <cell r="AX20">
            <v>0.1</v>
          </cell>
          <cell r="AY20">
            <v>0.6</v>
          </cell>
          <cell r="AZ20">
            <v>0.3</v>
          </cell>
          <cell r="BA20">
            <v>0.1</v>
          </cell>
          <cell r="BB20">
            <v>0.6</v>
          </cell>
          <cell r="BC20">
            <v>0.3</v>
          </cell>
          <cell r="BD20">
            <v>0.1</v>
          </cell>
          <cell r="BG20">
            <v>0.1</v>
          </cell>
          <cell r="BH20">
            <v>0.14000000000000001</v>
          </cell>
          <cell r="BI20">
            <v>0.18</v>
          </cell>
          <cell r="BJ20">
            <v>0.1</v>
          </cell>
          <cell r="BK20">
            <v>0.14000000000000001</v>
          </cell>
          <cell r="BL20">
            <v>0.18</v>
          </cell>
          <cell r="BM20">
            <v>0.1</v>
          </cell>
          <cell r="BN20">
            <v>0.14000000000000001</v>
          </cell>
          <cell r="BO20">
            <v>0.18</v>
          </cell>
          <cell r="BP20">
            <v>0.18</v>
          </cell>
          <cell r="BQ20">
            <v>0.18</v>
          </cell>
          <cell r="BR20">
            <v>0.2</v>
          </cell>
          <cell r="BS20">
            <v>0.18</v>
          </cell>
          <cell r="BT20">
            <v>0.18</v>
          </cell>
          <cell r="BU20">
            <v>0.2</v>
          </cell>
          <cell r="BV20">
            <v>0.16</v>
          </cell>
          <cell r="BW20">
            <v>0.18</v>
          </cell>
          <cell r="BX20">
            <v>0.2</v>
          </cell>
          <cell r="BY20">
            <v>0.16</v>
          </cell>
          <cell r="BZ20">
            <v>0.18</v>
          </cell>
          <cell r="CA20">
            <v>0.2</v>
          </cell>
          <cell r="CB20">
            <v>0.16</v>
          </cell>
          <cell r="CC20">
            <v>0.18</v>
          </cell>
          <cell r="CD20">
            <v>0.2</v>
          </cell>
          <cell r="CE20">
            <v>0.16</v>
          </cell>
          <cell r="CF20">
            <v>0.18</v>
          </cell>
          <cell r="CG20">
            <v>0.2</v>
          </cell>
          <cell r="CH20">
            <v>0.16</v>
          </cell>
          <cell r="CI20">
            <v>0.18</v>
          </cell>
          <cell r="CJ20">
            <v>0.2</v>
          </cell>
          <cell r="CK20">
            <v>0.16</v>
          </cell>
          <cell r="CL20">
            <v>0.18</v>
          </cell>
          <cell r="CM20">
            <v>0.2</v>
          </cell>
          <cell r="CN20">
            <v>0.16</v>
          </cell>
          <cell r="CO20">
            <v>0.18</v>
          </cell>
          <cell r="CP20">
            <v>0.2</v>
          </cell>
          <cell r="CQ20">
            <v>0.16</v>
          </cell>
          <cell r="CR20">
            <v>0.18</v>
          </cell>
          <cell r="CS20">
            <v>0.2</v>
          </cell>
          <cell r="CV20">
            <v>5.5E-2</v>
          </cell>
          <cell r="CW20">
            <v>4.4999999999999998E-2</v>
          </cell>
          <cell r="CX20">
            <v>0.03</v>
          </cell>
          <cell r="CY20">
            <v>5.5E-2</v>
          </cell>
          <cell r="CZ20">
            <v>4.4999999999999998E-2</v>
          </cell>
          <cell r="DA20">
            <v>0.03</v>
          </cell>
          <cell r="DB20">
            <v>4.4999999999999998E-2</v>
          </cell>
          <cell r="DC20">
            <v>4.4999999999999998E-2</v>
          </cell>
          <cell r="DD20">
            <v>0.04</v>
          </cell>
          <cell r="DE20">
            <v>4.4999999999999998E-2</v>
          </cell>
          <cell r="DF20">
            <v>4.4999999999999998E-2</v>
          </cell>
          <cell r="DG20">
            <v>0.04</v>
          </cell>
          <cell r="DH20">
            <v>4.4999999999999998E-2</v>
          </cell>
          <cell r="DI20">
            <v>4.4999999999999998E-2</v>
          </cell>
          <cell r="DJ20">
            <v>0.04</v>
          </cell>
          <cell r="DK20">
            <v>4.4999999999999998E-2</v>
          </cell>
          <cell r="DL20">
            <v>4.4999999999999998E-2</v>
          </cell>
          <cell r="DM20">
            <v>0.04</v>
          </cell>
          <cell r="DN20">
            <v>4.4999999999999998E-2</v>
          </cell>
          <cell r="DO20">
            <v>4.4999999999999998E-2</v>
          </cell>
          <cell r="DP20">
            <v>0.04</v>
          </cell>
          <cell r="DQ20">
            <v>4.4999999999999998E-2</v>
          </cell>
          <cell r="DR20">
            <v>4.4999999999999998E-2</v>
          </cell>
          <cell r="DS20">
            <v>0.04</v>
          </cell>
          <cell r="DT20">
            <v>4.4999999999999998E-2</v>
          </cell>
          <cell r="DU20">
            <v>4.4999999999999998E-2</v>
          </cell>
          <cell r="DV20">
            <v>0.04</v>
          </cell>
          <cell r="DW20">
            <v>4.4999999999999998E-2</v>
          </cell>
          <cell r="DX20">
            <v>4.4999999999999998E-2</v>
          </cell>
          <cell r="DY20">
            <v>0.04</v>
          </cell>
          <cell r="DZ20">
            <v>4.4999999999999998E-2</v>
          </cell>
          <cell r="EA20">
            <v>4.4999999999999998E-2</v>
          </cell>
          <cell r="EB20">
            <v>0.04</v>
          </cell>
          <cell r="EC20">
            <v>4.4999999999999998E-2</v>
          </cell>
          <cell r="ED20">
            <v>4.4999999999999998E-2</v>
          </cell>
          <cell r="EE20">
            <v>0.04</v>
          </cell>
          <cell r="EG20">
            <v>6.9500000000000006E-2</v>
          </cell>
          <cell r="EH20">
            <v>6.9500000000000006E-2</v>
          </cell>
          <cell r="EI20">
            <v>6.9500000000000006E-2</v>
          </cell>
          <cell r="EJ20">
            <v>0.13175000000000001</v>
          </cell>
          <cell r="EK20">
            <v>0.1265</v>
          </cell>
          <cell r="EL20">
            <v>0.11649999999999998</v>
          </cell>
          <cell r="EM20">
            <v>0.11649999999999998</v>
          </cell>
          <cell r="EN20">
            <v>0.11449999999999998</v>
          </cell>
          <cell r="EO20">
            <v>0.11449999999999998</v>
          </cell>
          <cell r="EP20">
            <v>0.11449999999999998</v>
          </cell>
          <cell r="EQ20">
            <v>0.11449999999999998</v>
          </cell>
          <cell r="ER20">
            <v>0.11449999999999998</v>
          </cell>
          <cell r="ES20">
            <v>0.11449999999999998</v>
          </cell>
          <cell r="EU20">
            <v>0.12000000000000001</v>
          </cell>
          <cell r="EV20">
            <v>0.12000000000000001</v>
          </cell>
          <cell r="EW20">
            <v>0.12000000000000001</v>
          </cell>
          <cell r="EX20">
            <v>0.189</v>
          </cell>
          <cell r="EY20">
            <v>0.182</v>
          </cell>
          <cell r="EZ20">
            <v>0.17199999999999999</v>
          </cell>
          <cell r="FA20">
            <v>0.17199999999999999</v>
          </cell>
          <cell r="FB20">
            <v>0.16999999999999998</v>
          </cell>
          <cell r="FC20">
            <v>0.16999999999999998</v>
          </cell>
          <cell r="FD20">
            <v>0.16999999999999998</v>
          </cell>
          <cell r="FE20">
            <v>0.16999999999999998</v>
          </cell>
          <cell r="FF20">
            <v>0.16999999999999998</v>
          </cell>
          <cell r="FG20">
            <v>0.16999999999999998</v>
          </cell>
        </row>
        <row r="21">
          <cell r="C21" t="str">
            <v>RAM DAKOTA WARLOCK</v>
          </cell>
          <cell r="D21" t="str">
            <v>RAM DAKOTA WARLOCK</v>
          </cell>
          <cell r="G21">
            <v>0.7</v>
          </cell>
          <cell r="H21">
            <v>0.7</v>
          </cell>
          <cell r="I21">
            <v>0.7</v>
          </cell>
          <cell r="J21">
            <v>0.7</v>
          </cell>
          <cell r="K21">
            <v>0.7</v>
          </cell>
          <cell r="L21">
            <v>0.7</v>
          </cell>
          <cell r="M21">
            <v>0.7</v>
          </cell>
          <cell r="N21">
            <v>0.7</v>
          </cell>
          <cell r="O21">
            <v>0.7</v>
          </cell>
          <cell r="P21">
            <v>0.7</v>
          </cell>
          <cell r="Q21">
            <v>0.7</v>
          </cell>
          <cell r="R21">
            <v>0.7</v>
          </cell>
          <cell r="U21">
            <v>0.6</v>
          </cell>
          <cell r="V21">
            <v>0.3</v>
          </cell>
          <cell r="W21">
            <v>0.1</v>
          </cell>
          <cell r="X21">
            <v>0.6</v>
          </cell>
          <cell r="Y21">
            <v>0.3</v>
          </cell>
          <cell r="Z21">
            <v>0.1</v>
          </cell>
          <cell r="AA21">
            <v>0.15</v>
          </cell>
          <cell r="AB21">
            <v>0.25</v>
          </cell>
          <cell r="AC21">
            <v>0.6</v>
          </cell>
          <cell r="AD21">
            <v>0.5</v>
          </cell>
          <cell r="AE21">
            <v>0.4</v>
          </cell>
          <cell r="AF21">
            <v>0.1</v>
          </cell>
          <cell r="AG21">
            <v>0.5</v>
          </cell>
          <cell r="AH21">
            <v>0.4</v>
          </cell>
          <cell r="AI21">
            <v>0.1</v>
          </cell>
          <cell r="AJ21">
            <v>0.5</v>
          </cell>
          <cell r="AK21">
            <v>0.4</v>
          </cell>
          <cell r="AL21">
            <v>0.1</v>
          </cell>
          <cell r="AM21">
            <v>0.6</v>
          </cell>
          <cell r="AN21">
            <v>0.3</v>
          </cell>
          <cell r="AO21">
            <v>0.1</v>
          </cell>
          <cell r="AP21">
            <v>0.6</v>
          </cell>
          <cell r="AQ21">
            <v>0.3</v>
          </cell>
          <cell r="AR21">
            <v>0.1</v>
          </cell>
          <cell r="AS21">
            <v>0.6</v>
          </cell>
          <cell r="AT21">
            <v>0.3</v>
          </cell>
          <cell r="AU21">
            <v>0.1</v>
          </cell>
          <cell r="AV21">
            <v>0.6</v>
          </cell>
          <cell r="AW21">
            <v>0.3</v>
          </cell>
          <cell r="AX21">
            <v>0.1</v>
          </cell>
          <cell r="AY21">
            <v>0.6</v>
          </cell>
          <cell r="AZ21">
            <v>0.3</v>
          </cell>
          <cell r="BA21">
            <v>0.1</v>
          </cell>
          <cell r="BB21">
            <v>0.6</v>
          </cell>
          <cell r="BC21">
            <v>0.3</v>
          </cell>
          <cell r="BD21">
            <v>0.1</v>
          </cell>
          <cell r="BG21">
            <v>0.1</v>
          </cell>
          <cell r="BH21">
            <v>0.14000000000000001</v>
          </cell>
          <cell r="BI21">
            <v>0.18</v>
          </cell>
          <cell r="BJ21">
            <v>0.1</v>
          </cell>
          <cell r="BK21">
            <v>0.14000000000000001</v>
          </cell>
          <cell r="BL21">
            <v>0.18</v>
          </cell>
          <cell r="BM21">
            <v>0.1</v>
          </cell>
          <cell r="BN21">
            <v>0.14000000000000001</v>
          </cell>
          <cell r="BO21">
            <v>0.18</v>
          </cell>
          <cell r="BP21">
            <v>0.1</v>
          </cell>
          <cell r="BQ21">
            <v>0.14000000000000001</v>
          </cell>
          <cell r="BR21">
            <v>0.16</v>
          </cell>
          <cell r="BS21">
            <v>0.1</v>
          </cell>
          <cell r="BT21">
            <v>0.14000000000000001</v>
          </cell>
          <cell r="BU21">
            <v>0.16</v>
          </cell>
          <cell r="BV21">
            <v>0.12</v>
          </cell>
          <cell r="BW21">
            <v>0.16</v>
          </cell>
          <cell r="BX21">
            <v>0.18</v>
          </cell>
          <cell r="BY21">
            <v>0.12</v>
          </cell>
          <cell r="BZ21">
            <v>0.16</v>
          </cell>
          <cell r="CA21">
            <v>0.18</v>
          </cell>
          <cell r="CB21">
            <v>0.12</v>
          </cell>
          <cell r="CC21">
            <v>0.16</v>
          </cell>
          <cell r="CD21">
            <v>0.18</v>
          </cell>
          <cell r="CE21">
            <v>0.12</v>
          </cell>
          <cell r="CF21">
            <v>0.16</v>
          </cell>
          <cell r="CG21">
            <v>0.18</v>
          </cell>
          <cell r="CH21">
            <v>0.12</v>
          </cell>
          <cell r="CI21">
            <v>0.16</v>
          </cell>
          <cell r="CJ21">
            <v>0.18</v>
          </cell>
          <cell r="CK21">
            <v>0.12</v>
          </cell>
          <cell r="CL21">
            <v>0.16</v>
          </cell>
          <cell r="CM21">
            <v>0.18</v>
          </cell>
          <cell r="CN21">
            <v>0.12</v>
          </cell>
          <cell r="CO21">
            <v>0.16</v>
          </cell>
          <cell r="CP21">
            <v>0.18</v>
          </cell>
          <cell r="CQ21">
            <v>0.12</v>
          </cell>
          <cell r="CR21">
            <v>0.16</v>
          </cell>
          <cell r="CS21">
            <v>0.18</v>
          </cell>
          <cell r="CV21">
            <v>5.5E-2</v>
          </cell>
          <cell r="CW21">
            <v>4.4999999999999998E-2</v>
          </cell>
          <cell r="CX21">
            <v>0.03</v>
          </cell>
          <cell r="CY21">
            <v>5.5E-2</v>
          </cell>
          <cell r="CZ21">
            <v>4.4999999999999998E-2</v>
          </cell>
          <cell r="DA21">
            <v>0.03</v>
          </cell>
          <cell r="DB21">
            <v>5.5E-2</v>
          </cell>
          <cell r="DC21">
            <v>4.4999999999999998E-2</v>
          </cell>
          <cell r="DD21">
            <v>0.04</v>
          </cell>
          <cell r="DE21">
            <v>5.5E-2</v>
          </cell>
          <cell r="DF21">
            <v>4.4999999999999998E-2</v>
          </cell>
          <cell r="DG21">
            <v>0.04</v>
          </cell>
          <cell r="DH21">
            <v>0.05</v>
          </cell>
          <cell r="DI21">
            <v>4.4999999999999998E-2</v>
          </cell>
          <cell r="DJ21">
            <v>0.04</v>
          </cell>
          <cell r="DK21">
            <v>0.05</v>
          </cell>
          <cell r="DL21">
            <v>4.4999999999999998E-2</v>
          </cell>
          <cell r="DM21">
            <v>0.04</v>
          </cell>
          <cell r="DN21">
            <v>0.05</v>
          </cell>
          <cell r="DO21">
            <v>4.4999999999999998E-2</v>
          </cell>
          <cell r="DP21">
            <v>0.04</v>
          </cell>
          <cell r="DQ21">
            <v>0.05</v>
          </cell>
          <cell r="DR21">
            <v>4.4999999999999998E-2</v>
          </cell>
          <cell r="DS21">
            <v>0.04</v>
          </cell>
          <cell r="DT21">
            <v>0.05</v>
          </cell>
          <cell r="DU21">
            <v>4.4999999999999998E-2</v>
          </cell>
          <cell r="DV21">
            <v>0.04</v>
          </cell>
          <cell r="DW21">
            <v>0.05</v>
          </cell>
          <cell r="DX21">
            <v>4.4999999999999998E-2</v>
          </cell>
          <cell r="DY21">
            <v>0.04</v>
          </cell>
          <cell r="DZ21">
            <v>0.05</v>
          </cell>
          <cell r="EA21">
            <v>4.4999999999999998E-2</v>
          </cell>
          <cell r="EB21">
            <v>0.04</v>
          </cell>
          <cell r="EC21">
            <v>0.05</v>
          </cell>
          <cell r="ED21">
            <v>4.4999999999999998E-2</v>
          </cell>
          <cell r="EE21">
            <v>0.04</v>
          </cell>
          <cell r="EG21">
            <v>6.9500000000000006E-2</v>
          </cell>
          <cell r="EH21">
            <v>6.9500000000000006E-2</v>
          </cell>
          <cell r="EI21">
            <v>6.9500000000000006E-2</v>
          </cell>
          <cell r="EJ21">
            <v>8.950000000000001E-2</v>
          </cell>
          <cell r="EK21">
            <v>7.1500000000000008E-2</v>
          </cell>
          <cell r="EL21">
            <v>8.8999999999999982E-2</v>
          </cell>
          <cell r="EM21">
            <v>8.8999999999999982E-2</v>
          </cell>
          <cell r="EN21">
            <v>8.5499999999999979E-2</v>
          </cell>
          <cell r="EO21">
            <v>8.5499999999999979E-2</v>
          </cell>
          <cell r="EP21">
            <v>8.5499999999999979E-2</v>
          </cell>
          <cell r="EQ21">
            <v>8.5499999999999979E-2</v>
          </cell>
          <cell r="ER21">
            <v>8.5499999999999979E-2</v>
          </cell>
          <cell r="ES21">
            <v>8.5499999999999979E-2</v>
          </cell>
          <cell r="EU21">
            <v>0.12000000000000001</v>
          </cell>
          <cell r="EV21">
            <v>0.12000000000000001</v>
          </cell>
          <cell r="EW21">
            <v>0.12000000000000001</v>
          </cell>
          <cell r="EX21">
            <v>0.14600000000000002</v>
          </cell>
          <cell r="EY21">
            <v>0.12200000000000001</v>
          </cell>
          <cell r="EZ21">
            <v>0.14199999999999999</v>
          </cell>
          <cell r="FA21">
            <v>0.14199999999999999</v>
          </cell>
          <cell r="FB21">
            <v>0.13799999999999998</v>
          </cell>
          <cell r="FC21">
            <v>0.13799999999999998</v>
          </cell>
          <cell r="FD21">
            <v>0.13799999999999998</v>
          </cell>
          <cell r="FE21">
            <v>0.13799999999999998</v>
          </cell>
          <cell r="FF21">
            <v>0.13799999999999998</v>
          </cell>
          <cell r="FG21">
            <v>0.13799999999999998</v>
          </cell>
        </row>
        <row r="22">
          <cell r="C22" t="str">
            <v>RAM DAKOTA LARAMIE</v>
          </cell>
          <cell r="D22" t="str">
            <v>RAM DAKOTA LARAMIE</v>
          </cell>
          <cell r="G22">
            <v>0.7</v>
          </cell>
          <cell r="H22">
            <v>0.7</v>
          </cell>
          <cell r="I22">
            <v>0.7</v>
          </cell>
          <cell r="J22">
            <v>0.7</v>
          </cell>
          <cell r="K22">
            <v>0.7</v>
          </cell>
          <cell r="L22">
            <v>0.7</v>
          </cell>
          <cell r="M22">
            <v>0.7</v>
          </cell>
          <cell r="N22">
            <v>0.7</v>
          </cell>
          <cell r="O22">
            <v>0.7</v>
          </cell>
          <cell r="P22">
            <v>0.7</v>
          </cell>
          <cell r="Q22">
            <v>0.7</v>
          </cell>
          <cell r="R22">
            <v>0.7</v>
          </cell>
          <cell r="U22">
            <v>0.6</v>
          </cell>
          <cell r="V22">
            <v>0.3</v>
          </cell>
          <cell r="W22">
            <v>0.1</v>
          </cell>
          <cell r="X22">
            <v>0.6</v>
          </cell>
          <cell r="Y22">
            <v>0.3</v>
          </cell>
          <cell r="Z22">
            <v>0.1</v>
          </cell>
          <cell r="AA22">
            <v>0.15</v>
          </cell>
          <cell r="AB22">
            <v>0.25</v>
          </cell>
          <cell r="AC22">
            <v>0.6</v>
          </cell>
          <cell r="AD22">
            <v>0.5</v>
          </cell>
          <cell r="AE22">
            <v>0.4</v>
          </cell>
          <cell r="AF22">
            <v>0.1</v>
          </cell>
          <cell r="AG22">
            <v>0.5</v>
          </cell>
          <cell r="AH22">
            <v>0.4</v>
          </cell>
          <cell r="AI22">
            <v>0.1</v>
          </cell>
          <cell r="AJ22">
            <v>0.5</v>
          </cell>
          <cell r="AK22">
            <v>0.4</v>
          </cell>
          <cell r="AL22">
            <v>0.1</v>
          </cell>
          <cell r="AM22">
            <v>0.6</v>
          </cell>
          <cell r="AN22">
            <v>0.3</v>
          </cell>
          <cell r="AO22">
            <v>0.1</v>
          </cell>
          <cell r="AP22">
            <v>0.6</v>
          </cell>
          <cell r="AQ22">
            <v>0.3</v>
          </cell>
          <cell r="AR22">
            <v>0.1</v>
          </cell>
          <cell r="AS22">
            <v>0.6</v>
          </cell>
          <cell r="AT22">
            <v>0.3</v>
          </cell>
          <cell r="AU22">
            <v>0.1</v>
          </cell>
          <cell r="AV22">
            <v>0.6</v>
          </cell>
          <cell r="AW22">
            <v>0.3</v>
          </cell>
          <cell r="AX22">
            <v>0.1</v>
          </cell>
          <cell r="AY22">
            <v>0.6</v>
          </cell>
          <cell r="AZ22">
            <v>0.3</v>
          </cell>
          <cell r="BA22">
            <v>0.1</v>
          </cell>
          <cell r="BB22">
            <v>0.6</v>
          </cell>
          <cell r="BC22">
            <v>0.3</v>
          </cell>
          <cell r="BD22">
            <v>0.1</v>
          </cell>
          <cell r="BG22">
            <v>0.1</v>
          </cell>
          <cell r="BH22">
            <v>0.14000000000000001</v>
          </cell>
          <cell r="BI22">
            <v>0.18</v>
          </cell>
          <cell r="BJ22">
            <v>0.1</v>
          </cell>
          <cell r="BK22">
            <v>0.14000000000000001</v>
          </cell>
          <cell r="BL22">
            <v>0.18</v>
          </cell>
          <cell r="BM22">
            <v>0.1</v>
          </cell>
          <cell r="BN22">
            <v>0.14000000000000001</v>
          </cell>
          <cell r="BO22">
            <v>0.18</v>
          </cell>
          <cell r="BP22">
            <v>0.1</v>
          </cell>
          <cell r="BQ22">
            <v>0.14000000000000001</v>
          </cell>
          <cell r="BR22">
            <v>0.16</v>
          </cell>
          <cell r="BS22">
            <v>0.1</v>
          </cell>
          <cell r="BT22">
            <v>0.14000000000000001</v>
          </cell>
          <cell r="BU22">
            <v>0.16</v>
          </cell>
          <cell r="BV22">
            <v>0.12</v>
          </cell>
          <cell r="BW22">
            <v>0.16</v>
          </cell>
          <cell r="BX22">
            <v>0.18</v>
          </cell>
          <cell r="BY22">
            <v>0.12</v>
          </cell>
          <cell r="BZ22">
            <v>0.16</v>
          </cell>
          <cell r="CA22">
            <v>0.18</v>
          </cell>
          <cell r="CB22">
            <v>0.12</v>
          </cell>
          <cell r="CC22">
            <v>0.16</v>
          </cell>
          <cell r="CD22">
            <v>0.18</v>
          </cell>
          <cell r="CE22">
            <v>0.12</v>
          </cell>
          <cell r="CF22">
            <v>0.16</v>
          </cell>
          <cell r="CG22">
            <v>0.18</v>
          </cell>
          <cell r="CH22">
            <v>0.12</v>
          </cell>
          <cell r="CI22">
            <v>0.16</v>
          </cell>
          <cell r="CJ22">
            <v>0.18</v>
          </cell>
          <cell r="CK22">
            <v>0.12</v>
          </cell>
          <cell r="CL22">
            <v>0.16</v>
          </cell>
          <cell r="CM22">
            <v>0.18</v>
          </cell>
          <cell r="CN22">
            <v>0.12</v>
          </cell>
          <cell r="CO22">
            <v>0.16</v>
          </cell>
          <cell r="CP22">
            <v>0.18</v>
          </cell>
          <cell r="CQ22">
            <v>0.12</v>
          </cell>
          <cell r="CR22">
            <v>0.16</v>
          </cell>
          <cell r="CS22">
            <v>0.18</v>
          </cell>
          <cell r="CV22">
            <v>5.5E-2</v>
          </cell>
          <cell r="CW22">
            <v>4.4999999999999998E-2</v>
          </cell>
          <cell r="CX22">
            <v>0.03</v>
          </cell>
          <cell r="CY22">
            <v>5.5E-2</v>
          </cell>
          <cell r="CZ22">
            <v>4.4999999999999998E-2</v>
          </cell>
          <cell r="DA22">
            <v>0.03</v>
          </cell>
          <cell r="DB22">
            <v>5.5E-2</v>
          </cell>
          <cell r="DC22">
            <v>4.4999999999999998E-2</v>
          </cell>
          <cell r="DD22">
            <v>0.04</v>
          </cell>
          <cell r="DE22">
            <v>5.5E-2</v>
          </cell>
          <cell r="DF22">
            <v>4.4999999999999998E-2</v>
          </cell>
          <cell r="DG22">
            <v>0.04</v>
          </cell>
          <cell r="DH22">
            <v>0.05</v>
          </cell>
          <cell r="DI22">
            <v>4.4999999999999998E-2</v>
          </cell>
          <cell r="DJ22">
            <v>0.04</v>
          </cell>
          <cell r="DK22">
            <v>0.05</v>
          </cell>
          <cell r="DL22">
            <v>4.4999999999999998E-2</v>
          </cell>
          <cell r="DM22">
            <v>0.04</v>
          </cell>
          <cell r="DN22">
            <v>0.05</v>
          </cell>
          <cell r="DO22">
            <v>4.4999999999999998E-2</v>
          </cell>
          <cell r="DP22">
            <v>0.04</v>
          </cell>
          <cell r="DQ22">
            <v>0.05</v>
          </cell>
          <cell r="DR22">
            <v>4.4999999999999998E-2</v>
          </cell>
          <cell r="DS22">
            <v>0.04</v>
          </cell>
          <cell r="DT22">
            <v>0.05</v>
          </cell>
          <cell r="DU22">
            <v>4.4999999999999998E-2</v>
          </cell>
          <cell r="DV22">
            <v>0.04</v>
          </cell>
          <cell r="DW22">
            <v>0.05</v>
          </cell>
          <cell r="DX22">
            <v>4.4999999999999998E-2</v>
          </cell>
          <cell r="DY22">
            <v>0.04</v>
          </cell>
          <cell r="DZ22">
            <v>0.05</v>
          </cell>
          <cell r="EA22">
            <v>4.4999999999999998E-2</v>
          </cell>
          <cell r="EB22">
            <v>0.04</v>
          </cell>
          <cell r="EC22">
            <v>0.05</v>
          </cell>
          <cell r="ED22">
            <v>4.4999999999999998E-2</v>
          </cell>
          <cell r="EE22">
            <v>0.04</v>
          </cell>
          <cell r="EG22">
            <v>6.9500000000000006E-2</v>
          </cell>
          <cell r="EH22">
            <v>6.9500000000000006E-2</v>
          </cell>
          <cell r="EI22">
            <v>6.9500000000000006E-2</v>
          </cell>
          <cell r="EJ22">
            <v>8.950000000000001E-2</v>
          </cell>
          <cell r="EK22">
            <v>7.1500000000000008E-2</v>
          </cell>
          <cell r="EL22">
            <v>8.8999999999999982E-2</v>
          </cell>
          <cell r="EM22">
            <v>8.8999999999999982E-2</v>
          </cell>
          <cell r="EN22">
            <v>8.5499999999999979E-2</v>
          </cell>
          <cell r="EO22">
            <v>8.5499999999999979E-2</v>
          </cell>
          <cell r="EP22">
            <v>8.5499999999999979E-2</v>
          </cell>
          <cell r="EQ22">
            <v>8.5499999999999979E-2</v>
          </cell>
          <cell r="ER22">
            <v>8.5499999999999979E-2</v>
          </cell>
          <cell r="ES22">
            <v>8.5499999999999979E-2</v>
          </cell>
          <cell r="EU22">
            <v>0.12000000000000001</v>
          </cell>
          <cell r="EV22">
            <v>0.12000000000000001</v>
          </cell>
          <cell r="EW22">
            <v>0.12000000000000001</v>
          </cell>
          <cell r="EX22">
            <v>0.14600000000000002</v>
          </cell>
          <cell r="EY22">
            <v>0.12200000000000001</v>
          </cell>
          <cell r="EZ22">
            <v>0.14199999999999999</v>
          </cell>
          <cell r="FA22">
            <v>0.14199999999999999</v>
          </cell>
          <cell r="FB22">
            <v>0.13799999999999998</v>
          </cell>
          <cell r="FC22">
            <v>0.13799999999999998</v>
          </cell>
          <cell r="FD22">
            <v>0.13799999999999998</v>
          </cell>
          <cell r="FE22">
            <v>0.13799999999999998</v>
          </cell>
          <cell r="FF22">
            <v>0.13799999999999998</v>
          </cell>
          <cell r="FG22">
            <v>0.13799999999999998</v>
          </cell>
        </row>
        <row r="23">
          <cell r="C23"/>
          <cell r="D23" t="str">
            <v/>
          </cell>
          <cell r="G23">
            <v>0.7</v>
          </cell>
          <cell r="H23">
            <v>0.7</v>
          </cell>
          <cell r="I23">
            <v>0.7</v>
          </cell>
          <cell r="J23">
            <v>0.7</v>
          </cell>
          <cell r="K23">
            <v>0.7</v>
          </cell>
          <cell r="L23">
            <v>0.7</v>
          </cell>
          <cell r="M23">
            <v>0.7</v>
          </cell>
          <cell r="N23">
            <v>0.7</v>
          </cell>
          <cell r="O23">
            <v>0.7</v>
          </cell>
          <cell r="P23">
            <v>0.7</v>
          </cell>
          <cell r="Q23">
            <v>0.7</v>
          </cell>
          <cell r="R23">
            <v>0.7</v>
          </cell>
          <cell r="U23">
            <v>0.6</v>
          </cell>
          <cell r="V23">
            <v>0.3</v>
          </cell>
          <cell r="W23">
            <v>0.1</v>
          </cell>
          <cell r="X23">
            <v>0.6</v>
          </cell>
          <cell r="Y23">
            <v>0.3</v>
          </cell>
          <cell r="Z23">
            <v>0.1</v>
          </cell>
          <cell r="AA23">
            <v>0.15</v>
          </cell>
          <cell r="AB23">
            <v>0.25</v>
          </cell>
          <cell r="AC23">
            <v>0.6</v>
          </cell>
          <cell r="AD23">
            <v>0.5</v>
          </cell>
          <cell r="AE23">
            <v>0.4</v>
          </cell>
          <cell r="AF23">
            <v>0.1</v>
          </cell>
          <cell r="AG23">
            <v>0.5</v>
          </cell>
          <cell r="AH23">
            <v>0.4</v>
          </cell>
          <cell r="AI23">
            <v>0.1</v>
          </cell>
          <cell r="AJ23">
            <v>0.5</v>
          </cell>
          <cell r="AK23">
            <v>0.4</v>
          </cell>
          <cell r="AL23">
            <v>0.1</v>
          </cell>
          <cell r="AM23">
            <v>0.6</v>
          </cell>
          <cell r="AN23">
            <v>0.3</v>
          </cell>
          <cell r="AO23">
            <v>0.1</v>
          </cell>
          <cell r="AP23">
            <v>0.6</v>
          </cell>
          <cell r="AQ23">
            <v>0.3</v>
          </cell>
          <cell r="AR23">
            <v>0.1</v>
          </cell>
          <cell r="AS23">
            <v>0.6</v>
          </cell>
          <cell r="AT23">
            <v>0.3</v>
          </cell>
          <cell r="AU23">
            <v>0.1</v>
          </cell>
          <cell r="AV23">
            <v>0.6</v>
          </cell>
          <cell r="AW23">
            <v>0.3</v>
          </cell>
          <cell r="AX23">
            <v>0.1</v>
          </cell>
          <cell r="AY23">
            <v>0.6</v>
          </cell>
          <cell r="AZ23">
            <v>0.3</v>
          </cell>
          <cell r="BA23">
            <v>0.1</v>
          </cell>
          <cell r="BB23">
            <v>0.6</v>
          </cell>
          <cell r="BC23">
            <v>0.3</v>
          </cell>
          <cell r="BD23">
            <v>0.1</v>
          </cell>
          <cell r="BG23">
            <v>0.1</v>
          </cell>
          <cell r="BH23">
            <v>0.14000000000000001</v>
          </cell>
          <cell r="BI23">
            <v>0.18</v>
          </cell>
          <cell r="BJ23">
            <v>0.1</v>
          </cell>
          <cell r="BK23">
            <v>0.14000000000000001</v>
          </cell>
          <cell r="BL23">
            <v>0.18</v>
          </cell>
          <cell r="BM23">
            <v>0.1</v>
          </cell>
          <cell r="BN23">
            <v>0.14000000000000001</v>
          </cell>
          <cell r="BO23">
            <v>0.18</v>
          </cell>
          <cell r="BP23">
            <v>0.1</v>
          </cell>
          <cell r="BQ23">
            <v>0.14000000000000001</v>
          </cell>
          <cell r="BR23">
            <v>0.16</v>
          </cell>
          <cell r="BS23">
            <v>0.1</v>
          </cell>
          <cell r="BT23">
            <v>0.14000000000000001</v>
          </cell>
          <cell r="BU23">
            <v>0.16</v>
          </cell>
          <cell r="BV23">
            <v>0.12</v>
          </cell>
          <cell r="BW23">
            <v>0.16</v>
          </cell>
          <cell r="BX23">
            <v>0.18</v>
          </cell>
          <cell r="BY23">
            <v>0.12</v>
          </cell>
          <cell r="BZ23">
            <v>0.16</v>
          </cell>
          <cell r="CA23">
            <v>0.18</v>
          </cell>
          <cell r="CB23">
            <v>0.12</v>
          </cell>
          <cell r="CC23">
            <v>0.16</v>
          </cell>
          <cell r="CD23">
            <v>0.18</v>
          </cell>
          <cell r="CE23">
            <v>0.12</v>
          </cell>
          <cell r="CF23">
            <v>0.16</v>
          </cell>
          <cell r="CG23">
            <v>0.18</v>
          </cell>
          <cell r="CH23">
            <v>0.12</v>
          </cell>
          <cell r="CI23">
            <v>0.16</v>
          </cell>
          <cell r="CJ23">
            <v>0.18</v>
          </cell>
          <cell r="CK23">
            <v>0.12</v>
          </cell>
          <cell r="CL23">
            <v>0.16</v>
          </cell>
          <cell r="CM23">
            <v>0.18</v>
          </cell>
          <cell r="CN23">
            <v>0.12</v>
          </cell>
          <cell r="CO23">
            <v>0.16</v>
          </cell>
          <cell r="CP23">
            <v>0.18</v>
          </cell>
          <cell r="CQ23">
            <v>0.12</v>
          </cell>
          <cell r="CR23">
            <v>0.16</v>
          </cell>
          <cell r="CS23">
            <v>0.18</v>
          </cell>
          <cell r="CV23">
            <v>5.5E-2</v>
          </cell>
          <cell r="CW23">
            <v>4.4999999999999998E-2</v>
          </cell>
          <cell r="CX23">
            <v>0.03</v>
          </cell>
          <cell r="CY23">
            <v>5.5E-2</v>
          </cell>
          <cell r="CZ23">
            <v>4.4999999999999998E-2</v>
          </cell>
          <cell r="DA23">
            <v>0.03</v>
          </cell>
          <cell r="DB23">
            <v>5.5E-2</v>
          </cell>
          <cell r="DC23">
            <v>4.4999999999999998E-2</v>
          </cell>
          <cell r="DD23">
            <v>0.04</v>
          </cell>
          <cell r="DE23">
            <v>5.5E-2</v>
          </cell>
          <cell r="DF23">
            <v>4.4999999999999998E-2</v>
          </cell>
          <cell r="DG23">
            <v>0.04</v>
          </cell>
          <cell r="DH23">
            <v>0.05</v>
          </cell>
          <cell r="DI23">
            <v>4.4999999999999998E-2</v>
          </cell>
          <cell r="DJ23">
            <v>0.04</v>
          </cell>
          <cell r="DK23">
            <v>0.05</v>
          </cell>
          <cell r="DL23">
            <v>4.4999999999999998E-2</v>
          </cell>
          <cell r="DM23">
            <v>0.04</v>
          </cell>
          <cell r="DN23">
            <v>0.05</v>
          </cell>
          <cell r="DO23">
            <v>4.4999999999999998E-2</v>
          </cell>
          <cell r="DP23">
            <v>0.04</v>
          </cell>
          <cell r="DQ23">
            <v>0.05</v>
          </cell>
          <cell r="DR23">
            <v>4.4999999999999998E-2</v>
          </cell>
          <cell r="DS23">
            <v>0.04</v>
          </cell>
          <cell r="DT23">
            <v>0.05</v>
          </cell>
          <cell r="DU23">
            <v>4.4999999999999998E-2</v>
          </cell>
          <cell r="DV23">
            <v>0.04</v>
          </cell>
          <cell r="DW23">
            <v>0.05</v>
          </cell>
          <cell r="DX23">
            <v>4.4999999999999998E-2</v>
          </cell>
          <cell r="DY23">
            <v>0.04</v>
          </cell>
          <cell r="DZ23">
            <v>0.05</v>
          </cell>
          <cell r="EA23">
            <v>4.4999999999999998E-2</v>
          </cell>
          <cell r="EB23">
            <v>0.04</v>
          </cell>
          <cell r="EC23">
            <v>0.05</v>
          </cell>
          <cell r="ED23">
            <v>4.4999999999999998E-2</v>
          </cell>
          <cell r="EE23">
            <v>0.04</v>
          </cell>
          <cell r="EG23">
            <v>6.9500000000000006E-2</v>
          </cell>
          <cell r="EH23">
            <v>6.9500000000000006E-2</v>
          </cell>
          <cell r="EI23">
            <v>6.9500000000000006E-2</v>
          </cell>
          <cell r="EJ23">
            <v>8.950000000000001E-2</v>
          </cell>
          <cell r="EK23">
            <v>7.1500000000000008E-2</v>
          </cell>
          <cell r="EL23">
            <v>8.8999999999999982E-2</v>
          </cell>
          <cell r="EM23">
            <v>8.8999999999999982E-2</v>
          </cell>
          <cell r="EN23">
            <v>8.5499999999999979E-2</v>
          </cell>
          <cell r="EO23">
            <v>8.5499999999999979E-2</v>
          </cell>
          <cell r="EP23">
            <v>8.5499999999999979E-2</v>
          </cell>
          <cell r="EQ23">
            <v>8.5499999999999979E-2</v>
          </cell>
          <cell r="ER23">
            <v>8.5499999999999979E-2</v>
          </cell>
          <cell r="ES23">
            <v>8.5499999999999979E-2</v>
          </cell>
          <cell r="EU23">
            <v>0.12000000000000001</v>
          </cell>
          <cell r="EV23">
            <v>0.12000000000000001</v>
          </cell>
          <cell r="EW23">
            <v>0.12000000000000001</v>
          </cell>
          <cell r="EX23">
            <v>0.14600000000000002</v>
          </cell>
          <cell r="EY23">
            <v>0.12200000000000001</v>
          </cell>
          <cell r="EZ23">
            <v>0.14199999999999999</v>
          </cell>
          <cell r="FA23">
            <v>0.14199999999999999</v>
          </cell>
          <cell r="FB23">
            <v>0.13799999999999998</v>
          </cell>
          <cell r="FC23">
            <v>0.13799999999999998</v>
          </cell>
          <cell r="FD23">
            <v>0.13799999999999998</v>
          </cell>
          <cell r="FE23">
            <v>0.13799999999999998</v>
          </cell>
          <cell r="FF23">
            <v>0.13799999999999998</v>
          </cell>
          <cell r="FG23">
            <v>0.13799999999999998</v>
          </cell>
        </row>
        <row r="24">
          <cell r="C24" t="str">
            <v>RAM 1500 EXPRESS</v>
          </cell>
          <cell r="D24" t="str">
            <v>RAM 1500 EXPRESS</v>
          </cell>
          <cell r="G24">
            <v>0.7</v>
          </cell>
          <cell r="H24">
            <v>0.7</v>
          </cell>
          <cell r="I24">
            <v>0.7</v>
          </cell>
          <cell r="J24">
            <v>0.4</v>
          </cell>
          <cell r="K24">
            <v>0.4</v>
          </cell>
          <cell r="L24">
            <v>0.4</v>
          </cell>
          <cell r="M24">
            <v>0.4</v>
          </cell>
          <cell r="N24">
            <v>0.4</v>
          </cell>
          <cell r="O24">
            <v>0.4</v>
          </cell>
          <cell r="P24">
            <v>0.4</v>
          </cell>
          <cell r="Q24">
            <v>0.4</v>
          </cell>
          <cell r="R24">
            <v>0.4</v>
          </cell>
          <cell r="U24">
            <v>0.6</v>
          </cell>
          <cell r="V24">
            <v>0.3</v>
          </cell>
          <cell r="W24">
            <v>0.1</v>
          </cell>
          <cell r="X24">
            <v>0.6</v>
          </cell>
          <cell r="Y24">
            <v>0.3</v>
          </cell>
          <cell r="Z24">
            <v>0.1</v>
          </cell>
          <cell r="AA24">
            <v>0.25</v>
          </cell>
          <cell r="AB24">
            <v>0.3</v>
          </cell>
          <cell r="AC24">
            <v>0.45</v>
          </cell>
          <cell r="AD24">
            <v>0.5</v>
          </cell>
          <cell r="AE24">
            <v>0.4</v>
          </cell>
          <cell r="AF24">
            <v>0.1</v>
          </cell>
          <cell r="AG24">
            <v>0.5</v>
          </cell>
          <cell r="AH24">
            <v>0.4</v>
          </cell>
          <cell r="AI24">
            <v>0.1</v>
          </cell>
          <cell r="AJ24">
            <v>0.5</v>
          </cell>
          <cell r="AK24">
            <v>0.4</v>
          </cell>
          <cell r="AL24">
            <v>0.1</v>
          </cell>
          <cell r="AM24">
            <v>0.6</v>
          </cell>
          <cell r="AN24">
            <v>0.3</v>
          </cell>
          <cell r="AO24">
            <v>0.1</v>
          </cell>
          <cell r="AP24">
            <v>0.6</v>
          </cell>
          <cell r="AQ24">
            <v>0.3</v>
          </cell>
          <cell r="AR24">
            <v>0.1</v>
          </cell>
          <cell r="AS24">
            <v>0.6</v>
          </cell>
          <cell r="AT24">
            <v>0.3</v>
          </cell>
          <cell r="AU24">
            <v>0.1</v>
          </cell>
          <cell r="AV24">
            <v>0.6</v>
          </cell>
          <cell r="AW24">
            <v>0.3</v>
          </cell>
          <cell r="AX24">
            <v>0.1</v>
          </cell>
          <cell r="AY24">
            <v>0.6</v>
          </cell>
          <cell r="AZ24">
            <v>0.3</v>
          </cell>
          <cell r="BA24">
            <v>0.1</v>
          </cell>
          <cell r="BB24">
            <v>0.6</v>
          </cell>
          <cell r="BC24">
            <v>0.3</v>
          </cell>
          <cell r="BD24">
            <v>0.1</v>
          </cell>
          <cell r="BG24">
            <v>0.1</v>
          </cell>
          <cell r="BH24">
            <v>0.14000000000000001</v>
          </cell>
          <cell r="BI24">
            <v>0.18</v>
          </cell>
          <cell r="BJ24">
            <v>0.1</v>
          </cell>
          <cell r="BK24">
            <v>0.14000000000000001</v>
          </cell>
          <cell r="BL24">
            <v>0.18</v>
          </cell>
          <cell r="BM24">
            <v>0.1</v>
          </cell>
          <cell r="BN24">
            <v>0.14000000000000001</v>
          </cell>
          <cell r="BO24">
            <v>0.18</v>
          </cell>
          <cell r="BP24">
            <v>0.16</v>
          </cell>
          <cell r="BQ24">
            <v>0.18</v>
          </cell>
          <cell r="BR24">
            <v>0.2</v>
          </cell>
          <cell r="BS24">
            <v>0.16</v>
          </cell>
          <cell r="BT24">
            <v>0.18</v>
          </cell>
          <cell r="BU24">
            <v>0.2</v>
          </cell>
          <cell r="BV24">
            <v>0.16</v>
          </cell>
          <cell r="BW24">
            <v>0.18</v>
          </cell>
          <cell r="BX24">
            <v>0.2</v>
          </cell>
          <cell r="BY24">
            <v>0.16</v>
          </cell>
          <cell r="BZ24">
            <v>0.18</v>
          </cell>
          <cell r="CA24">
            <v>0.2</v>
          </cell>
          <cell r="CB24">
            <v>0.16</v>
          </cell>
          <cell r="CC24">
            <v>0.18</v>
          </cell>
          <cell r="CD24">
            <v>0.2</v>
          </cell>
          <cell r="CE24">
            <v>0.16</v>
          </cell>
          <cell r="CF24">
            <v>0.18</v>
          </cell>
          <cell r="CG24">
            <v>0.2</v>
          </cell>
          <cell r="CH24">
            <v>0.16</v>
          </cell>
          <cell r="CI24">
            <v>0.18</v>
          </cell>
          <cell r="CJ24">
            <v>0.2</v>
          </cell>
          <cell r="CK24">
            <v>0.16</v>
          </cell>
          <cell r="CL24">
            <v>0.18</v>
          </cell>
          <cell r="CM24">
            <v>0.2</v>
          </cell>
          <cell r="CN24">
            <v>0.16</v>
          </cell>
          <cell r="CO24">
            <v>0.18</v>
          </cell>
          <cell r="CP24">
            <v>0.2</v>
          </cell>
          <cell r="CQ24">
            <v>0.16</v>
          </cell>
          <cell r="CR24">
            <v>0.18</v>
          </cell>
          <cell r="CS24">
            <v>0.2</v>
          </cell>
          <cell r="CV24">
            <v>7.0000000000000007E-2</v>
          </cell>
          <cell r="CW24">
            <v>0.05</v>
          </cell>
          <cell r="CX24">
            <v>0.04</v>
          </cell>
          <cell r="CY24">
            <v>7.0000000000000007E-2</v>
          </cell>
          <cell r="CZ24">
            <v>0.05</v>
          </cell>
          <cell r="DA24">
            <v>0.04</v>
          </cell>
          <cell r="DB24">
            <v>7.0000000000000007E-2</v>
          </cell>
          <cell r="DC24">
            <v>0.05</v>
          </cell>
          <cell r="DD24">
            <v>0.04</v>
          </cell>
          <cell r="DE24">
            <v>7.0000000000000007E-2</v>
          </cell>
          <cell r="DF24">
            <v>0.05</v>
          </cell>
          <cell r="DG24">
            <v>0.04</v>
          </cell>
          <cell r="DH24">
            <v>7.0000000000000007E-2</v>
          </cell>
          <cell r="DI24">
            <v>0.05</v>
          </cell>
          <cell r="DJ24">
            <v>0.04</v>
          </cell>
          <cell r="DK24">
            <v>7.0000000000000007E-2</v>
          </cell>
          <cell r="DL24">
            <v>0.05</v>
          </cell>
          <cell r="DM24">
            <v>0.04</v>
          </cell>
          <cell r="DN24">
            <v>7.0000000000000007E-2</v>
          </cell>
          <cell r="DO24">
            <v>0.05</v>
          </cell>
          <cell r="DP24">
            <v>0.04</v>
          </cell>
          <cell r="DQ24">
            <v>7.0000000000000007E-2</v>
          </cell>
          <cell r="DR24">
            <v>0.05</v>
          </cell>
          <cell r="DS24">
            <v>0.04</v>
          </cell>
          <cell r="DT24">
            <v>7.0000000000000007E-2</v>
          </cell>
          <cell r="DU24">
            <v>0.05</v>
          </cell>
          <cell r="DV24">
            <v>0.04</v>
          </cell>
          <cell r="DW24">
            <v>7.0000000000000007E-2</v>
          </cell>
          <cell r="DX24">
            <v>0.05</v>
          </cell>
          <cell r="DY24">
            <v>0.04</v>
          </cell>
          <cell r="DZ24">
            <v>7.0000000000000007E-2</v>
          </cell>
          <cell r="EA24">
            <v>0.05</v>
          </cell>
          <cell r="EB24">
            <v>0.04</v>
          </cell>
          <cell r="EC24">
            <v>7.0000000000000007E-2</v>
          </cell>
          <cell r="ED24">
            <v>0.05</v>
          </cell>
          <cell r="EE24">
            <v>0.04</v>
          </cell>
          <cell r="EG24">
            <v>6.1000000000000013E-2</v>
          </cell>
          <cell r="EH24">
            <v>6.1000000000000013E-2</v>
          </cell>
          <cell r="EI24">
            <v>6.1000000000000013E-2</v>
          </cell>
          <cell r="EJ24">
            <v>0.1145</v>
          </cell>
          <cell r="EK24">
            <v>0.111</v>
          </cell>
          <cell r="EL24">
            <v>0.111</v>
          </cell>
          <cell r="EM24">
            <v>0.111</v>
          </cell>
          <cell r="EN24">
            <v>0.11099999999999999</v>
          </cell>
          <cell r="EO24">
            <v>0.11099999999999999</v>
          </cell>
          <cell r="EP24">
            <v>0.11099999999999999</v>
          </cell>
          <cell r="EQ24">
            <v>0.11099999999999999</v>
          </cell>
          <cell r="ER24">
            <v>0.11099999999999999</v>
          </cell>
          <cell r="ES24">
            <v>0.11099999999999999</v>
          </cell>
          <cell r="EU24">
            <v>0.12000000000000001</v>
          </cell>
          <cell r="EV24">
            <v>0.12000000000000001</v>
          </cell>
          <cell r="EW24">
            <v>0.12000000000000001</v>
          </cell>
          <cell r="EX24">
            <v>0.184</v>
          </cell>
          <cell r="EY24">
            <v>0.17199999999999999</v>
          </cell>
          <cell r="EZ24">
            <v>0.17199999999999999</v>
          </cell>
          <cell r="FA24">
            <v>0.17199999999999999</v>
          </cell>
          <cell r="FB24">
            <v>0.16999999999999998</v>
          </cell>
          <cell r="FC24">
            <v>0.16999999999999998</v>
          </cell>
          <cell r="FD24">
            <v>0.16999999999999998</v>
          </cell>
          <cell r="FE24">
            <v>0.16999999999999998</v>
          </cell>
          <cell r="FF24">
            <v>0.16999999999999998</v>
          </cell>
          <cell r="FG24">
            <v>0.16999999999999998</v>
          </cell>
        </row>
        <row r="25">
          <cell r="C25" t="str">
            <v>RAM 1500 BIGHORN 3.0 SO 420 HP 4X4 AT</v>
          </cell>
          <cell r="D25" t="str">
            <v>RAM 1500 BIGHORN</v>
          </cell>
          <cell r="G25">
            <v>0.7</v>
          </cell>
          <cell r="H25">
            <v>0.7</v>
          </cell>
          <cell r="I25">
            <v>0.7</v>
          </cell>
          <cell r="J25">
            <v>0.4</v>
          </cell>
          <cell r="K25">
            <v>0.4</v>
          </cell>
          <cell r="L25">
            <v>0.4</v>
          </cell>
          <cell r="M25">
            <v>0.4</v>
          </cell>
          <cell r="N25">
            <v>0.4</v>
          </cell>
          <cell r="O25">
            <v>0.4</v>
          </cell>
          <cell r="P25">
            <v>0.4</v>
          </cell>
          <cell r="Q25">
            <v>0.4</v>
          </cell>
          <cell r="R25">
            <v>0.4</v>
          </cell>
          <cell r="U25">
            <v>0.6</v>
          </cell>
          <cell r="V25">
            <v>0.3</v>
          </cell>
          <cell r="W25">
            <v>0.1</v>
          </cell>
          <cell r="X25">
            <v>0.6</v>
          </cell>
          <cell r="Y25">
            <v>0.3</v>
          </cell>
          <cell r="Z25">
            <v>0.1</v>
          </cell>
          <cell r="AA25">
            <v>0.25</v>
          </cell>
          <cell r="AB25">
            <v>0.3</v>
          </cell>
          <cell r="AC25">
            <v>0.45</v>
          </cell>
          <cell r="AD25">
            <v>0.5</v>
          </cell>
          <cell r="AE25">
            <v>0.4</v>
          </cell>
          <cell r="AF25">
            <v>0.1</v>
          </cell>
          <cell r="AG25">
            <v>0.5</v>
          </cell>
          <cell r="AH25">
            <v>0.4</v>
          </cell>
          <cell r="AI25">
            <v>0.1</v>
          </cell>
          <cell r="AJ25">
            <v>0.5</v>
          </cell>
          <cell r="AK25">
            <v>0.4</v>
          </cell>
          <cell r="AL25">
            <v>0.1</v>
          </cell>
          <cell r="AM25">
            <v>0.6</v>
          </cell>
          <cell r="AN25">
            <v>0.3</v>
          </cell>
          <cell r="AO25">
            <v>0.1</v>
          </cell>
          <cell r="AP25">
            <v>0.6</v>
          </cell>
          <cell r="AQ25">
            <v>0.3</v>
          </cell>
          <cell r="AR25">
            <v>0.1</v>
          </cell>
          <cell r="AS25">
            <v>0.6</v>
          </cell>
          <cell r="AT25">
            <v>0.3</v>
          </cell>
          <cell r="AU25">
            <v>0.1</v>
          </cell>
          <cell r="AV25">
            <v>0.6</v>
          </cell>
          <cell r="AW25">
            <v>0.3</v>
          </cell>
          <cell r="AX25">
            <v>0.1</v>
          </cell>
          <cell r="AY25">
            <v>0.6</v>
          </cell>
          <cell r="AZ25">
            <v>0.3</v>
          </cell>
          <cell r="BA25">
            <v>0.1</v>
          </cell>
          <cell r="BB25">
            <v>0.6</v>
          </cell>
          <cell r="BC25">
            <v>0.3</v>
          </cell>
          <cell r="BD25">
            <v>0.1</v>
          </cell>
          <cell r="BG25">
            <v>0.1</v>
          </cell>
          <cell r="BH25">
            <v>0.14000000000000001</v>
          </cell>
          <cell r="BI25">
            <v>0.18</v>
          </cell>
          <cell r="BJ25">
            <v>0.1</v>
          </cell>
          <cell r="BK25">
            <v>0.14000000000000001</v>
          </cell>
          <cell r="BL25">
            <v>0.18</v>
          </cell>
          <cell r="BM25">
            <v>0.14000000000000001</v>
          </cell>
          <cell r="BN25">
            <v>0.16</v>
          </cell>
          <cell r="BO25">
            <v>0.18</v>
          </cell>
          <cell r="BP25">
            <v>0.16</v>
          </cell>
          <cell r="BQ25">
            <v>0.18</v>
          </cell>
          <cell r="BR25">
            <v>0.2</v>
          </cell>
          <cell r="BS25">
            <v>0.16</v>
          </cell>
          <cell r="BT25">
            <v>0.18</v>
          </cell>
          <cell r="BU25">
            <v>0.2</v>
          </cell>
          <cell r="BV25">
            <v>0.16</v>
          </cell>
          <cell r="BW25">
            <v>0.18</v>
          </cell>
          <cell r="BX25">
            <v>0.2</v>
          </cell>
          <cell r="BY25">
            <v>0.19</v>
          </cell>
          <cell r="BZ25">
            <v>0.21</v>
          </cell>
          <cell r="CA25">
            <v>0.23</v>
          </cell>
          <cell r="CB25">
            <v>0.19</v>
          </cell>
          <cell r="CC25">
            <v>0.21</v>
          </cell>
          <cell r="CD25">
            <v>0.23</v>
          </cell>
          <cell r="CE25">
            <v>0.19</v>
          </cell>
          <cell r="CF25">
            <v>0.21</v>
          </cell>
          <cell r="CG25">
            <v>0.23</v>
          </cell>
          <cell r="CH25">
            <v>0.19</v>
          </cell>
          <cell r="CI25">
            <v>0.21</v>
          </cell>
          <cell r="CJ25">
            <v>0.23</v>
          </cell>
          <cell r="CK25">
            <v>0.19</v>
          </cell>
          <cell r="CL25">
            <v>0.21</v>
          </cell>
          <cell r="CM25">
            <v>0.23</v>
          </cell>
          <cell r="CN25">
            <v>0.19</v>
          </cell>
          <cell r="CO25">
            <v>0.21</v>
          </cell>
          <cell r="CP25">
            <v>0.23</v>
          </cell>
          <cell r="CQ25">
            <v>0.19</v>
          </cell>
          <cell r="CR25">
            <v>0.21</v>
          </cell>
          <cell r="CS25">
            <v>0.23</v>
          </cell>
          <cell r="CV25">
            <v>7.0000000000000007E-2</v>
          </cell>
          <cell r="CW25">
            <v>0.05</v>
          </cell>
          <cell r="CX25">
            <v>0.04</v>
          </cell>
          <cell r="CY25">
            <v>7.0000000000000007E-2</v>
          </cell>
          <cell r="CZ25">
            <v>0.05</v>
          </cell>
          <cell r="DA25">
            <v>0.04</v>
          </cell>
          <cell r="DB25">
            <v>7.0000000000000007E-2</v>
          </cell>
          <cell r="DC25">
            <v>0.05</v>
          </cell>
          <cell r="DD25">
            <v>0.04</v>
          </cell>
          <cell r="DE25">
            <v>7.0000000000000007E-2</v>
          </cell>
          <cell r="DF25">
            <v>0.05</v>
          </cell>
          <cell r="DG25">
            <v>0.04</v>
          </cell>
          <cell r="DH25">
            <v>7.0000000000000007E-2</v>
          </cell>
          <cell r="DI25">
            <v>0.05</v>
          </cell>
          <cell r="DJ25">
            <v>0.04</v>
          </cell>
          <cell r="DK25">
            <v>7.0000000000000007E-2</v>
          </cell>
          <cell r="DL25">
            <v>0.05</v>
          </cell>
          <cell r="DM25">
            <v>0.04</v>
          </cell>
          <cell r="DN25">
            <v>7.0000000000000007E-2</v>
          </cell>
          <cell r="DO25">
            <v>0.05</v>
          </cell>
          <cell r="DP25">
            <v>0.04</v>
          </cell>
          <cell r="DQ25">
            <v>7.0000000000000007E-2</v>
          </cell>
          <cell r="DR25">
            <v>0.05</v>
          </cell>
          <cell r="DS25">
            <v>0.04</v>
          </cell>
          <cell r="DT25">
            <v>7.0000000000000007E-2</v>
          </cell>
          <cell r="DU25">
            <v>0.05</v>
          </cell>
          <cell r="DV25">
            <v>0.04</v>
          </cell>
          <cell r="DW25">
            <v>7.0000000000000007E-2</v>
          </cell>
          <cell r="DX25">
            <v>0.05</v>
          </cell>
          <cell r="DY25">
            <v>0.04</v>
          </cell>
          <cell r="DZ25">
            <v>7.0000000000000007E-2</v>
          </cell>
          <cell r="EA25">
            <v>0.05</v>
          </cell>
          <cell r="EB25">
            <v>0.04</v>
          </cell>
          <cell r="EC25">
            <v>7.0000000000000007E-2</v>
          </cell>
          <cell r="ED25">
            <v>0.05</v>
          </cell>
          <cell r="EE25">
            <v>0.04</v>
          </cell>
          <cell r="EG25">
            <v>6.1000000000000013E-2</v>
          </cell>
          <cell r="EH25">
            <v>6.1000000000000013E-2</v>
          </cell>
          <cell r="EI25">
            <v>9.0999999999999998E-2</v>
          </cell>
          <cell r="EJ25">
            <v>0.1145</v>
          </cell>
          <cell r="EK25">
            <v>0.111</v>
          </cell>
          <cell r="EL25">
            <v>0.111</v>
          </cell>
          <cell r="EM25">
            <v>0.14100000000000001</v>
          </cell>
          <cell r="EN25">
            <v>0.14099999999999999</v>
          </cell>
          <cell r="EO25">
            <v>0.14099999999999999</v>
          </cell>
          <cell r="EP25">
            <v>0.14099999999999999</v>
          </cell>
          <cell r="EQ25">
            <v>0.14099999999999999</v>
          </cell>
          <cell r="ER25">
            <v>0.14099999999999999</v>
          </cell>
          <cell r="ES25">
            <v>0.14099999999999999</v>
          </cell>
          <cell r="EU25">
            <v>0.12000000000000001</v>
          </cell>
          <cell r="EV25">
            <v>0.12000000000000001</v>
          </cell>
          <cell r="EW25">
            <v>0.15</v>
          </cell>
          <cell r="EX25">
            <v>0.184</v>
          </cell>
          <cell r="EY25">
            <v>0.17199999999999999</v>
          </cell>
          <cell r="EZ25">
            <v>0.17199999999999999</v>
          </cell>
          <cell r="FA25">
            <v>0.20199999999999999</v>
          </cell>
          <cell r="FB25">
            <v>0.19999999999999998</v>
          </cell>
          <cell r="FC25">
            <v>0.19999999999999998</v>
          </cell>
          <cell r="FD25">
            <v>0.19999999999999998</v>
          </cell>
          <cell r="FE25">
            <v>0.19999999999999998</v>
          </cell>
          <cell r="FF25">
            <v>0.19999999999999998</v>
          </cell>
          <cell r="FG25">
            <v>0.19999999999999998</v>
          </cell>
        </row>
        <row r="26">
          <cell r="C26" t="str">
            <v>RAM 1500 REBEL 3.0 SO 420 HP 4X4 AT</v>
          </cell>
          <cell r="D26" t="str">
            <v>RAM 1500 REBEL</v>
          </cell>
          <cell r="G26">
            <v>0.7</v>
          </cell>
          <cell r="H26">
            <v>0.7</v>
          </cell>
          <cell r="I26">
            <v>0.7</v>
          </cell>
          <cell r="J26">
            <v>0.4</v>
          </cell>
          <cell r="K26">
            <v>0.4</v>
          </cell>
          <cell r="L26">
            <v>0.4</v>
          </cell>
          <cell r="M26">
            <v>0.4</v>
          </cell>
          <cell r="N26">
            <v>0.4</v>
          </cell>
          <cell r="O26">
            <v>0.4</v>
          </cell>
          <cell r="P26">
            <v>0.4</v>
          </cell>
          <cell r="Q26">
            <v>0.4</v>
          </cell>
          <cell r="R26">
            <v>0.4</v>
          </cell>
          <cell r="U26">
            <v>0.6</v>
          </cell>
          <cell r="V26">
            <v>0.3</v>
          </cell>
          <cell r="W26">
            <v>0.1</v>
          </cell>
          <cell r="X26">
            <v>0.6</v>
          </cell>
          <cell r="Y26">
            <v>0.3</v>
          </cell>
          <cell r="Z26">
            <v>0.1</v>
          </cell>
          <cell r="AA26">
            <v>0.25</v>
          </cell>
          <cell r="AB26">
            <v>0.3</v>
          </cell>
          <cell r="AC26">
            <v>0.45</v>
          </cell>
          <cell r="AD26">
            <v>0.5</v>
          </cell>
          <cell r="AE26">
            <v>0.4</v>
          </cell>
          <cell r="AF26">
            <v>0.1</v>
          </cell>
          <cell r="AG26">
            <v>0.5</v>
          </cell>
          <cell r="AH26">
            <v>0.4</v>
          </cell>
          <cell r="AI26">
            <v>0.1</v>
          </cell>
          <cell r="AJ26">
            <v>0.5</v>
          </cell>
          <cell r="AK26">
            <v>0.4</v>
          </cell>
          <cell r="AL26">
            <v>0.1</v>
          </cell>
          <cell r="AM26">
            <v>0.6</v>
          </cell>
          <cell r="AN26">
            <v>0.3</v>
          </cell>
          <cell r="AO26">
            <v>0.1</v>
          </cell>
          <cell r="AP26">
            <v>0.6</v>
          </cell>
          <cell r="AQ26">
            <v>0.3</v>
          </cell>
          <cell r="AR26">
            <v>0.1</v>
          </cell>
          <cell r="AS26">
            <v>0.6</v>
          </cell>
          <cell r="AT26">
            <v>0.3</v>
          </cell>
          <cell r="AU26">
            <v>0.1</v>
          </cell>
          <cell r="AV26">
            <v>0.6</v>
          </cell>
          <cell r="AW26">
            <v>0.3</v>
          </cell>
          <cell r="AX26">
            <v>0.1</v>
          </cell>
          <cell r="AY26">
            <v>0.6</v>
          </cell>
          <cell r="AZ26">
            <v>0.3</v>
          </cell>
          <cell r="BA26">
            <v>0.1</v>
          </cell>
          <cell r="BB26">
            <v>0.6</v>
          </cell>
          <cell r="BC26">
            <v>0.3</v>
          </cell>
          <cell r="BD26">
            <v>0.1</v>
          </cell>
          <cell r="BG26">
            <v>0.1</v>
          </cell>
          <cell r="BH26">
            <v>0.14000000000000001</v>
          </cell>
          <cell r="BI26">
            <v>0.18</v>
          </cell>
          <cell r="BJ26">
            <v>0.1</v>
          </cell>
          <cell r="BK26">
            <v>0.14000000000000001</v>
          </cell>
          <cell r="BL26">
            <v>0.18</v>
          </cell>
          <cell r="BM26">
            <v>0.14000000000000001</v>
          </cell>
          <cell r="BN26">
            <v>0.16</v>
          </cell>
          <cell r="BO26">
            <v>0.18</v>
          </cell>
          <cell r="BP26">
            <v>0.16</v>
          </cell>
          <cell r="BQ26">
            <v>0.18</v>
          </cell>
          <cell r="BR26">
            <v>0.2</v>
          </cell>
          <cell r="BS26">
            <v>0.16</v>
          </cell>
          <cell r="BT26">
            <v>0.18</v>
          </cell>
          <cell r="BU26">
            <v>0.2</v>
          </cell>
          <cell r="BV26">
            <v>0.16</v>
          </cell>
          <cell r="BW26">
            <v>0.18</v>
          </cell>
          <cell r="BX26">
            <v>0.2</v>
          </cell>
          <cell r="BY26">
            <v>0.16</v>
          </cell>
          <cell r="BZ26">
            <v>0.18</v>
          </cell>
          <cell r="CA26">
            <v>0.2</v>
          </cell>
          <cell r="CB26">
            <v>0.16</v>
          </cell>
          <cell r="CC26">
            <v>0.18</v>
          </cell>
          <cell r="CD26">
            <v>0.2</v>
          </cell>
          <cell r="CE26">
            <v>0.16</v>
          </cell>
          <cell r="CF26">
            <v>0.18</v>
          </cell>
          <cell r="CG26">
            <v>0.2</v>
          </cell>
          <cell r="CH26">
            <v>0.16</v>
          </cell>
          <cell r="CI26">
            <v>0.18</v>
          </cell>
          <cell r="CJ26">
            <v>0.2</v>
          </cell>
          <cell r="CK26">
            <v>0.16</v>
          </cell>
          <cell r="CL26">
            <v>0.18</v>
          </cell>
          <cell r="CM26">
            <v>0.2</v>
          </cell>
          <cell r="CN26">
            <v>0.16</v>
          </cell>
          <cell r="CO26">
            <v>0.18</v>
          </cell>
          <cell r="CP26">
            <v>0.2</v>
          </cell>
          <cell r="CQ26">
            <v>0.16</v>
          </cell>
          <cell r="CR26">
            <v>0.18</v>
          </cell>
          <cell r="CS26">
            <v>0.2</v>
          </cell>
          <cell r="CV26">
            <v>7.0000000000000007E-2</v>
          </cell>
          <cell r="CW26">
            <v>0.05</v>
          </cell>
          <cell r="CX26">
            <v>0.04</v>
          </cell>
          <cell r="CY26">
            <v>7.0000000000000007E-2</v>
          </cell>
          <cell r="CZ26">
            <v>0.05</v>
          </cell>
          <cell r="DA26">
            <v>0.04</v>
          </cell>
          <cell r="DB26">
            <v>7.0000000000000007E-2</v>
          </cell>
          <cell r="DC26">
            <v>0.05</v>
          </cell>
          <cell r="DD26">
            <v>0.04</v>
          </cell>
          <cell r="DE26">
            <v>7.0000000000000007E-2</v>
          </cell>
          <cell r="DF26">
            <v>0.05</v>
          </cell>
          <cell r="DG26">
            <v>0.04</v>
          </cell>
          <cell r="DH26">
            <v>7.0000000000000007E-2</v>
          </cell>
          <cell r="DI26">
            <v>0.05</v>
          </cell>
          <cell r="DJ26">
            <v>0.04</v>
          </cell>
          <cell r="DK26">
            <v>7.0000000000000007E-2</v>
          </cell>
          <cell r="DL26">
            <v>0.05</v>
          </cell>
          <cell r="DM26">
            <v>0.04</v>
          </cell>
          <cell r="DN26">
            <v>7.0000000000000007E-2</v>
          </cell>
          <cell r="DO26">
            <v>0.05</v>
          </cell>
          <cell r="DP26">
            <v>0.04</v>
          </cell>
          <cell r="DQ26">
            <v>7.0000000000000007E-2</v>
          </cell>
          <cell r="DR26">
            <v>0.05</v>
          </cell>
          <cell r="DS26">
            <v>0.04</v>
          </cell>
          <cell r="DT26">
            <v>7.0000000000000007E-2</v>
          </cell>
          <cell r="DU26">
            <v>0.05</v>
          </cell>
          <cell r="DV26">
            <v>0.04</v>
          </cell>
          <cell r="DW26">
            <v>7.0000000000000007E-2</v>
          </cell>
          <cell r="DX26">
            <v>0.05</v>
          </cell>
          <cell r="DY26">
            <v>0.04</v>
          </cell>
          <cell r="DZ26">
            <v>7.0000000000000007E-2</v>
          </cell>
          <cell r="EA26">
            <v>0.05</v>
          </cell>
          <cell r="EB26">
            <v>0.04</v>
          </cell>
          <cell r="EC26">
            <v>7.0000000000000007E-2</v>
          </cell>
          <cell r="ED26">
            <v>0.05</v>
          </cell>
          <cell r="EE26">
            <v>0.04</v>
          </cell>
          <cell r="EG26">
            <v>6.1000000000000013E-2</v>
          </cell>
          <cell r="EH26">
            <v>6.1000000000000013E-2</v>
          </cell>
          <cell r="EI26">
            <v>9.0999999999999998E-2</v>
          </cell>
          <cell r="EJ26">
            <v>0.1145</v>
          </cell>
          <cell r="EK26">
            <v>0.111</v>
          </cell>
          <cell r="EL26">
            <v>0.111</v>
          </cell>
          <cell r="EM26">
            <v>0.111</v>
          </cell>
          <cell r="EN26">
            <v>0.11099999999999999</v>
          </cell>
          <cell r="EO26">
            <v>0.11099999999999999</v>
          </cell>
          <cell r="EP26">
            <v>0.11099999999999999</v>
          </cell>
          <cell r="EQ26">
            <v>0.11099999999999999</v>
          </cell>
          <cell r="ER26">
            <v>0.11099999999999999</v>
          </cell>
          <cell r="ES26">
            <v>0.11099999999999999</v>
          </cell>
          <cell r="EU26">
            <v>0.12000000000000001</v>
          </cell>
          <cell r="EV26">
            <v>0.12000000000000001</v>
          </cell>
          <cell r="EW26">
            <v>0.15</v>
          </cell>
          <cell r="EX26">
            <v>0.184</v>
          </cell>
          <cell r="EY26">
            <v>0.17199999999999999</v>
          </cell>
          <cell r="EZ26">
            <v>0.17199999999999999</v>
          </cell>
          <cell r="FA26">
            <v>0.17199999999999999</v>
          </cell>
          <cell r="FB26">
            <v>0.16999999999999998</v>
          </cell>
          <cell r="FC26">
            <v>0.16999999999999998</v>
          </cell>
          <cell r="FD26">
            <v>0.16999999999999998</v>
          </cell>
          <cell r="FE26">
            <v>0.16999999999999998</v>
          </cell>
          <cell r="FF26">
            <v>0.16999999999999998</v>
          </cell>
          <cell r="FG26">
            <v>0.16999999999999998</v>
          </cell>
        </row>
        <row r="27">
          <cell r="C27" t="str">
            <v>RAM 1500 LARAMIE 3.0 SO 420 HP 4X4 AT</v>
          </cell>
          <cell r="D27" t="str">
            <v>RAM 1500 LARAMIE</v>
          </cell>
          <cell r="G27">
            <v>0.7</v>
          </cell>
          <cell r="H27">
            <v>0.7</v>
          </cell>
          <cell r="I27">
            <v>0.7</v>
          </cell>
          <cell r="J27">
            <v>0.4</v>
          </cell>
          <cell r="K27">
            <v>0.4</v>
          </cell>
          <cell r="L27">
            <v>0.4</v>
          </cell>
          <cell r="M27">
            <v>0.4</v>
          </cell>
          <cell r="N27">
            <v>0.4</v>
          </cell>
          <cell r="O27">
            <v>0.4</v>
          </cell>
          <cell r="P27">
            <v>0.4</v>
          </cell>
          <cell r="Q27">
            <v>0.4</v>
          </cell>
          <cell r="R27">
            <v>0.4</v>
          </cell>
          <cell r="U27">
            <v>0.6</v>
          </cell>
          <cell r="V27">
            <v>0.3</v>
          </cell>
          <cell r="W27">
            <v>0.1</v>
          </cell>
          <cell r="X27">
            <v>0.6</v>
          </cell>
          <cell r="Y27">
            <v>0.3</v>
          </cell>
          <cell r="Z27">
            <v>0.1</v>
          </cell>
          <cell r="AA27">
            <v>0.25</v>
          </cell>
          <cell r="AB27">
            <v>0.3</v>
          </cell>
          <cell r="AC27">
            <v>0.45</v>
          </cell>
          <cell r="AD27">
            <v>0.5</v>
          </cell>
          <cell r="AE27">
            <v>0.4</v>
          </cell>
          <cell r="AF27">
            <v>0.1</v>
          </cell>
          <cell r="AG27">
            <v>0.5</v>
          </cell>
          <cell r="AH27">
            <v>0.4</v>
          </cell>
          <cell r="AI27">
            <v>0.1</v>
          </cell>
          <cell r="AJ27">
            <v>0.5</v>
          </cell>
          <cell r="AK27">
            <v>0.4</v>
          </cell>
          <cell r="AL27">
            <v>0.1</v>
          </cell>
          <cell r="AM27">
            <v>0.6</v>
          </cell>
          <cell r="AN27">
            <v>0.3</v>
          </cell>
          <cell r="AO27">
            <v>0.1</v>
          </cell>
          <cell r="AP27">
            <v>0.6</v>
          </cell>
          <cell r="AQ27">
            <v>0.3</v>
          </cell>
          <cell r="AR27">
            <v>0.1</v>
          </cell>
          <cell r="AS27">
            <v>0.6</v>
          </cell>
          <cell r="AT27">
            <v>0.3</v>
          </cell>
          <cell r="AU27">
            <v>0.1</v>
          </cell>
          <cell r="AV27">
            <v>0.6</v>
          </cell>
          <cell r="AW27">
            <v>0.3</v>
          </cell>
          <cell r="AX27">
            <v>0.1</v>
          </cell>
          <cell r="AY27">
            <v>0.6</v>
          </cell>
          <cell r="AZ27">
            <v>0.3</v>
          </cell>
          <cell r="BA27">
            <v>0.1</v>
          </cell>
          <cell r="BB27">
            <v>0.6</v>
          </cell>
          <cell r="BC27">
            <v>0.3</v>
          </cell>
          <cell r="BD27">
            <v>0.1</v>
          </cell>
          <cell r="BG27">
            <v>0.1</v>
          </cell>
          <cell r="BH27">
            <v>0.14000000000000001</v>
          </cell>
          <cell r="BI27">
            <v>0.18</v>
          </cell>
          <cell r="BJ27">
            <v>0.1</v>
          </cell>
          <cell r="BK27">
            <v>0.14000000000000001</v>
          </cell>
          <cell r="BL27">
            <v>0.18</v>
          </cell>
          <cell r="BM27">
            <v>0.1</v>
          </cell>
          <cell r="BN27">
            <v>0.14000000000000001</v>
          </cell>
          <cell r="BO27">
            <v>0.18</v>
          </cell>
          <cell r="BP27">
            <v>0.16</v>
          </cell>
          <cell r="BQ27">
            <v>0.18</v>
          </cell>
          <cell r="BR27">
            <v>0.2</v>
          </cell>
          <cell r="BS27">
            <v>0.16</v>
          </cell>
          <cell r="BT27">
            <v>0.18</v>
          </cell>
          <cell r="BU27">
            <v>0.2</v>
          </cell>
          <cell r="BV27">
            <v>0.16</v>
          </cell>
          <cell r="BW27">
            <v>0.18</v>
          </cell>
          <cell r="BX27">
            <v>0.2</v>
          </cell>
          <cell r="BY27">
            <v>0.16</v>
          </cell>
          <cell r="BZ27">
            <v>0.18</v>
          </cell>
          <cell r="CA27">
            <v>0.2</v>
          </cell>
          <cell r="CB27">
            <v>0.16</v>
          </cell>
          <cell r="CC27">
            <v>0.18</v>
          </cell>
          <cell r="CD27">
            <v>0.2</v>
          </cell>
          <cell r="CE27">
            <v>0.16</v>
          </cell>
          <cell r="CF27">
            <v>0.18</v>
          </cell>
          <cell r="CG27">
            <v>0.2</v>
          </cell>
          <cell r="CH27">
            <v>0.16</v>
          </cell>
          <cell r="CI27">
            <v>0.18</v>
          </cell>
          <cell r="CJ27">
            <v>0.2</v>
          </cell>
          <cell r="CK27">
            <v>0.16</v>
          </cell>
          <cell r="CL27">
            <v>0.18</v>
          </cell>
          <cell r="CM27">
            <v>0.2</v>
          </cell>
          <cell r="CN27">
            <v>0.16</v>
          </cell>
          <cell r="CO27">
            <v>0.18</v>
          </cell>
          <cell r="CP27">
            <v>0.2</v>
          </cell>
          <cell r="CQ27">
            <v>0.16</v>
          </cell>
          <cell r="CR27">
            <v>0.18</v>
          </cell>
          <cell r="CS27">
            <v>0.2</v>
          </cell>
          <cell r="CU27"/>
          <cell r="CV27">
            <v>7.0000000000000007E-2</v>
          </cell>
          <cell r="CW27">
            <v>0.05</v>
          </cell>
          <cell r="CX27">
            <v>0.04</v>
          </cell>
          <cell r="CY27">
            <v>7.0000000000000007E-2</v>
          </cell>
          <cell r="CZ27">
            <v>0.05</v>
          </cell>
          <cell r="DA27">
            <v>0.04</v>
          </cell>
          <cell r="DB27">
            <v>7.0000000000000007E-2</v>
          </cell>
          <cell r="DC27">
            <v>0.05</v>
          </cell>
          <cell r="DD27">
            <v>0.04</v>
          </cell>
          <cell r="DE27">
            <v>7.0000000000000007E-2</v>
          </cell>
          <cell r="DF27">
            <v>0.05</v>
          </cell>
          <cell r="DG27">
            <v>0.04</v>
          </cell>
          <cell r="DH27">
            <v>7.0000000000000007E-2</v>
          </cell>
          <cell r="DI27">
            <v>0.05</v>
          </cell>
          <cell r="DJ27">
            <v>0.04</v>
          </cell>
          <cell r="DK27">
            <v>7.0000000000000007E-2</v>
          </cell>
          <cell r="DL27">
            <v>0.05</v>
          </cell>
          <cell r="DM27">
            <v>0.04</v>
          </cell>
          <cell r="DN27">
            <v>7.0000000000000007E-2</v>
          </cell>
          <cell r="DO27">
            <v>0.05</v>
          </cell>
          <cell r="DP27">
            <v>0.04</v>
          </cell>
          <cell r="DQ27">
            <v>7.0000000000000007E-2</v>
          </cell>
          <cell r="DR27">
            <v>0.05</v>
          </cell>
          <cell r="DS27">
            <v>0.04</v>
          </cell>
          <cell r="DT27">
            <v>7.0000000000000007E-2</v>
          </cell>
          <cell r="DU27">
            <v>0.05</v>
          </cell>
          <cell r="DV27">
            <v>0.04</v>
          </cell>
          <cell r="DW27">
            <v>7.0000000000000007E-2</v>
          </cell>
          <cell r="DX27">
            <v>0.05</v>
          </cell>
          <cell r="DY27">
            <v>0.04</v>
          </cell>
          <cell r="DZ27">
            <v>7.0000000000000007E-2</v>
          </cell>
          <cell r="EA27">
            <v>0.05</v>
          </cell>
          <cell r="EB27">
            <v>0.04</v>
          </cell>
          <cell r="EC27">
            <v>7.0000000000000007E-2</v>
          </cell>
          <cell r="ED27">
            <v>0.05</v>
          </cell>
          <cell r="EE27">
            <v>0.04</v>
          </cell>
          <cell r="EG27">
            <v>6.1000000000000013E-2</v>
          </cell>
          <cell r="EH27">
            <v>6.1000000000000013E-2</v>
          </cell>
          <cell r="EI27">
            <v>6.1000000000000013E-2</v>
          </cell>
          <cell r="EJ27">
            <v>0.1145</v>
          </cell>
          <cell r="EK27">
            <v>0.111</v>
          </cell>
          <cell r="EL27">
            <v>0.111</v>
          </cell>
          <cell r="EM27">
            <v>0.111</v>
          </cell>
          <cell r="EN27">
            <v>0.11099999999999999</v>
          </cell>
          <cell r="EO27">
            <v>0.11099999999999999</v>
          </cell>
          <cell r="EP27">
            <v>0.11099999999999999</v>
          </cell>
          <cell r="EQ27">
            <v>0.11099999999999999</v>
          </cell>
          <cell r="ER27">
            <v>0.11099999999999999</v>
          </cell>
          <cell r="ES27">
            <v>0.11099999999999999</v>
          </cell>
          <cell r="EU27">
            <v>0.12000000000000001</v>
          </cell>
          <cell r="EV27">
            <v>0.12000000000000001</v>
          </cell>
          <cell r="EW27">
            <v>0.12000000000000001</v>
          </cell>
          <cell r="EX27">
            <v>0.184</v>
          </cell>
          <cell r="EY27">
            <v>0.17199999999999999</v>
          </cell>
          <cell r="EZ27">
            <v>0.17199999999999999</v>
          </cell>
          <cell r="FA27">
            <v>0.17199999999999999</v>
          </cell>
          <cell r="FB27">
            <v>0.16999999999999998</v>
          </cell>
          <cell r="FC27">
            <v>0.16999999999999998</v>
          </cell>
          <cell r="FD27">
            <v>0.16999999999999998</v>
          </cell>
          <cell r="FE27">
            <v>0.16999999999999998</v>
          </cell>
          <cell r="FF27">
            <v>0.16999999999999998</v>
          </cell>
          <cell r="FG27">
            <v>0.16999999999999998</v>
          </cell>
        </row>
        <row r="28">
          <cell r="C28" t="str">
            <v>RAM 1500 RHO 3.0 HO 540 HP 4x4 AT</v>
          </cell>
          <cell r="D28" t="str">
            <v>RAM 1500 RHO</v>
          </cell>
          <cell r="G28">
            <v>0.7</v>
          </cell>
          <cell r="H28">
            <v>0.7</v>
          </cell>
          <cell r="I28">
            <v>0.7</v>
          </cell>
          <cell r="J28">
            <v>0.4</v>
          </cell>
          <cell r="K28">
            <v>0.4</v>
          </cell>
          <cell r="L28">
            <v>0.4</v>
          </cell>
          <cell r="M28">
            <v>0.4</v>
          </cell>
          <cell r="N28">
            <v>0.4</v>
          </cell>
          <cell r="O28">
            <v>0.4</v>
          </cell>
          <cell r="P28">
            <v>0.4</v>
          </cell>
          <cell r="Q28">
            <v>0.4</v>
          </cell>
          <cell r="R28">
            <v>0.4</v>
          </cell>
          <cell r="U28">
            <v>0.6</v>
          </cell>
          <cell r="V28">
            <v>0.3</v>
          </cell>
          <cell r="W28">
            <v>0.1</v>
          </cell>
          <cell r="X28">
            <v>0.6</v>
          </cell>
          <cell r="Y28">
            <v>0.3</v>
          </cell>
          <cell r="Z28">
            <v>0.1</v>
          </cell>
          <cell r="AA28">
            <v>0.25</v>
          </cell>
          <cell r="AB28">
            <v>0.3</v>
          </cell>
          <cell r="AC28">
            <v>0.45</v>
          </cell>
          <cell r="AD28">
            <v>0.5</v>
          </cell>
          <cell r="AE28">
            <v>0.4</v>
          </cell>
          <cell r="AF28">
            <v>0.1</v>
          </cell>
          <cell r="AG28">
            <v>0.5</v>
          </cell>
          <cell r="AH28">
            <v>0.4</v>
          </cell>
          <cell r="AI28">
            <v>0.1</v>
          </cell>
          <cell r="AJ28">
            <v>0.5</v>
          </cell>
          <cell r="AK28">
            <v>0.4</v>
          </cell>
          <cell r="AL28">
            <v>0.1</v>
          </cell>
          <cell r="AM28">
            <v>0.6</v>
          </cell>
          <cell r="AN28">
            <v>0.3</v>
          </cell>
          <cell r="AO28">
            <v>0.1</v>
          </cell>
          <cell r="AP28">
            <v>0.6</v>
          </cell>
          <cell r="AQ28">
            <v>0.3</v>
          </cell>
          <cell r="AR28">
            <v>0.1</v>
          </cell>
          <cell r="AS28">
            <v>0.6</v>
          </cell>
          <cell r="AT28">
            <v>0.3</v>
          </cell>
          <cell r="AU28">
            <v>0.1</v>
          </cell>
          <cell r="AV28">
            <v>0.6</v>
          </cell>
          <cell r="AW28">
            <v>0.3</v>
          </cell>
          <cell r="AX28">
            <v>0.1</v>
          </cell>
          <cell r="AY28">
            <v>0.6</v>
          </cell>
          <cell r="AZ28">
            <v>0.3</v>
          </cell>
          <cell r="BA28">
            <v>0.1</v>
          </cell>
          <cell r="BB28">
            <v>0.6</v>
          </cell>
          <cell r="BC28">
            <v>0.3</v>
          </cell>
          <cell r="BD28">
            <v>0.1</v>
          </cell>
          <cell r="BG28">
            <v>0.1</v>
          </cell>
          <cell r="BH28">
            <v>0.14000000000000001</v>
          </cell>
          <cell r="BI28">
            <v>0.18</v>
          </cell>
          <cell r="BJ28">
            <v>0.1</v>
          </cell>
          <cell r="BK28">
            <v>0.14000000000000001</v>
          </cell>
          <cell r="BL28">
            <v>0.18</v>
          </cell>
          <cell r="BM28">
            <v>0.1</v>
          </cell>
          <cell r="BN28">
            <v>0.14000000000000001</v>
          </cell>
          <cell r="BO28">
            <v>0.18</v>
          </cell>
          <cell r="BP28">
            <v>0.16</v>
          </cell>
          <cell r="BQ28">
            <v>0.18</v>
          </cell>
          <cell r="BR28">
            <v>0.2</v>
          </cell>
          <cell r="BS28">
            <v>0.16</v>
          </cell>
          <cell r="BT28">
            <v>0.18</v>
          </cell>
          <cell r="BU28">
            <v>0.2</v>
          </cell>
          <cell r="BV28">
            <v>0.11</v>
          </cell>
          <cell r="BW28">
            <v>0.14000000000000001</v>
          </cell>
          <cell r="BX28">
            <v>0.16</v>
          </cell>
          <cell r="BY28">
            <v>0.11</v>
          </cell>
          <cell r="BZ28">
            <v>0.14000000000000001</v>
          </cell>
          <cell r="CA28">
            <v>0.16</v>
          </cell>
          <cell r="CB28">
            <v>0.11</v>
          </cell>
          <cell r="CC28">
            <v>0.14000000000000001</v>
          </cell>
          <cell r="CD28">
            <v>0.16</v>
          </cell>
          <cell r="CE28">
            <v>0.11</v>
          </cell>
          <cell r="CF28">
            <v>0.14000000000000001</v>
          </cell>
          <cell r="CG28">
            <v>0.16</v>
          </cell>
          <cell r="CH28">
            <v>0.11</v>
          </cell>
          <cell r="CI28">
            <v>0.14000000000000001</v>
          </cell>
          <cell r="CJ28">
            <v>0.16</v>
          </cell>
          <cell r="CK28">
            <v>0.11</v>
          </cell>
          <cell r="CL28">
            <v>0.14000000000000001</v>
          </cell>
          <cell r="CM28">
            <v>0.16</v>
          </cell>
          <cell r="CN28">
            <v>0.11</v>
          </cell>
          <cell r="CO28">
            <v>0.14000000000000001</v>
          </cell>
          <cell r="CP28">
            <v>0.16</v>
          </cell>
          <cell r="CQ28">
            <v>0.11</v>
          </cell>
          <cell r="CR28">
            <v>0.14000000000000001</v>
          </cell>
          <cell r="CS28">
            <v>0.16</v>
          </cell>
          <cell r="CV28">
            <v>7.0000000000000007E-2</v>
          </cell>
          <cell r="CW28">
            <v>0.05</v>
          </cell>
          <cell r="CX28">
            <v>0.04</v>
          </cell>
          <cell r="CY28">
            <v>7.0000000000000007E-2</v>
          </cell>
          <cell r="CZ28">
            <v>0.05</v>
          </cell>
          <cell r="DA28">
            <v>0.04</v>
          </cell>
          <cell r="DB28">
            <v>7.0000000000000007E-2</v>
          </cell>
          <cell r="DC28">
            <v>0.05</v>
          </cell>
          <cell r="DD28">
            <v>0.04</v>
          </cell>
          <cell r="DE28">
            <v>7.0000000000000007E-2</v>
          </cell>
          <cell r="DF28">
            <v>0.05</v>
          </cell>
          <cell r="DG28">
            <v>0.04</v>
          </cell>
          <cell r="DH28">
            <v>7.0000000000000007E-2</v>
          </cell>
          <cell r="DI28">
            <v>0.05</v>
          </cell>
          <cell r="DJ28">
            <v>0.04</v>
          </cell>
          <cell r="DK28">
            <v>7.0000000000000007E-2</v>
          </cell>
          <cell r="DL28">
            <v>0.05</v>
          </cell>
          <cell r="DM28">
            <v>0.04</v>
          </cell>
          <cell r="DN28">
            <v>7.0000000000000007E-2</v>
          </cell>
          <cell r="DO28">
            <v>0.05</v>
          </cell>
          <cell r="DP28">
            <v>0.04</v>
          </cell>
          <cell r="DQ28">
            <v>7.0000000000000007E-2</v>
          </cell>
          <cell r="DR28">
            <v>0.05</v>
          </cell>
          <cell r="DS28">
            <v>0.04</v>
          </cell>
          <cell r="DT28">
            <v>7.0000000000000007E-2</v>
          </cell>
          <cell r="DU28">
            <v>0.05</v>
          </cell>
          <cell r="DV28">
            <v>0.04</v>
          </cell>
          <cell r="DW28">
            <v>7.0000000000000007E-2</v>
          </cell>
          <cell r="DX28">
            <v>0.05</v>
          </cell>
          <cell r="DY28">
            <v>0.04</v>
          </cell>
          <cell r="DZ28">
            <v>7.0000000000000007E-2</v>
          </cell>
          <cell r="EA28">
            <v>0.05</v>
          </cell>
          <cell r="EB28">
            <v>0.04</v>
          </cell>
          <cell r="EC28">
            <v>7.0000000000000007E-2</v>
          </cell>
          <cell r="ED28">
            <v>0.05</v>
          </cell>
          <cell r="EE28">
            <v>0.04</v>
          </cell>
          <cell r="EG28">
            <v>6.1000000000000013E-2</v>
          </cell>
          <cell r="EH28">
            <v>6.1000000000000013E-2</v>
          </cell>
          <cell r="EI28">
            <v>6.1000000000000013E-2</v>
          </cell>
          <cell r="EJ28">
            <v>0.1145</v>
          </cell>
          <cell r="EK28">
            <v>0.111</v>
          </cell>
          <cell r="EL28">
            <v>6.6000000000000017E-2</v>
          </cell>
          <cell r="EM28">
            <v>6.6000000000000017E-2</v>
          </cell>
          <cell r="EN28">
            <v>6.5000000000000016E-2</v>
          </cell>
          <cell r="EO28">
            <v>6.5000000000000016E-2</v>
          </cell>
          <cell r="EP28">
            <v>6.5000000000000016E-2</v>
          </cell>
          <cell r="EQ28">
            <v>6.5000000000000016E-2</v>
          </cell>
          <cell r="ER28">
            <v>6.5000000000000016E-2</v>
          </cell>
          <cell r="ES28">
            <v>6.5000000000000016E-2</v>
          </cell>
          <cell r="EU28">
            <v>0.12000000000000001</v>
          </cell>
          <cell r="EV28">
            <v>0.12000000000000001</v>
          </cell>
          <cell r="EW28">
            <v>0.12000000000000001</v>
          </cell>
          <cell r="EX28">
            <v>0.184</v>
          </cell>
          <cell r="EY28">
            <v>0.17199999999999999</v>
          </cell>
          <cell r="EZ28">
            <v>0.127</v>
          </cell>
          <cell r="FA28">
            <v>0.127</v>
          </cell>
          <cell r="FB28">
            <v>0.12400000000000001</v>
          </cell>
          <cell r="FC28">
            <v>0.12400000000000001</v>
          </cell>
          <cell r="FD28">
            <v>0.12400000000000001</v>
          </cell>
          <cell r="FE28">
            <v>0.12400000000000001</v>
          </cell>
          <cell r="FF28">
            <v>0.12400000000000001</v>
          </cell>
          <cell r="FG28">
            <v>0.12400000000000001</v>
          </cell>
        </row>
        <row r="29">
          <cell r="C29" t="str">
            <v>RAM 1500 BIGHORN NIGHT EDITION 3.6 V6 MILD HYBRID 305 HP 4X4 AT</v>
          </cell>
          <cell r="D29" t="str">
            <v>RAM 1500 BIGHORN NIGHT EDITION 3.6 V6 MILD HYBRID 305 HP 4X4 AT</v>
          </cell>
          <cell r="G29">
            <v>0.7</v>
          </cell>
          <cell r="H29">
            <v>0.7</v>
          </cell>
          <cell r="I29">
            <v>0.7</v>
          </cell>
          <cell r="J29">
            <v>0.4</v>
          </cell>
          <cell r="K29">
            <v>0.4</v>
          </cell>
          <cell r="L29">
            <v>0.4</v>
          </cell>
          <cell r="M29">
            <v>0.4</v>
          </cell>
          <cell r="N29">
            <v>0.4</v>
          </cell>
          <cell r="O29">
            <v>0.4</v>
          </cell>
          <cell r="P29">
            <v>0.4</v>
          </cell>
          <cell r="Q29">
            <v>0.4</v>
          </cell>
          <cell r="R29">
            <v>0.4</v>
          </cell>
          <cell r="U29">
            <v>0.6</v>
          </cell>
          <cell r="V29">
            <v>0.3</v>
          </cell>
          <cell r="W29">
            <v>0.1</v>
          </cell>
          <cell r="X29">
            <v>0.6</v>
          </cell>
          <cell r="Y29">
            <v>0.3</v>
          </cell>
          <cell r="Z29">
            <v>0.1</v>
          </cell>
          <cell r="AA29">
            <v>0.25</v>
          </cell>
          <cell r="AB29">
            <v>0.3</v>
          </cell>
          <cell r="AC29">
            <v>0.45</v>
          </cell>
          <cell r="AD29">
            <v>0.5</v>
          </cell>
          <cell r="AE29">
            <v>0.4</v>
          </cell>
          <cell r="AF29">
            <v>0.1</v>
          </cell>
          <cell r="AG29">
            <v>0.5</v>
          </cell>
          <cell r="AH29">
            <v>0.4</v>
          </cell>
          <cell r="AI29">
            <v>0.1</v>
          </cell>
          <cell r="AJ29">
            <v>0.5</v>
          </cell>
          <cell r="AK29">
            <v>0.4</v>
          </cell>
          <cell r="AL29">
            <v>0.1</v>
          </cell>
          <cell r="AM29">
            <v>0.6</v>
          </cell>
          <cell r="AN29">
            <v>0.3</v>
          </cell>
          <cell r="AO29">
            <v>0.1</v>
          </cell>
          <cell r="AP29">
            <v>0.6</v>
          </cell>
          <cell r="AQ29">
            <v>0.3</v>
          </cell>
          <cell r="AR29">
            <v>0.1</v>
          </cell>
          <cell r="AS29">
            <v>0.6</v>
          </cell>
          <cell r="AT29">
            <v>0.3</v>
          </cell>
          <cell r="AU29">
            <v>0.1</v>
          </cell>
          <cell r="AV29">
            <v>0.6</v>
          </cell>
          <cell r="AW29">
            <v>0.3</v>
          </cell>
          <cell r="AX29">
            <v>0.1</v>
          </cell>
          <cell r="AY29">
            <v>0.6</v>
          </cell>
          <cell r="AZ29">
            <v>0.3</v>
          </cell>
          <cell r="BA29">
            <v>0.1</v>
          </cell>
          <cell r="BB29">
            <v>0.6</v>
          </cell>
          <cell r="BC29">
            <v>0.3</v>
          </cell>
          <cell r="BD29">
            <v>0.1</v>
          </cell>
          <cell r="BG29">
            <v>0.1</v>
          </cell>
          <cell r="BH29">
            <v>0.14000000000000001</v>
          </cell>
          <cell r="BI29">
            <v>0.18</v>
          </cell>
          <cell r="BJ29">
            <v>0.1</v>
          </cell>
          <cell r="BK29">
            <v>0.14000000000000001</v>
          </cell>
          <cell r="BL29">
            <v>0.18</v>
          </cell>
          <cell r="BM29">
            <v>0.1</v>
          </cell>
          <cell r="BN29">
            <v>0.14000000000000001</v>
          </cell>
          <cell r="BO29">
            <v>0.18</v>
          </cell>
          <cell r="BP29">
            <v>0.16</v>
          </cell>
          <cell r="BQ29">
            <v>0.18</v>
          </cell>
          <cell r="BR29">
            <v>0.2</v>
          </cell>
          <cell r="BS29">
            <v>0.16</v>
          </cell>
          <cell r="BT29">
            <v>0.18</v>
          </cell>
          <cell r="BU29">
            <v>0.2</v>
          </cell>
          <cell r="BV29">
            <v>0.16</v>
          </cell>
          <cell r="BW29">
            <v>0.18</v>
          </cell>
          <cell r="BX29">
            <v>0.2</v>
          </cell>
          <cell r="BY29">
            <v>0.16</v>
          </cell>
          <cell r="BZ29">
            <v>0.18</v>
          </cell>
          <cell r="CA29">
            <v>0.2</v>
          </cell>
          <cell r="CB29">
            <v>0.16</v>
          </cell>
          <cell r="CC29">
            <v>0.18</v>
          </cell>
          <cell r="CD29">
            <v>0.2</v>
          </cell>
          <cell r="CE29">
            <v>0.16</v>
          </cell>
          <cell r="CF29">
            <v>0.18</v>
          </cell>
          <cell r="CG29">
            <v>0.2</v>
          </cell>
          <cell r="CH29">
            <v>0.16</v>
          </cell>
          <cell r="CI29">
            <v>0.18</v>
          </cell>
          <cell r="CJ29">
            <v>0.2</v>
          </cell>
          <cell r="CK29">
            <v>0.16</v>
          </cell>
          <cell r="CL29">
            <v>0.18</v>
          </cell>
          <cell r="CM29">
            <v>0.2</v>
          </cell>
          <cell r="CN29">
            <v>0.16</v>
          </cell>
          <cell r="CO29">
            <v>0.18</v>
          </cell>
          <cell r="CP29">
            <v>0.2</v>
          </cell>
          <cell r="CQ29">
            <v>0.16</v>
          </cell>
          <cell r="CR29">
            <v>0.18</v>
          </cell>
          <cell r="CS29">
            <v>0.2</v>
          </cell>
          <cell r="CV29">
            <v>7.0000000000000007E-2</v>
          </cell>
          <cell r="CW29">
            <v>0.05</v>
          </cell>
          <cell r="CX29">
            <v>0.04</v>
          </cell>
          <cell r="CY29">
            <v>7.0000000000000007E-2</v>
          </cell>
          <cell r="CZ29">
            <v>0.05</v>
          </cell>
          <cell r="DA29">
            <v>0.04</v>
          </cell>
          <cell r="DB29">
            <v>7.0000000000000007E-2</v>
          </cell>
          <cell r="DC29">
            <v>0.05</v>
          </cell>
          <cell r="DD29">
            <v>0.04</v>
          </cell>
          <cell r="DE29">
            <v>7.0000000000000007E-2</v>
          </cell>
          <cell r="DF29">
            <v>0.05</v>
          </cell>
          <cell r="DG29">
            <v>0.04</v>
          </cell>
          <cell r="DH29">
            <v>7.0000000000000007E-2</v>
          </cell>
          <cell r="DI29">
            <v>0.05</v>
          </cell>
          <cell r="DJ29">
            <v>0.04</v>
          </cell>
          <cell r="DK29">
            <v>7.0000000000000007E-2</v>
          </cell>
          <cell r="DL29">
            <v>0.05</v>
          </cell>
          <cell r="DM29">
            <v>0.04</v>
          </cell>
          <cell r="DN29">
            <v>7.0000000000000007E-2</v>
          </cell>
          <cell r="DO29">
            <v>0.05</v>
          </cell>
          <cell r="DP29">
            <v>0.04</v>
          </cell>
          <cell r="DQ29">
            <v>7.0000000000000007E-2</v>
          </cell>
          <cell r="DR29">
            <v>0.05</v>
          </cell>
          <cell r="DS29">
            <v>0.04</v>
          </cell>
          <cell r="DT29">
            <v>7.0000000000000007E-2</v>
          </cell>
          <cell r="DU29">
            <v>0.05</v>
          </cell>
          <cell r="DV29">
            <v>0.04</v>
          </cell>
          <cell r="DW29">
            <v>7.0000000000000007E-2</v>
          </cell>
          <cell r="DX29">
            <v>0.05</v>
          </cell>
          <cell r="DY29">
            <v>0.04</v>
          </cell>
          <cell r="DZ29">
            <v>7.0000000000000007E-2</v>
          </cell>
          <cell r="EA29">
            <v>0.05</v>
          </cell>
          <cell r="EB29">
            <v>0.04</v>
          </cell>
          <cell r="EC29">
            <v>7.0000000000000007E-2</v>
          </cell>
          <cell r="ED29">
            <v>0.05</v>
          </cell>
          <cell r="EE29">
            <v>0.04</v>
          </cell>
          <cell r="EG29">
            <v>6.1000000000000013E-2</v>
          </cell>
          <cell r="EH29">
            <v>6.1000000000000013E-2</v>
          </cell>
          <cell r="EI29">
            <v>6.1000000000000013E-2</v>
          </cell>
          <cell r="EJ29">
            <v>0.1145</v>
          </cell>
          <cell r="EK29">
            <v>0.111</v>
          </cell>
          <cell r="EL29">
            <v>0.111</v>
          </cell>
          <cell r="EM29">
            <v>0.111</v>
          </cell>
          <cell r="EN29">
            <v>0.11099999999999999</v>
          </cell>
          <cell r="EO29">
            <v>0.11099999999999999</v>
          </cell>
          <cell r="EP29">
            <v>0.11099999999999999</v>
          </cell>
          <cell r="EQ29">
            <v>0.11099999999999999</v>
          </cell>
          <cell r="ER29">
            <v>0.11099999999999999</v>
          </cell>
          <cell r="ES29">
            <v>0.11099999999999999</v>
          </cell>
          <cell r="EU29">
            <v>0.12000000000000001</v>
          </cell>
          <cell r="EV29">
            <v>0.12000000000000001</v>
          </cell>
          <cell r="EW29">
            <v>0.12000000000000001</v>
          </cell>
          <cell r="EX29">
            <v>0.184</v>
          </cell>
          <cell r="EY29">
            <v>0.17199999999999999</v>
          </cell>
          <cell r="EZ29">
            <v>0.17199999999999999</v>
          </cell>
          <cell r="FA29">
            <v>0.17199999999999999</v>
          </cell>
          <cell r="FB29">
            <v>0.16999999999999998</v>
          </cell>
          <cell r="FC29">
            <v>0.16999999999999998</v>
          </cell>
          <cell r="FD29">
            <v>0.16999999999999998</v>
          </cell>
          <cell r="FE29">
            <v>0.16999999999999998</v>
          </cell>
          <cell r="FF29">
            <v>0.16999999999999998</v>
          </cell>
          <cell r="FG29">
            <v>0.16999999999999998</v>
          </cell>
        </row>
        <row r="30">
          <cell r="C30" t="str">
            <v>RAM 2500 BIGHORN</v>
          </cell>
          <cell r="D30" t="str">
            <v>RAM 2500 BIGHORN</v>
          </cell>
          <cell r="G30">
            <v>0.7</v>
          </cell>
          <cell r="H30">
            <v>0.7</v>
          </cell>
          <cell r="I30">
            <v>0.7</v>
          </cell>
          <cell r="J30">
            <v>0.4</v>
          </cell>
          <cell r="K30">
            <v>0.4</v>
          </cell>
          <cell r="L30">
            <v>0.4</v>
          </cell>
          <cell r="M30">
            <v>0.4</v>
          </cell>
          <cell r="N30">
            <v>0.4</v>
          </cell>
          <cell r="O30">
            <v>0.4</v>
          </cell>
          <cell r="P30">
            <v>0.4</v>
          </cell>
          <cell r="Q30">
            <v>0.4</v>
          </cell>
          <cell r="R30">
            <v>0.4</v>
          </cell>
          <cell r="U30">
            <v>0.6</v>
          </cell>
          <cell r="V30">
            <v>0.3</v>
          </cell>
          <cell r="W30">
            <v>0.1</v>
          </cell>
          <cell r="X30">
            <v>0.6</v>
          </cell>
          <cell r="Y30">
            <v>0.3</v>
          </cell>
          <cell r="Z30">
            <v>0.1</v>
          </cell>
          <cell r="AA30">
            <v>0.15</v>
          </cell>
          <cell r="AB30">
            <v>0.25</v>
          </cell>
          <cell r="AC30">
            <v>0.6</v>
          </cell>
          <cell r="AD30">
            <v>0.5</v>
          </cell>
          <cell r="AE30">
            <v>0.4</v>
          </cell>
          <cell r="AF30">
            <v>0.1</v>
          </cell>
          <cell r="AG30">
            <v>0.5</v>
          </cell>
          <cell r="AH30">
            <v>0.4</v>
          </cell>
          <cell r="AI30">
            <v>0.1</v>
          </cell>
          <cell r="AJ30">
            <v>0.5</v>
          </cell>
          <cell r="AK30">
            <v>0.4</v>
          </cell>
          <cell r="AL30">
            <v>0.1</v>
          </cell>
          <cell r="AM30">
            <v>0.6</v>
          </cell>
          <cell r="AN30">
            <v>0.3</v>
          </cell>
          <cell r="AO30">
            <v>0.1</v>
          </cell>
          <cell r="AP30">
            <v>0.6</v>
          </cell>
          <cell r="AQ30">
            <v>0.3</v>
          </cell>
          <cell r="AR30">
            <v>0.1</v>
          </cell>
          <cell r="AS30">
            <v>0.6</v>
          </cell>
          <cell r="AT30">
            <v>0.3</v>
          </cell>
          <cell r="AU30">
            <v>0.1</v>
          </cell>
          <cell r="AV30">
            <v>0.6</v>
          </cell>
          <cell r="AW30">
            <v>0.3</v>
          </cell>
          <cell r="AX30">
            <v>0.1</v>
          </cell>
          <cell r="AY30">
            <v>0.6</v>
          </cell>
          <cell r="AZ30">
            <v>0.3</v>
          </cell>
          <cell r="BA30">
            <v>0.1</v>
          </cell>
          <cell r="BB30">
            <v>0.6</v>
          </cell>
          <cell r="BC30">
            <v>0.3</v>
          </cell>
          <cell r="BD30">
            <v>0.1</v>
          </cell>
          <cell r="BG30">
            <v>0.1</v>
          </cell>
          <cell r="BH30">
            <v>0.14000000000000001</v>
          </cell>
          <cell r="BI30">
            <v>0.18</v>
          </cell>
          <cell r="BJ30">
            <v>0.1</v>
          </cell>
          <cell r="BK30">
            <v>0.14000000000000001</v>
          </cell>
          <cell r="BL30">
            <v>0.18</v>
          </cell>
          <cell r="BM30">
            <v>0.1</v>
          </cell>
          <cell r="BN30">
            <v>0.14000000000000001</v>
          </cell>
          <cell r="BO30">
            <v>0.18</v>
          </cell>
          <cell r="BP30">
            <v>0.1</v>
          </cell>
          <cell r="BQ30">
            <v>0.14000000000000001</v>
          </cell>
          <cell r="BR30">
            <v>0.16</v>
          </cell>
          <cell r="BS30">
            <v>0.1</v>
          </cell>
          <cell r="BT30">
            <v>0.14000000000000001</v>
          </cell>
          <cell r="BU30">
            <v>0.16</v>
          </cell>
          <cell r="BV30">
            <v>0.11</v>
          </cell>
          <cell r="BW30">
            <v>0.14000000000000001</v>
          </cell>
          <cell r="BX30">
            <v>0.16</v>
          </cell>
          <cell r="BY30">
            <v>0.11</v>
          </cell>
          <cell r="BZ30">
            <v>0.14000000000000001</v>
          </cell>
          <cell r="CA30">
            <v>0.16</v>
          </cell>
          <cell r="CB30">
            <v>0.11</v>
          </cell>
          <cell r="CC30">
            <v>0.14000000000000001</v>
          </cell>
          <cell r="CD30">
            <v>0.16</v>
          </cell>
          <cell r="CE30">
            <v>0.11</v>
          </cell>
          <cell r="CF30">
            <v>0.14000000000000001</v>
          </cell>
          <cell r="CG30">
            <v>0.16</v>
          </cell>
          <cell r="CH30">
            <v>0.11</v>
          </cell>
          <cell r="CI30">
            <v>0.14000000000000001</v>
          </cell>
          <cell r="CJ30">
            <v>0.16</v>
          </cell>
          <cell r="CK30">
            <v>0.11</v>
          </cell>
          <cell r="CL30">
            <v>0.14000000000000001</v>
          </cell>
          <cell r="CM30">
            <v>0.16</v>
          </cell>
          <cell r="CN30">
            <v>0.11</v>
          </cell>
          <cell r="CO30">
            <v>0.14000000000000001</v>
          </cell>
          <cell r="CP30">
            <v>0.16</v>
          </cell>
          <cell r="CQ30">
            <v>0.11</v>
          </cell>
          <cell r="CR30">
            <v>0.14000000000000001</v>
          </cell>
          <cell r="CS30">
            <v>0.16</v>
          </cell>
          <cell r="CV30">
            <v>0.06</v>
          </cell>
          <cell r="CW30">
            <v>0.05</v>
          </cell>
          <cell r="CX30">
            <v>0.04</v>
          </cell>
          <cell r="CY30">
            <v>0.06</v>
          </cell>
          <cell r="CZ30">
            <v>0.05</v>
          </cell>
          <cell r="DA30">
            <v>0.04</v>
          </cell>
          <cell r="DB30">
            <v>0.06</v>
          </cell>
          <cell r="DC30">
            <v>0.05</v>
          </cell>
          <cell r="DD30">
            <v>0.04</v>
          </cell>
          <cell r="DE30">
            <v>0.06</v>
          </cell>
          <cell r="DF30">
            <v>0.05</v>
          </cell>
          <cell r="DG30">
            <v>0.04</v>
          </cell>
          <cell r="DH30">
            <v>6.5000000000000002E-2</v>
          </cell>
          <cell r="DI30">
            <v>0.05</v>
          </cell>
          <cell r="DJ30">
            <v>0.04</v>
          </cell>
          <cell r="DK30">
            <v>6.5000000000000002E-2</v>
          </cell>
          <cell r="DL30">
            <v>0.05</v>
          </cell>
          <cell r="DM30">
            <v>0.04</v>
          </cell>
          <cell r="DN30">
            <v>6.5000000000000002E-2</v>
          </cell>
          <cell r="DO30">
            <v>0.05</v>
          </cell>
          <cell r="DP30">
            <v>0.04</v>
          </cell>
          <cell r="DQ30">
            <v>6.5000000000000002E-2</v>
          </cell>
          <cell r="DR30">
            <v>0.05</v>
          </cell>
          <cell r="DS30">
            <v>0.04</v>
          </cell>
          <cell r="DT30">
            <v>6.5000000000000002E-2</v>
          </cell>
          <cell r="DU30">
            <v>0.05</v>
          </cell>
          <cell r="DV30">
            <v>0.04</v>
          </cell>
          <cell r="DW30">
            <v>6.5000000000000002E-2</v>
          </cell>
          <cell r="DX30">
            <v>0.05</v>
          </cell>
          <cell r="DY30">
            <v>0.04</v>
          </cell>
          <cell r="DZ30">
            <v>6.5000000000000002E-2</v>
          </cell>
          <cell r="EA30">
            <v>0.05</v>
          </cell>
          <cell r="EB30">
            <v>0.04</v>
          </cell>
          <cell r="EC30">
            <v>6.5000000000000002E-2</v>
          </cell>
          <cell r="ED30">
            <v>0.05</v>
          </cell>
          <cell r="EE30">
            <v>0.04</v>
          </cell>
          <cell r="EG30">
            <v>5.5000000000000007E-2</v>
          </cell>
          <cell r="EH30">
            <v>5.5000000000000007E-2</v>
          </cell>
          <cell r="EI30">
            <v>5.5000000000000007E-2</v>
          </cell>
          <cell r="EJ30">
            <v>7.1500000000000022E-2</v>
          </cell>
          <cell r="EK30">
            <v>5.6000000000000022E-2</v>
          </cell>
          <cell r="EL30">
            <v>6.3500000000000015E-2</v>
          </cell>
          <cell r="EM30">
            <v>6.3500000000000015E-2</v>
          </cell>
          <cell r="EN30">
            <v>6.2000000000000013E-2</v>
          </cell>
          <cell r="EO30">
            <v>6.2000000000000013E-2</v>
          </cell>
          <cell r="EP30">
            <v>6.2000000000000013E-2</v>
          </cell>
          <cell r="EQ30">
            <v>6.2000000000000013E-2</v>
          </cell>
          <cell r="ER30">
            <v>6.2000000000000013E-2</v>
          </cell>
          <cell r="ES30">
            <v>6.2000000000000013E-2</v>
          </cell>
          <cell r="EU30">
            <v>0.12000000000000001</v>
          </cell>
          <cell r="EV30">
            <v>0.12000000000000001</v>
          </cell>
          <cell r="EW30">
            <v>0.12000000000000001</v>
          </cell>
          <cell r="EX30">
            <v>0.14600000000000002</v>
          </cell>
          <cell r="EY30">
            <v>0.12200000000000001</v>
          </cell>
          <cell r="EZ30">
            <v>0.127</v>
          </cell>
          <cell r="FA30">
            <v>0.127</v>
          </cell>
          <cell r="FB30">
            <v>0.12400000000000001</v>
          </cell>
          <cell r="FC30">
            <v>0.12400000000000001</v>
          </cell>
          <cell r="FD30">
            <v>0.12400000000000001</v>
          </cell>
          <cell r="FE30">
            <v>0.12400000000000001</v>
          </cell>
          <cell r="FF30">
            <v>0.12400000000000001</v>
          </cell>
          <cell r="FG30">
            <v>0.12400000000000001</v>
          </cell>
        </row>
        <row r="31">
          <cell r="C31" t="str">
            <v>RAM 2500 LARAMIE</v>
          </cell>
          <cell r="D31" t="str">
            <v>RAM 2500 REBEL</v>
          </cell>
          <cell r="G31">
            <v>0.7</v>
          </cell>
          <cell r="H31">
            <v>0.7</v>
          </cell>
          <cell r="I31">
            <v>0.7</v>
          </cell>
          <cell r="J31">
            <v>0.4</v>
          </cell>
          <cell r="K31">
            <v>0.4</v>
          </cell>
          <cell r="L31">
            <v>0.4</v>
          </cell>
          <cell r="M31">
            <v>0.4</v>
          </cell>
          <cell r="N31">
            <v>0.4</v>
          </cell>
          <cell r="O31">
            <v>0.4</v>
          </cell>
          <cell r="P31">
            <v>0.4</v>
          </cell>
          <cell r="Q31">
            <v>0.4</v>
          </cell>
          <cell r="R31">
            <v>0.4</v>
          </cell>
          <cell r="U31">
            <v>0.6</v>
          </cell>
          <cell r="V31">
            <v>0.3</v>
          </cell>
          <cell r="W31">
            <v>0.1</v>
          </cell>
          <cell r="X31">
            <v>0.6</v>
          </cell>
          <cell r="Y31">
            <v>0.3</v>
          </cell>
          <cell r="Z31">
            <v>0.1</v>
          </cell>
          <cell r="AA31">
            <v>0.15</v>
          </cell>
          <cell r="AB31">
            <v>0.25</v>
          </cell>
          <cell r="AC31">
            <v>0.6</v>
          </cell>
          <cell r="AD31">
            <v>0.5</v>
          </cell>
          <cell r="AE31">
            <v>0.4</v>
          </cell>
          <cell r="AF31">
            <v>0.1</v>
          </cell>
          <cell r="AG31">
            <v>0.5</v>
          </cell>
          <cell r="AH31">
            <v>0.4</v>
          </cell>
          <cell r="AI31">
            <v>0.1</v>
          </cell>
          <cell r="AJ31">
            <v>0.5</v>
          </cell>
          <cell r="AK31">
            <v>0.4</v>
          </cell>
          <cell r="AL31">
            <v>0.1</v>
          </cell>
          <cell r="AM31">
            <v>0.6</v>
          </cell>
          <cell r="AN31">
            <v>0.3</v>
          </cell>
          <cell r="AO31">
            <v>0.1</v>
          </cell>
          <cell r="AP31">
            <v>0.6</v>
          </cell>
          <cell r="AQ31">
            <v>0.3</v>
          </cell>
          <cell r="AR31">
            <v>0.1</v>
          </cell>
          <cell r="AS31">
            <v>0.6</v>
          </cell>
          <cell r="AT31">
            <v>0.3</v>
          </cell>
          <cell r="AU31">
            <v>0.1</v>
          </cell>
          <cell r="AV31">
            <v>0.6</v>
          </cell>
          <cell r="AW31">
            <v>0.3</v>
          </cell>
          <cell r="AX31">
            <v>0.1</v>
          </cell>
          <cell r="AY31">
            <v>0.6</v>
          </cell>
          <cell r="AZ31">
            <v>0.3</v>
          </cell>
          <cell r="BA31">
            <v>0.1</v>
          </cell>
          <cell r="BB31">
            <v>0.6</v>
          </cell>
          <cell r="BC31">
            <v>0.3</v>
          </cell>
          <cell r="BD31">
            <v>0.1</v>
          </cell>
          <cell r="BG31">
            <v>0.1</v>
          </cell>
          <cell r="BH31">
            <v>0.14000000000000001</v>
          </cell>
          <cell r="BI31">
            <v>0.18</v>
          </cell>
          <cell r="BJ31">
            <v>0.1</v>
          </cell>
          <cell r="BK31">
            <v>0.14000000000000001</v>
          </cell>
          <cell r="BL31">
            <v>0.18</v>
          </cell>
          <cell r="BM31">
            <v>0.1</v>
          </cell>
          <cell r="BN31">
            <v>0.14000000000000001</v>
          </cell>
          <cell r="BO31">
            <v>0.18</v>
          </cell>
          <cell r="BP31">
            <v>0.1</v>
          </cell>
          <cell r="BQ31">
            <v>0.14000000000000001</v>
          </cell>
          <cell r="BR31">
            <v>0.16</v>
          </cell>
          <cell r="BS31">
            <v>0.1</v>
          </cell>
          <cell r="BT31">
            <v>0.14000000000000001</v>
          </cell>
          <cell r="BU31">
            <v>0.16</v>
          </cell>
          <cell r="BV31">
            <v>0.11</v>
          </cell>
          <cell r="BW31">
            <v>0.14000000000000001</v>
          </cell>
          <cell r="BX31">
            <v>0.16</v>
          </cell>
          <cell r="BY31">
            <v>0.11</v>
          </cell>
          <cell r="BZ31">
            <v>0.14000000000000001</v>
          </cell>
          <cell r="CA31">
            <v>0.16</v>
          </cell>
          <cell r="CB31">
            <v>0.11</v>
          </cell>
          <cell r="CC31">
            <v>0.14000000000000001</v>
          </cell>
          <cell r="CD31">
            <v>0.16</v>
          </cell>
          <cell r="CE31">
            <v>0.11</v>
          </cell>
          <cell r="CF31">
            <v>0.14000000000000001</v>
          </cell>
          <cell r="CG31">
            <v>0.16</v>
          </cell>
          <cell r="CH31">
            <v>0.11</v>
          </cell>
          <cell r="CI31">
            <v>0.14000000000000001</v>
          </cell>
          <cell r="CJ31">
            <v>0.16</v>
          </cell>
          <cell r="CK31">
            <v>0.11</v>
          </cell>
          <cell r="CL31">
            <v>0.14000000000000001</v>
          </cell>
          <cell r="CM31">
            <v>0.16</v>
          </cell>
          <cell r="CN31">
            <v>0.11</v>
          </cell>
          <cell r="CO31">
            <v>0.14000000000000001</v>
          </cell>
          <cell r="CP31">
            <v>0.16</v>
          </cell>
          <cell r="CQ31">
            <v>0.11</v>
          </cell>
          <cell r="CR31">
            <v>0.14000000000000001</v>
          </cell>
          <cell r="CS31">
            <v>0.16</v>
          </cell>
          <cell r="CV31">
            <v>0.06</v>
          </cell>
          <cell r="CW31">
            <v>0.05</v>
          </cell>
          <cell r="CX31">
            <v>0.04</v>
          </cell>
          <cell r="CY31">
            <v>0.06</v>
          </cell>
          <cell r="CZ31">
            <v>0.05</v>
          </cell>
          <cell r="DA31">
            <v>0.04</v>
          </cell>
          <cell r="DB31">
            <v>0.06</v>
          </cell>
          <cell r="DC31">
            <v>0.05</v>
          </cell>
          <cell r="DD31">
            <v>0.04</v>
          </cell>
          <cell r="DE31">
            <v>0.06</v>
          </cell>
          <cell r="DF31">
            <v>0.05</v>
          </cell>
          <cell r="DG31">
            <v>0.04</v>
          </cell>
          <cell r="DH31">
            <v>6.5000000000000002E-2</v>
          </cell>
          <cell r="DI31">
            <v>0.05</v>
          </cell>
          <cell r="DJ31">
            <v>0.04</v>
          </cell>
          <cell r="DK31">
            <v>6.5000000000000002E-2</v>
          </cell>
          <cell r="DL31">
            <v>0.05</v>
          </cell>
          <cell r="DM31">
            <v>0.04</v>
          </cell>
          <cell r="DN31">
            <v>6.5000000000000002E-2</v>
          </cell>
          <cell r="DO31">
            <v>0.05</v>
          </cell>
          <cell r="DP31">
            <v>0.04</v>
          </cell>
          <cell r="DQ31">
            <v>6.5000000000000002E-2</v>
          </cell>
          <cell r="DR31">
            <v>0.05</v>
          </cell>
          <cell r="DS31">
            <v>0.04</v>
          </cell>
          <cell r="DT31">
            <v>6.5000000000000002E-2</v>
          </cell>
          <cell r="DU31">
            <v>0.05</v>
          </cell>
          <cell r="DV31">
            <v>0.04</v>
          </cell>
          <cell r="DW31">
            <v>6.5000000000000002E-2</v>
          </cell>
          <cell r="DX31">
            <v>0.05</v>
          </cell>
          <cell r="DY31">
            <v>0.04</v>
          </cell>
          <cell r="DZ31">
            <v>6.5000000000000002E-2</v>
          </cell>
          <cell r="EA31">
            <v>0.05</v>
          </cell>
          <cell r="EB31">
            <v>0.04</v>
          </cell>
          <cell r="EC31">
            <v>6.5000000000000002E-2</v>
          </cell>
          <cell r="ED31">
            <v>0.05</v>
          </cell>
          <cell r="EE31">
            <v>0.04</v>
          </cell>
          <cell r="EG31">
            <v>5.5000000000000007E-2</v>
          </cell>
          <cell r="EH31">
            <v>5.5000000000000007E-2</v>
          </cell>
          <cell r="EI31">
            <v>5.5000000000000007E-2</v>
          </cell>
          <cell r="EJ31">
            <v>7.1500000000000022E-2</v>
          </cell>
          <cell r="EK31">
            <v>5.6000000000000022E-2</v>
          </cell>
          <cell r="EL31">
            <v>6.3500000000000015E-2</v>
          </cell>
          <cell r="EM31">
            <v>6.3500000000000015E-2</v>
          </cell>
          <cell r="EN31">
            <v>6.2000000000000013E-2</v>
          </cell>
          <cell r="EO31">
            <v>6.2000000000000013E-2</v>
          </cell>
          <cell r="EP31">
            <v>6.2000000000000013E-2</v>
          </cell>
          <cell r="EQ31">
            <v>6.2000000000000013E-2</v>
          </cell>
          <cell r="ER31">
            <v>6.2000000000000013E-2</v>
          </cell>
          <cell r="ES31">
            <v>6.2000000000000013E-2</v>
          </cell>
          <cell r="EU31">
            <v>0.12000000000000001</v>
          </cell>
          <cell r="EV31">
            <v>0.12000000000000001</v>
          </cell>
          <cell r="EW31">
            <v>0.12000000000000001</v>
          </cell>
          <cell r="EX31">
            <v>0.14600000000000002</v>
          </cell>
          <cell r="EY31">
            <v>0.12200000000000001</v>
          </cell>
          <cell r="EZ31">
            <v>0.127</v>
          </cell>
          <cell r="FA31">
            <v>0.127</v>
          </cell>
          <cell r="FB31">
            <v>0.12400000000000001</v>
          </cell>
          <cell r="FC31">
            <v>0.12400000000000001</v>
          </cell>
          <cell r="FD31">
            <v>0.12400000000000001</v>
          </cell>
          <cell r="FE31">
            <v>0.12400000000000001</v>
          </cell>
          <cell r="FF31">
            <v>0.12400000000000001</v>
          </cell>
          <cell r="FG31">
            <v>0.12400000000000001</v>
          </cell>
        </row>
        <row r="32">
          <cell r="C32"/>
          <cell r="D32" t="str">
            <v/>
          </cell>
          <cell r="G32">
            <v>0.7</v>
          </cell>
          <cell r="H32">
            <v>0.7</v>
          </cell>
          <cell r="I32">
            <v>0.7</v>
          </cell>
          <cell r="J32">
            <v>0.4</v>
          </cell>
          <cell r="K32">
            <v>0.4</v>
          </cell>
          <cell r="L32">
            <v>0.4</v>
          </cell>
          <cell r="M32">
            <v>0.4</v>
          </cell>
          <cell r="N32">
            <v>0.4</v>
          </cell>
          <cell r="O32">
            <v>0.4</v>
          </cell>
          <cell r="P32">
            <v>0.4</v>
          </cell>
          <cell r="Q32">
            <v>0.4</v>
          </cell>
          <cell r="R32">
            <v>0.4</v>
          </cell>
          <cell r="U32">
            <v>0.6</v>
          </cell>
          <cell r="V32">
            <v>0.3</v>
          </cell>
          <cell r="W32">
            <v>0.1</v>
          </cell>
          <cell r="X32">
            <v>0.6</v>
          </cell>
          <cell r="Y32">
            <v>0.3</v>
          </cell>
          <cell r="Z32">
            <v>0.1</v>
          </cell>
          <cell r="AA32">
            <v>0.15</v>
          </cell>
          <cell r="AB32">
            <v>0.25</v>
          </cell>
          <cell r="AC32">
            <v>0.6</v>
          </cell>
          <cell r="AD32">
            <v>0.5</v>
          </cell>
          <cell r="AE32">
            <v>0.4</v>
          </cell>
          <cell r="AF32">
            <v>0.1</v>
          </cell>
          <cell r="AG32">
            <v>0.5</v>
          </cell>
          <cell r="AH32">
            <v>0.4</v>
          </cell>
          <cell r="AI32">
            <v>0.1</v>
          </cell>
          <cell r="AJ32">
            <v>0.5</v>
          </cell>
          <cell r="AK32">
            <v>0.4</v>
          </cell>
          <cell r="AL32">
            <v>0.1</v>
          </cell>
          <cell r="AM32">
            <v>0.6</v>
          </cell>
          <cell r="AN32">
            <v>0.3</v>
          </cell>
          <cell r="AO32">
            <v>0.1</v>
          </cell>
          <cell r="AP32">
            <v>0.6</v>
          </cell>
          <cell r="AQ32">
            <v>0.3</v>
          </cell>
          <cell r="AR32">
            <v>0.1</v>
          </cell>
          <cell r="AS32">
            <v>0.6</v>
          </cell>
          <cell r="AT32">
            <v>0.3</v>
          </cell>
          <cell r="AU32">
            <v>0.1</v>
          </cell>
          <cell r="AV32">
            <v>0.6</v>
          </cell>
          <cell r="AW32">
            <v>0.3</v>
          </cell>
          <cell r="AX32">
            <v>0.1</v>
          </cell>
          <cell r="AY32">
            <v>0.6</v>
          </cell>
          <cell r="AZ32">
            <v>0.3</v>
          </cell>
          <cell r="BA32">
            <v>0.1</v>
          </cell>
          <cell r="BB32">
            <v>0.6</v>
          </cell>
          <cell r="BC32">
            <v>0.3</v>
          </cell>
          <cell r="BD32">
            <v>0.1</v>
          </cell>
          <cell r="BG32">
            <v>0.1</v>
          </cell>
          <cell r="BH32">
            <v>0.14000000000000001</v>
          </cell>
          <cell r="BI32">
            <v>0.18</v>
          </cell>
          <cell r="BJ32">
            <v>0.1</v>
          </cell>
          <cell r="BK32">
            <v>0.14000000000000001</v>
          </cell>
          <cell r="BL32">
            <v>0.18</v>
          </cell>
          <cell r="BM32">
            <v>0.1</v>
          </cell>
          <cell r="BN32">
            <v>0.14000000000000001</v>
          </cell>
          <cell r="BO32">
            <v>0.18</v>
          </cell>
          <cell r="BP32">
            <v>0.1</v>
          </cell>
          <cell r="BQ32">
            <v>0.14000000000000001</v>
          </cell>
          <cell r="BR32">
            <v>0.16</v>
          </cell>
          <cell r="BS32">
            <v>0.1</v>
          </cell>
          <cell r="BT32">
            <v>0.14000000000000001</v>
          </cell>
          <cell r="BU32">
            <v>0.16</v>
          </cell>
          <cell r="BV32">
            <v>0.11</v>
          </cell>
          <cell r="BW32">
            <v>0.14000000000000001</v>
          </cell>
          <cell r="BX32">
            <v>0.16</v>
          </cell>
          <cell r="BY32">
            <v>0.11</v>
          </cell>
          <cell r="BZ32">
            <v>0.14000000000000001</v>
          </cell>
          <cell r="CA32">
            <v>0.16</v>
          </cell>
          <cell r="CB32">
            <v>0.11</v>
          </cell>
          <cell r="CC32">
            <v>0.14000000000000001</v>
          </cell>
          <cell r="CD32">
            <v>0.16</v>
          </cell>
          <cell r="CE32">
            <v>0.11</v>
          </cell>
          <cell r="CF32">
            <v>0.14000000000000001</v>
          </cell>
          <cell r="CG32">
            <v>0.16</v>
          </cell>
          <cell r="CH32">
            <v>0.11</v>
          </cell>
          <cell r="CI32">
            <v>0.14000000000000001</v>
          </cell>
          <cell r="CJ32">
            <v>0.16</v>
          </cell>
          <cell r="CK32">
            <v>0.11</v>
          </cell>
          <cell r="CL32">
            <v>0.14000000000000001</v>
          </cell>
          <cell r="CM32">
            <v>0.16</v>
          </cell>
          <cell r="CN32">
            <v>0.11</v>
          </cell>
          <cell r="CO32">
            <v>0.14000000000000001</v>
          </cell>
          <cell r="CP32">
            <v>0.16</v>
          </cell>
          <cell r="CQ32">
            <v>0.11</v>
          </cell>
          <cell r="CR32">
            <v>0.14000000000000001</v>
          </cell>
          <cell r="CS32">
            <v>0.16</v>
          </cell>
          <cell r="CV32">
            <v>0.06</v>
          </cell>
          <cell r="CW32">
            <v>0.05</v>
          </cell>
          <cell r="CX32">
            <v>0.04</v>
          </cell>
          <cell r="CY32">
            <v>0.06</v>
          </cell>
          <cell r="CZ32">
            <v>0.05</v>
          </cell>
          <cell r="DA32">
            <v>0.04</v>
          </cell>
          <cell r="DB32">
            <v>0.06</v>
          </cell>
          <cell r="DC32">
            <v>0.05</v>
          </cell>
          <cell r="DD32">
            <v>0.04</v>
          </cell>
          <cell r="DE32">
            <v>0.06</v>
          </cell>
          <cell r="DF32">
            <v>0.05</v>
          </cell>
          <cell r="DG32">
            <v>0.04</v>
          </cell>
          <cell r="DH32">
            <v>6.5000000000000002E-2</v>
          </cell>
          <cell r="DI32">
            <v>0.05</v>
          </cell>
          <cell r="DJ32">
            <v>0.04</v>
          </cell>
          <cell r="DK32">
            <v>6.5000000000000002E-2</v>
          </cell>
          <cell r="DL32">
            <v>0.05</v>
          </cell>
          <cell r="DM32">
            <v>0.04</v>
          </cell>
          <cell r="DN32">
            <v>6.5000000000000002E-2</v>
          </cell>
          <cell r="DO32">
            <v>0.05</v>
          </cell>
          <cell r="DP32">
            <v>0.04</v>
          </cell>
          <cell r="DQ32">
            <v>6.5000000000000002E-2</v>
          </cell>
          <cell r="DR32">
            <v>0.05</v>
          </cell>
          <cell r="DS32">
            <v>0.04</v>
          </cell>
          <cell r="DT32">
            <v>6.5000000000000002E-2</v>
          </cell>
          <cell r="DU32">
            <v>0.05</v>
          </cell>
          <cell r="DV32">
            <v>0.04</v>
          </cell>
          <cell r="DW32">
            <v>6.5000000000000002E-2</v>
          </cell>
          <cell r="DX32">
            <v>0.05</v>
          </cell>
          <cell r="DY32">
            <v>0.04</v>
          </cell>
          <cell r="DZ32">
            <v>6.5000000000000002E-2</v>
          </cell>
          <cell r="EA32">
            <v>0.05</v>
          </cell>
          <cell r="EB32">
            <v>0.04</v>
          </cell>
          <cell r="EC32">
            <v>6.5000000000000002E-2</v>
          </cell>
          <cell r="ED32">
            <v>0.05</v>
          </cell>
          <cell r="EE32">
            <v>0.04</v>
          </cell>
          <cell r="EG32">
            <v>5.5000000000000007E-2</v>
          </cell>
          <cell r="EH32">
            <v>5.5000000000000007E-2</v>
          </cell>
          <cell r="EI32">
            <v>5.5000000000000007E-2</v>
          </cell>
          <cell r="EJ32">
            <v>7.1500000000000022E-2</v>
          </cell>
          <cell r="EK32">
            <v>5.6000000000000022E-2</v>
          </cell>
          <cell r="EL32">
            <v>6.3500000000000015E-2</v>
          </cell>
          <cell r="EM32">
            <v>6.3500000000000015E-2</v>
          </cell>
          <cell r="EN32">
            <v>6.2000000000000013E-2</v>
          </cell>
          <cell r="EO32">
            <v>6.2000000000000013E-2</v>
          </cell>
          <cell r="EP32">
            <v>6.2000000000000013E-2</v>
          </cell>
          <cell r="EQ32">
            <v>6.2000000000000013E-2</v>
          </cell>
          <cell r="ER32">
            <v>6.2000000000000013E-2</v>
          </cell>
          <cell r="ES32">
            <v>6.2000000000000013E-2</v>
          </cell>
          <cell r="EU32">
            <v>0.12000000000000001</v>
          </cell>
          <cell r="EV32">
            <v>0.12000000000000001</v>
          </cell>
          <cell r="EW32">
            <v>0.12000000000000001</v>
          </cell>
          <cell r="EX32">
            <v>0.14600000000000002</v>
          </cell>
          <cell r="EY32">
            <v>0.12200000000000001</v>
          </cell>
          <cell r="EZ32">
            <v>0.127</v>
          </cell>
          <cell r="FA32">
            <v>0.127</v>
          </cell>
          <cell r="FB32">
            <v>0.12400000000000001</v>
          </cell>
          <cell r="FC32">
            <v>0.12400000000000001</v>
          </cell>
          <cell r="FD32">
            <v>0.12400000000000001</v>
          </cell>
          <cell r="FE32">
            <v>0.12400000000000001</v>
          </cell>
          <cell r="FF32">
            <v>0.12400000000000001</v>
          </cell>
          <cell r="FG32">
            <v>0.12400000000000001</v>
          </cell>
        </row>
        <row r="33">
          <cell r="C33" t="str">
            <v>JEEP AVENGER ALTITUDE 1.2T MT6 FWD</v>
          </cell>
          <cell r="D33" t="str">
            <v>AVENGER ALTITUDE 1.2T MT</v>
          </cell>
          <cell r="G33">
            <v>0.05</v>
          </cell>
          <cell r="H33">
            <v>0.05</v>
          </cell>
          <cell r="I33">
            <v>0.05</v>
          </cell>
          <cell r="J33">
            <v>0.05</v>
          </cell>
          <cell r="K33">
            <v>0.05</v>
          </cell>
          <cell r="L33">
            <v>0.05</v>
          </cell>
          <cell r="M33">
            <v>0.05</v>
          </cell>
          <cell r="N33">
            <v>0.05</v>
          </cell>
          <cell r="O33">
            <v>0.05</v>
          </cell>
          <cell r="P33">
            <v>0.05</v>
          </cell>
          <cell r="Q33">
            <v>0.05</v>
          </cell>
          <cell r="R33">
            <v>0.05</v>
          </cell>
          <cell r="U33">
            <v>0.5</v>
          </cell>
          <cell r="V33">
            <v>0</v>
          </cell>
          <cell r="W33">
            <v>0.5</v>
          </cell>
          <cell r="X33">
            <v>0.5</v>
          </cell>
          <cell r="Y33">
            <v>0</v>
          </cell>
          <cell r="Z33">
            <v>0.5</v>
          </cell>
          <cell r="AA33">
            <v>0.5</v>
          </cell>
          <cell r="AB33">
            <v>0</v>
          </cell>
          <cell r="AC33">
            <v>0.5</v>
          </cell>
          <cell r="AD33">
            <v>0.5</v>
          </cell>
          <cell r="AE33">
            <v>0</v>
          </cell>
          <cell r="AF33">
            <v>0.5</v>
          </cell>
          <cell r="AG33">
            <v>0.5</v>
          </cell>
          <cell r="AH33">
            <v>0</v>
          </cell>
          <cell r="AI33">
            <v>0.5</v>
          </cell>
          <cell r="AJ33">
            <v>0.5</v>
          </cell>
          <cell r="AK33">
            <v>0</v>
          </cell>
          <cell r="AL33">
            <v>0.5</v>
          </cell>
          <cell r="AM33">
            <v>0.5</v>
          </cell>
          <cell r="AN33">
            <v>0</v>
          </cell>
          <cell r="AO33">
            <v>0.5</v>
          </cell>
          <cell r="AP33">
            <v>0.5</v>
          </cell>
          <cell r="AQ33">
            <v>0</v>
          </cell>
          <cell r="AR33">
            <v>0.5</v>
          </cell>
          <cell r="AS33">
            <v>0.5</v>
          </cell>
          <cell r="AT33">
            <v>0</v>
          </cell>
          <cell r="AU33">
            <v>0.5</v>
          </cell>
          <cell r="AV33">
            <v>0.5</v>
          </cell>
          <cell r="AW33">
            <v>0</v>
          </cell>
          <cell r="AX33">
            <v>0.5</v>
          </cell>
          <cell r="AY33">
            <v>0.5</v>
          </cell>
          <cell r="AZ33">
            <v>0</v>
          </cell>
          <cell r="BA33">
            <v>0.5</v>
          </cell>
          <cell r="BB33">
            <v>0.5</v>
          </cell>
          <cell r="BC33">
            <v>0</v>
          </cell>
          <cell r="BD33">
            <v>0.5</v>
          </cell>
          <cell r="BG33">
            <v>0.08</v>
          </cell>
          <cell r="BH33">
            <v>0.1</v>
          </cell>
          <cell r="BI33">
            <v>0.12</v>
          </cell>
          <cell r="BJ33">
            <v>0.08</v>
          </cell>
          <cell r="BK33">
            <v>0.1</v>
          </cell>
          <cell r="BL33">
            <v>0.12</v>
          </cell>
          <cell r="BM33">
            <v>0.08</v>
          </cell>
          <cell r="BN33">
            <v>0.1</v>
          </cell>
          <cell r="BO33">
            <v>0.12</v>
          </cell>
          <cell r="BP33">
            <v>0.08</v>
          </cell>
          <cell r="BQ33">
            <v>0.1</v>
          </cell>
          <cell r="BR33">
            <v>0.12</v>
          </cell>
          <cell r="BS33">
            <v>0.08</v>
          </cell>
          <cell r="BT33">
            <v>0.1</v>
          </cell>
          <cell r="BU33">
            <v>0.12</v>
          </cell>
          <cell r="BV33">
            <v>0.08</v>
          </cell>
          <cell r="BW33">
            <v>0.1</v>
          </cell>
          <cell r="BX33">
            <v>0.12</v>
          </cell>
          <cell r="BY33">
            <v>0.08</v>
          </cell>
          <cell r="BZ33">
            <v>0.1</v>
          </cell>
          <cell r="CA33">
            <v>0.12</v>
          </cell>
          <cell r="CB33">
            <v>0.08</v>
          </cell>
          <cell r="CC33">
            <v>0.1</v>
          </cell>
          <cell r="CD33">
            <v>0.12</v>
          </cell>
          <cell r="CE33">
            <v>0.08</v>
          </cell>
          <cell r="CF33">
            <v>0.1</v>
          </cell>
          <cell r="CG33">
            <v>0.12</v>
          </cell>
          <cell r="CH33">
            <v>0.08</v>
          </cell>
          <cell r="CI33">
            <v>0.1</v>
          </cell>
          <cell r="CJ33">
            <v>0.12</v>
          </cell>
          <cell r="CK33">
            <v>0.08</v>
          </cell>
          <cell r="CL33">
            <v>0.1</v>
          </cell>
          <cell r="CM33">
            <v>0.12</v>
          </cell>
          <cell r="CN33">
            <v>0.08</v>
          </cell>
          <cell r="CO33">
            <v>0.1</v>
          </cell>
          <cell r="CP33">
            <v>0.12</v>
          </cell>
          <cell r="CQ33">
            <v>0.08</v>
          </cell>
          <cell r="CR33">
            <v>0.1</v>
          </cell>
          <cell r="CS33">
            <v>0.12</v>
          </cell>
          <cell r="CV33">
            <v>5.5E-2</v>
          </cell>
          <cell r="CW33">
            <v>4.4999999999999998E-2</v>
          </cell>
          <cell r="CX33">
            <v>0.03</v>
          </cell>
          <cell r="CY33">
            <v>5.5E-2</v>
          </cell>
          <cell r="CZ33">
            <v>4.4999999999999998E-2</v>
          </cell>
          <cell r="DA33">
            <v>0.03</v>
          </cell>
          <cell r="DB33">
            <v>5.5E-2</v>
          </cell>
          <cell r="DC33">
            <v>4.4999999999999998E-2</v>
          </cell>
          <cell r="DD33">
            <v>0.03</v>
          </cell>
          <cell r="DE33">
            <v>5.5E-2</v>
          </cell>
          <cell r="DF33">
            <v>4.4999999999999998E-2</v>
          </cell>
          <cell r="DG33">
            <v>0.03</v>
          </cell>
          <cell r="DH33">
            <v>5.5E-2</v>
          </cell>
          <cell r="DI33">
            <v>4.4999999999999998E-2</v>
          </cell>
          <cell r="DJ33">
            <v>0.03</v>
          </cell>
          <cell r="DK33">
            <v>5.5E-2</v>
          </cell>
          <cell r="DL33">
            <v>4.4999999999999998E-2</v>
          </cell>
          <cell r="DM33">
            <v>0.03</v>
          </cell>
          <cell r="DN33">
            <v>5.5E-2</v>
          </cell>
          <cell r="DO33">
            <v>4.4999999999999998E-2</v>
          </cell>
          <cell r="DP33">
            <v>0.03</v>
          </cell>
          <cell r="DQ33">
            <v>5.5E-2</v>
          </cell>
          <cell r="DR33">
            <v>4.4999999999999998E-2</v>
          </cell>
          <cell r="DS33">
            <v>0.03</v>
          </cell>
          <cell r="DT33">
            <v>5.5E-2</v>
          </cell>
          <cell r="DU33">
            <v>4.4999999999999998E-2</v>
          </cell>
          <cell r="DV33">
            <v>0.03</v>
          </cell>
          <cell r="DW33">
            <v>5.5E-2</v>
          </cell>
          <cell r="DX33">
            <v>4.4999999999999998E-2</v>
          </cell>
          <cell r="DY33">
            <v>0.03</v>
          </cell>
          <cell r="DZ33">
            <v>5.5E-2</v>
          </cell>
          <cell r="EA33">
            <v>4.4999999999999998E-2</v>
          </cell>
          <cell r="EB33">
            <v>0.03</v>
          </cell>
          <cell r="EC33">
            <v>5.5E-2</v>
          </cell>
          <cell r="ED33">
            <v>4.4999999999999998E-2</v>
          </cell>
          <cell r="EE33">
            <v>0.03</v>
          </cell>
          <cell r="EG33">
            <v>5.2500000000000005E-2</v>
          </cell>
          <cell r="EH33">
            <v>5.2500000000000005E-2</v>
          </cell>
          <cell r="EI33">
            <v>5.2500000000000005E-2</v>
          </cell>
          <cell r="EJ33">
            <v>5.2500000000000005E-2</v>
          </cell>
          <cell r="EK33">
            <v>5.2500000000000005E-2</v>
          </cell>
          <cell r="EL33">
            <v>5.2500000000000005E-2</v>
          </cell>
          <cell r="EM33">
            <v>5.2500000000000005E-2</v>
          </cell>
          <cell r="EN33">
            <v>5.2500000000000005E-2</v>
          </cell>
          <cell r="EO33">
            <v>5.2500000000000005E-2</v>
          </cell>
          <cell r="EP33">
            <v>5.2500000000000005E-2</v>
          </cell>
          <cell r="EQ33">
            <v>5.2500000000000005E-2</v>
          </cell>
          <cell r="ER33">
            <v>5.2500000000000005E-2</v>
          </cell>
          <cell r="ES33">
            <v>5.2500000000000005E-2</v>
          </cell>
          <cell r="EU33">
            <v>0.1</v>
          </cell>
          <cell r="EV33">
            <v>0.1</v>
          </cell>
          <cell r="EW33">
            <v>0.1</v>
          </cell>
          <cell r="EX33">
            <v>0.1</v>
          </cell>
          <cell r="EY33">
            <v>0.1</v>
          </cell>
          <cell r="EZ33">
            <v>0.1</v>
          </cell>
          <cell r="FA33">
            <v>0.1</v>
          </cell>
          <cell r="FB33">
            <v>0.1</v>
          </cell>
          <cell r="FC33">
            <v>0.1</v>
          </cell>
          <cell r="FD33">
            <v>0.1</v>
          </cell>
          <cell r="FE33">
            <v>0.1</v>
          </cell>
          <cell r="FF33">
            <v>0.1</v>
          </cell>
          <cell r="FG33">
            <v>0.1</v>
          </cell>
        </row>
        <row r="34">
          <cell r="C34" t="str">
            <v>JEEP AVENGER SUMMIT BEV</v>
          </cell>
          <cell r="D34" t="str">
            <v>JEEP AVENGER SUMMIT BEV</v>
          </cell>
          <cell r="G34">
            <v>0.05</v>
          </cell>
          <cell r="H34">
            <v>0.05</v>
          </cell>
          <cell r="I34">
            <v>0.05</v>
          </cell>
          <cell r="J34">
            <v>0.05</v>
          </cell>
          <cell r="K34">
            <v>0.05</v>
          </cell>
          <cell r="L34">
            <v>0.05</v>
          </cell>
          <cell r="M34">
            <v>0.05</v>
          </cell>
          <cell r="N34">
            <v>0.05</v>
          </cell>
          <cell r="O34">
            <v>0.05</v>
          </cell>
          <cell r="P34">
            <v>0.05</v>
          </cell>
          <cell r="Q34">
            <v>0.05</v>
          </cell>
          <cell r="R34">
            <v>0.05</v>
          </cell>
          <cell r="U34">
            <v>0.5</v>
          </cell>
          <cell r="V34">
            <v>0</v>
          </cell>
          <cell r="W34">
            <v>0.5</v>
          </cell>
          <cell r="X34">
            <v>0.5</v>
          </cell>
          <cell r="Y34">
            <v>0</v>
          </cell>
          <cell r="Z34">
            <v>0.5</v>
          </cell>
          <cell r="AA34">
            <v>0.5</v>
          </cell>
          <cell r="AB34">
            <v>0</v>
          </cell>
          <cell r="AC34">
            <v>0.5</v>
          </cell>
          <cell r="AD34">
            <v>0.5</v>
          </cell>
          <cell r="AE34">
            <v>0</v>
          </cell>
          <cell r="AF34">
            <v>0.5</v>
          </cell>
          <cell r="AG34">
            <v>0.5</v>
          </cell>
          <cell r="AH34">
            <v>0</v>
          </cell>
          <cell r="AI34">
            <v>0.5</v>
          </cell>
          <cell r="AJ34">
            <v>0.5</v>
          </cell>
          <cell r="AK34">
            <v>0</v>
          </cell>
          <cell r="AL34">
            <v>0.5</v>
          </cell>
          <cell r="AM34">
            <v>0.5</v>
          </cell>
          <cell r="AN34">
            <v>0</v>
          </cell>
          <cell r="AO34">
            <v>0.5</v>
          </cell>
          <cell r="AP34">
            <v>0.5</v>
          </cell>
          <cell r="AQ34">
            <v>0</v>
          </cell>
          <cell r="AR34">
            <v>0.5</v>
          </cell>
          <cell r="AS34">
            <v>0.5</v>
          </cell>
          <cell r="AT34">
            <v>0</v>
          </cell>
          <cell r="AU34">
            <v>0.5</v>
          </cell>
          <cell r="AV34">
            <v>0.5</v>
          </cell>
          <cell r="AW34">
            <v>0</v>
          </cell>
          <cell r="AX34">
            <v>0.5</v>
          </cell>
          <cell r="AY34">
            <v>0.5</v>
          </cell>
          <cell r="AZ34">
            <v>0</v>
          </cell>
          <cell r="BA34">
            <v>0.5</v>
          </cell>
          <cell r="BB34">
            <v>0.5</v>
          </cell>
          <cell r="BC34">
            <v>0</v>
          </cell>
          <cell r="BD34">
            <v>0.5</v>
          </cell>
          <cell r="BG34">
            <v>0.08</v>
          </cell>
          <cell r="BH34">
            <v>0.1</v>
          </cell>
          <cell r="BI34">
            <v>0.12</v>
          </cell>
          <cell r="BJ34">
            <v>0.08</v>
          </cell>
          <cell r="BK34">
            <v>0.1</v>
          </cell>
          <cell r="BL34">
            <v>0.12</v>
          </cell>
          <cell r="BM34">
            <v>0.08</v>
          </cell>
          <cell r="BN34">
            <v>0.1</v>
          </cell>
          <cell r="BO34">
            <v>0.12</v>
          </cell>
          <cell r="BP34">
            <v>0.08</v>
          </cell>
          <cell r="BQ34">
            <v>0.1</v>
          </cell>
          <cell r="BR34">
            <v>0.12</v>
          </cell>
          <cell r="BS34">
            <v>0.08</v>
          </cell>
          <cell r="BT34">
            <v>0.1</v>
          </cell>
          <cell r="BU34">
            <v>0.12</v>
          </cell>
          <cell r="BV34">
            <v>0.08</v>
          </cell>
          <cell r="BW34">
            <v>0.1</v>
          </cell>
          <cell r="BX34">
            <v>0.12</v>
          </cell>
          <cell r="BY34">
            <v>0.08</v>
          </cell>
          <cell r="BZ34">
            <v>0.1</v>
          </cell>
          <cell r="CA34">
            <v>0.12</v>
          </cell>
          <cell r="CB34">
            <v>0.08</v>
          </cell>
          <cell r="CC34">
            <v>0.1</v>
          </cell>
          <cell r="CD34">
            <v>0.12</v>
          </cell>
          <cell r="CE34">
            <v>0.08</v>
          </cell>
          <cell r="CF34">
            <v>0.1</v>
          </cell>
          <cell r="CG34">
            <v>0.12</v>
          </cell>
          <cell r="CH34">
            <v>0.08</v>
          </cell>
          <cell r="CI34">
            <v>0.1</v>
          </cell>
          <cell r="CJ34">
            <v>0.12</v>
          </cell>
          <cell r="CK34">
            <v>0.08</v>
          </cell>
          <cell r="CL34">
            <v>0.1</v>
          </cell>
          <cell r="CM34">
            <v>0.12</v>
          </cell>
          <cell r="CN34">
            <v>0.08</v>
          </cell>
          <cell r="CO34">
            <v>0.1</v>
          </cell>
          <cell r="CP34">
            <v>0.12</v>
          </cell>
          <cell r="CQ34">
            <v>0.08</v>
          </cell>
          <cell r="CR34">
            <v>0.1</v>
          </cell>
          <cell r="CS34">
            <v>0.12</v>
          </cell>
          <cell r="CV34">
            <v>5.5E-2</v>
          </cell>
          <cell r="CW34">
            <v>4.4999999999999998E-2</v>
          </cell>
          <cell r="CX34">
            <v>0.03</v>
          </cell>
          <cell r="CY34">
            <v>5.5E-2</v>
          </cell>
          <cell r="CZ34">
            <v>4.4999999999999998E-2</v>
          </cell>
          <cell r="DA34">
            <v>0.03</v>
          </cell>
          <cell r="DB34">
            <v>5.5E-2</v>
          </cell>
          <cell r="DC34">
            <v>4.4999999999999998E-2</v>
          </cell>
          <cell r="DD34">
            <v>0.03</v>
          </cell>
          <cell r="DE34">
            <v>5.5E-2</v>
          </cell>
          <cell r="DF34">
            <v>4.4999999999999998E-2</v>
          </cell>
          <cell r="DG34">
            <v>0.03</v>
          </cell>
          <cell r="DH34">
            <v>5.5E-2</v>
          </cell>
          <cell r="DI34">
            <v>4.4999999999999998E-2</v>
          </cell>
          <cell r="DJ34">
            <v>0.03</v>
          </cell>
          <cell r="DK34">
            <v>5.5E-2</v>
          </cell>
          <cell r="DL34">
            <v>4.4999999999999998E-2</v>
          </cell>
          <cell r="DM34">
            <v>0.03</v>
          </cell>
          <cell r="DN34">
            <v>5.5E-2</v>
          </cell>
          <cell r="DO34">
            <v>4.4999999999999998E-2</v>
          </cell>
          <cell r="DP34">
            <v>0.03</v>
          </cell>
          <cell r="DQ34">
            <v>5.5E-2</v>
          </cell>
          <cell r="DR34">
            <v>4.4999999999999998E-2</v>
          </cell>
          <cell r="DS34">
            <v>0.03</v>
          </cell>
          <cell r="DT34">
            <v>5.5E-2</v>
          </cell>
          <cell r="DU34">
            <v>4.4999999999999998E-2</v>
          </cell>
          <cell r="DV34">
            <v>0.03</v>
          </cell>
          <cell r="DW34">
            <v>5.5E-2</v>
          </cell>
          <cell r="DX34">
            <v>4.4999999999999998E-2</v>
          </cell>
          <cell r="DY34">
            <v>0.03</v>
          </cell>
          <cell r="DZ34">
            <v>5.5E-2</v>
          </cell>
          <cell r="EA34">
            <v>4.4999999999999998E-2</v>
          </cell>
          <cell r="EB34">
            <v>0.03</v>
          </cell>
          <cell r="EC34">
            <v>5.5E-2</v>
          </cell>
          <cell r="ED34">
            <v>4.4999999999999998E-2</v>
          </cell>
          <cell r="EE34">
            <v>0.03</v>
          </cell>
          <cell r="EG34">
            <v>5.2500000000000005E-2</v>
          </cell>
          <cell r="EH34">
            <v>5.2500000000000005E-2</v>
          </cell>
          <cell r="EI34">
            <v>5.2500000000000005E-2</v>
          </cell>
          <cell r="EJ34">
            <v>5.2500000000000005E-2</v>
          </cell>
          <cell r="EK34">
            <v>5.2500000000000005E-2</v>
          </cell>
          <cell r="EL34">
            <v>5.2500000000000005E-2</v>
          </cell>
          <cell r="EM34">
            <v>5.2500000000000005E-2</v>
          </cell>
          <cell r="EN34">
            <v>5.2500000000000005E-2</v>
          </cell>
          <cell r="EO34">
            <v>5.2500000000000005E-2</v>
          </cell>
          <cell r="EP34">
            <v>5.2500000000000005E-2</v>
          </cell>
          <cell r="EQ34">
            <v>5.2500000000000005E-2</v>
          </cell>
          <cell r="ER34">
            <v>5.2500000000000005E-2</v>
          </cell>
          <cell r="ES34">
            <v>5.2500000000000005E-2</v>
          </cell>
          <cell r="EU34">
            <v>0.1</v>
          </cell>
          <cell r="EV34">
            <v>0.1</v>
          </cell>
          <cell r="EW34">
            <v>0.1</v>
          </cell>
          <cell r="EX34">
            <v>0.1</v>
          </cell>
          <cell r="EY34">
            <v>0.1</v>
          </cell>
          <cell r="EZ34">
            <v>0.1</v>
          </cell>
          <cell r="FA34">
            <v>0.1</v>
          </cell>
          <cell r="FB34">
            <v>0.1</v>
          </cell>
          <cell r="FC34">
            <v>0.1</v>
          </cell>
          <cell r="FD34">
            <v>0.1</v>
          </cell>
          <cell r="FE34">
            <v>0.1</v>
          </cell>
          <cell r="FF34">
            <v>0.1</v>
          </cell>
          <cell r="FG34">
            <v>0.1</v>
          </cell>
        </row>
        <row r="35">
          <cell r="C35" t="str">
            <v>JEEP AVENGER ALTITUDE 1.0T MHEV</v>
          </cell>
          <cell r="D35" t="str">
            <v>JEEP AVENGER ALTITUDE 1.0T MHEV</v>
          </cell>
          <cell r="G35">
            <v>0.05</v>
          </cell>
          <cell r="H35">
            <v>0.05</v>
          </cell>
          <cell r="I35">
            <v>0.05</v>
          </cell>
          <cell r="J35">
            <v>0.05</v>
          </cell>
          <cell r="K35">
            <v>0.05</v>
          </cell>
          <cell r="L35">
            <v>0.05</v>
          </cell>
          <cell r="M35">
            <v>0.05</v>
          </cell>
          <cell r="N35">
            <v>0.05</v>
          </cell>
          <cell r="O35">
            <v>0.05</v>
          </cell>
          <cell r="P35">
            <v>0.05</v>
          </cell>
          <cell r="Q35">
            <v>0.05</v>
          </cell>
          <cell r="R35">
            <v>0.05</v>
          </cell>
          <cell r="U35">
            <v>0.5</v>
          </cell>
          <cell r="V35">
            <v>0</v>
          </cell>
          <cell r="W35">
            <v>0.5</v>
          </cell>
          <cell r="X35">
            <v>0.5</v>
          </cell>
          <cell r="Y35">
            <v>0</v>
          </cell>
          <cell r="Z35">
            <v>0.5</v>
          </cell>
          <cell r="AA35">
            <v>0.5</v>
          </cell>
          <cell r="AB35">
            <v>0</v>
          </cell>
          <cell r="AC35">
            <v>0.5</v>
          </cell>
          <cell r="AD35">
            <v>0.5</v>
          </cell>
          <cell r="AE35">
            <v>0</v>
          </cell>
          <cell r="AF35">
            <v>0.5</v>
          </cell>
          <cell r="AG35">
            <v>0.5</v>
          </cell>
          <cell r="AH35">
            <v>0</v>
          </cell>
          <cell r="AI35">
            <v>0.5</v>
          </cell>
          <cell r="AJ35">
            <v>0.5</v>
          </cell>
          <cell r="AK35">
            <v>0</v>
          </cell>
          <cell r="AL35">
            <v>0.5</v>
          </cell>
          <cell r="AM35">
            <v>0.5</v>
          </cell>
          <cell r="AN35">
            <v>0</v>
          </cell>
          <cell r="AO35">
            <v>0.5</v>
          </cell>
          <cell r="AP35">
            <v>0.5</v>
          </cell>
          <cell r="AQ35">
            <v>0</v>
          </cell>
          <cell r="AR35">
            <v>0.5</v>
          </cell>
          <cell r="AS35">
            <v>0.5</v>
          </cell>
          <cell r="AT35">
            <v>0</v>
          </cell>
          <cell r="AU35">
            <v>0.5</v>
          </cell>
          <cell r="AV35">
            <v>0.5</v>
          </cell>
          <cell r="AW35">
            <v>0</v>
          </cell>
          <cell r="AX35">
            <v>0.5</v>
          </cell>
          <cell r="AY35">
            <v>0.5</v>
          </cell>
          <cell r="AZ35">
            <v>0</v>
          </cell>
          <cell r="BA35">
            <v>0.5</v>
          </cell>
          <cell r="BB35">
            <v>0.5</v>
          </cell>
          <cell r="BC35">
            <v>0</v>
          </cell>
          <cell r="BD35">
            <v>0.5</v>
          </cell>
          <cell r="BG35">
            <v>0.08</v>
          </cell>
          <cell r="BH35">
            <v>0.1</v>
          </cell>
          <cell r="BI35">
            <v>0.12</v>
          </cell>
          <cell r="BJ35">
            <v>0.08</v>
          </cell>
          <cell r="BK35">
            <v>0.1</v>
          </cell>
          <cell r="BL35">
            <v>0.12</v>
          </cell>
          <cell r="BM35">
            <v>0.08</v>
          </cell>
          <cell r="BN35">
            <v>0.1</v>
          </cell>
          <cell r="BO35">
            <v>0.12</v>
          </cell>
          <cell r="BP35">
            <v>0.08</v>
          </cell>
          <cell r="BQ35">
            <v>0.1</v>
          </cell>
          <cell r="BR35">
            <v>0.12</v>
          </cell>
          <cell r="BS35">
            <v>0.08</v>
          </cell>
          <cell r="BT35">
            <v>0.1</v>
          </cell>
          <cell r="BU35">
            <v>0.12</v>
          </cell>
          <cell r="BV35">
            <v>0.08</v>
          </cell>
          <cell r="BW35">
            <v>0.1</v>
          </cell>
          <cell r="BX35">
            <v>0.12</v>
          </cell>
          <cell r="BY35">
            <v>0.08</v>
          </cell>
          <cell r="BZ35">
            <v>0.1</v>
          </cell>
          <cell r="CA35">
            <v>0.12</v>
          </cell>
          <cell r="CB35">
            <v>0.08</v>
          </cell>
          <cell r="CC35">
            <v>0.1</v>
          </cell>
          <cell r="CD35">
            <v>0.12</v>
          </cell>
          <cell r="CE35">
            <v>0.08</v>
          </cell>
          <cell r="CF35">
            <v>0.1</v>
          </cell>
          <cell r="CG35">
            <v>0.12</v>
          </cell>
          <cell r="CH35">
            <v>0.08</v>
          </cell>
          <cell r="CI35">
            <v>0.1</v>
          </cell>
          <cell r="CJ35">
            <v>0.12</v>
          </cell>
          <cell r="CK35">
            <v>0.08</v>
          </cell>
          <cell r="CL35">
            <v>0.1</v>
          </cell>
          <cell r="CM35">
            <v>0.12</v>
          </cell>
          <cell r="CN35">
            <v>0.08</v>
          </cell>
          <cell r="CO35">
            <v>0.1</v>
          </cell>
          <cell r="CP35">
            <v>0.12</v>
          </cell>
          <cell r="CQ35">
            <v>0.08</v>
          </cell>
          <cell r="CR35">
            <v>0.1</v>
          </cell>
          <cell r="CS35">
            <v>0.12</v>
          </cell>
          <cell r="CV35">
            <v>5.5E-2</v>
          </cell>
          <cell r="CW35">
            <v>4.4999999999999998E-2</v>
          </cell>
          <cell r="CX35">
            <v>0.03</v>
          </cell>
          <cell r="CY35">
            <v>5.5E-2</v>
          </cell>
          <cell r="CZ35">
            <v>4.4999999999999998E-2</v>
          </cell>
          <cell r="DA35">
            <v>0.03</v>
          </cell>
          <cell r="DB35">
            <v>5.5E-2</v>
          </cell>
          <cell r="DC35">
            <v>4.4999999999999998E-2</v>
          </cell>
          <cell r="DD35">
            <v>0.03</v>
          </cell>
          <cell r="DE35">
            <v>5.5E-2</v>
          </cell>
          <cell r="DF35">
            <v>4.4999999999999998E-2</v>
          </cell>
          <cell r="DG35">
            <v>0.03</v>
          </cell>
          <cell r="DH35">
            <v>5.5E-2</v>
          </cell>
          <cell r="DI35">
            <v>4.4999999999999998E-2</v>
          </cell>
          <cell r="DJ35">
            <v>0.03</v>
          </cell>
          <cell r="DK35">
            <v>5.5E-2</v>
          </cell>
          <cell r="DL35">
            <v>4.4999999999999998E-2</v>
          </cell>
          <cell r="DM35">
            <v>0.03</v>
          </cell>
          <cell r="DN35">
            <v>5.5E-2</v>
          </cell>
          <cell r="DO35">
            <v>4.4999999999999998E-2</v>
          </cell>
          <cell r="DP35">
            <v>0.03</v>
          </cell>
          <cell r="DQ35">
            <v>5.5E-2</v>
          </cell>
          <cell r="DR35">
            <v>4.4999999999999998E-2</v>
          </cell>
          <cell r="DS35">
            <v>0.03</v>
          </cell>
          <cell r="DT35">
            <v>5.5E-2</v>
          </cell>
          <cell r="DU35">
            <v>4.4999999999999998E-2</v>
          </cell>
          <cell r="DV35">
            <v>0.03</v>
          </cell>
          <cell r="DW35">
            <v>5.5E-2</v>
          </cell>
          <cell r="DX35">
            <v>4.4999999999999998E-2</v>
          </cell>
          <cell r="DY35">
            <v>0.03</v>
          </cell>
          <cell r="DZ35">
            <v>5.5E-2</v>
          </cell>
          <cell r="EA35">
            <v>4.4999999999999998E-2</v>
          </cell>
          <cell r="EB35">
            <v>0.03</v>
          </cell>
          <cell r="EC35">
            <v>5.5E-2</v>
          </cell>
          <cell r="ED35">
            <v>4.4999999999999998E-2</v>
          </cell>
          <cell r="EE35">
            <v>0.03</v>
          </cell>
          <cell r="EG35">
            <v>5.2500000000000005E-2</v>
          </cell>
          <cell r="EH35">
            <v>5.2500000000000005E-2</v>
          </cell>
          <cell r="EI35">
            <v>5.2500000000000005E-2</v>
          </cell>
          <cell r="EJ35">
            <v>5.2500000000000005E-2</v>
          </cell>
          <cell r="EK35">
            <v>5.2500000000000005E-2</v>
          </cell>
          <cell r="EL35">
            <v>5.2500000000000005E-2</v>
          </cell>
          <cell r="EM35">
            <v>5.2500000000000005E-2</v>
          </cell>
          <cell r="EN35">
            <v>5.2500000000000005E-2</v>
          </cell>
          <cell r="EO35">
            <v>5.2500000000000005E-2</v>
          </cell>
          <cell r="EP35">
            <v>5.2500000000000005E-2</v>
          </cell>
          <cell r="EQ35">
            <v>5.2500000000000005E-2</v>
          </cell>
          <cell r="ER35">
            <v>5.2500000000000005E-2</v>
          </cell>
          <cell r="ES35">
            <v>5.2500000000000005E-2</v>
          </cell>
          <cell r="EU35">
            <v>0.1</v>
          </cell>
          <cell r="EV35">
            <v>0.1</v>
          </cell>
          <cell r="EW35">
            <v>0.1</v>
          </cell>
          <cell r="EX35">
            <v>0.1</v>
          </cell>
          <cell r="EY35">
            <v>0.1</v>
          </cell>
          <cell r="EZ35">
            <v>0.1</v>
          </cell>
          <cell r="FA35">
            <v>0.1</v>
          </cell>
          <cell r="FB35">
            <v>0.1</v>
          </cell>
          <cell r="FC35">
            <v>0.1</v>
          </cell>
          <cell r="FD35">
            <v>0.1</v>
          </cell>
          <cell r="FE35">
            <v>0.1</v>
          </cell>
          <cell r="FF35">
            <v>0.1</v>
          </cell>
          <cell r="FG35">
            <v>0.1</v>
          </cell>
        </row>
        <row r="36">
          <cell r="C36" t="str">
            <v>JEEP AVENGER ALTITUDE 1.2T H DDCT6 FWD</v>
          </cell>
          <cell r="D36" t="str">
            <v>AVENGER ALTITUDE 1.2T MHEV</v>
          </cell>
          <cell r="G36">
            <v>0.05</v>
          </cell>
          <cell r="H36">
            <v>0.05</v>
          </cell>
          <cell r="I36">
            <v>0.05</v>
          </cell>
          <cell r="J36">
            <v>0.05</v>
          </cell>
          <cell r="K36">
            <v>0.05</v>
          </cell>
          <cell r="L36">
            <v>0.05</v>
          </cell>
          <cell r="M36">
            <v>0.05</v>
          </cell>
          <cell r="N36">
            <v>0.05</v>
          </cell>
          <cell r="O36">
            <v>0.05</v>
          </cell>
          <cell r="P36">
            <v>0.05</v>
          </cell>
          <cell r="Q36">
            <v>0.05</v>
          </cell>
          <cell r="R36">
            <v>0.05</v>
          </cell>
          <cell r="U36">
            <v>0.5</v>
          </cell>
          <cell r="V36">
            <v>0</v>
          </cell>
          <cell r="W36">
            <v>0.5</v>
          </cell>
          <cell r="X36">
            <v>0.5</v>
          </cell>
          <cell r="Y36">
            <v>0</v>
          </cell>
          <cell r="Z36">
            <v>0.5</v>
          </cell>
          <cell r="AA36">
            <v>0.5</v>
          </cell>
          <cell r="AB36">
            <v>0</v>
          </cell>
          <cell r="AC36">
            <v>0.5</v>
          </cell>
          <cell r="AD36">
            <v>0.5</v>
          </cell>
          <cell r="AE36">
            <v>0</v>
          </cell>
          <cell r="AF36">
            <v>0.5</v>
          </cell>
          <cell r="AG36">
            <v>0.5</v>
          </cell>
          <cell r="AH36">
            <v>0</v>
          </cell>
          <cell r="AI36">
            <v>0.5</v>
          </cell>
          <cell r="AJ36">
            <v>0.5</v>
          </cell>
          <cell r="AK36">
            <v>0</v>
          </cell>
          <cell r="AL36">
            <v>0.5</v>
          </cell>
          <cell r="AM36">
            <v>0.5</v>
          </cell>
          <cell r="AN36">
            <v>0</v>
          </cell>
          <cell r="AO36">
            <v>0.5</v>
          </cell>
          <cell r="AP36">
            <v>0.5</v>
          </cell>
          <cell r="AQ36">
            <v>0</v>
          </cell>
          <cell r="AR36">
            <v>0.5</v>
          </cell>
          <cell r="AS36">
            <v>0.5</v>
          </cell>
          <cell r="AT36">
            <v>0</v>
          </cell>
          <cell r="AU36">
            <v>0.5</v>
          </cell>
          <cell r="AV36">
            <v>0.5</v>
          </cell>
          <cell r="AW36">
            <v>0</v>
          </cell>
          <cell r="AX36">
            <v>0.5</v>
          </cell>
          <cell r="AY36">
            <v>0.5</v>
          </cell>
          <cell r="AZ36">
            <v>0</v>
          </cell>
          <cell r="BA36">
            <v>0.5</v>
          </cell>
          <cell r="BB36">
            <v>0.5</v>
          </cell>
          <cell r="BC36">
            <v>0</v>
          </cell>
          <cell r="BD36">
            <v>0.5</v>
          </cell>
          <cell r="BG36">
            <v>0.08</v>
          </cell>
          <cell r="BH36">
            <v>0.1</v>
          </cell>
          <cell r="BI36">
            <v>0.12</v>
          </cell>
          <cell r="BJ36">
            <v>0.08</v>
          </cell>
          <cell r="BK36">
            <v>0.1</v>
          </cell>
          <cell r="BL36">
            <v>0.12</v>
          </cell>
          <cell r="BM36">
            <v>0.08</v>
          </cell>
          <cell r="BN36">
            <v>0.1</v>
          </cell>
          <cell r="BO36">
            <v>0.12</v>
          </cell>
          <cell r="BP36">
            <v>0.08</v>
          </cell>
          <cell r="BQ36">
            <v>0.1</v>
          </cell>
          <cell r="BR36">
            <v>0.12</v>
          </cell>
          <cell r="BS36">
            <v>0.08</v>
          </cell>
          <cell r="BT36">
            <v>0.1</v>
          </cell>
          <cell r="BU36">
            <v>0.12</v>
          </cell>
          <cell r="BV36">
            <v>0.08</v>
          </cell>
          <cell r="BW36">
            <v>0.1</v>
          </cell>
          <cell r="BX36">
            <v>0.12</v>
          </cell>
          <cell r="BY36">
            <v>0.08</v>
          </cell>
          <cell r="BZ36">
            <v>0.1</v>
          </cell>
          <cell r="CA36">
            <v>0.12</v>
          </cell>
          <cell r="CB36">
            <v>0.08</v>
          </cell>
          <cell r="CC36">
            <v>0.1</v>
          </cell>
          <cell r="CD36">
            <v>0.12</v>
          </cell>
          <cell r="CE36">
            <v>0.08</v>
          </cell>
          <cell r="CF36">
            <v>0.1</v>
          </cell>
          <cell r="CG36">
            <v>0.12</v>
          </cell>
          <cell r="CH36">
            <v>0.08</v>
          </cell>
          <cell r="CI36">
            <v>0.1</v>
          </cell>
          <cell r="CJ36">
            <v>0.12</v>
          </cell>
          <cell r="CK36">
            <v>0.08</v>
          </cell>
          <cell r="CL36">
            <v>0.1</v>
          </cell>
          <cell r="CM36">
            <v>0.12</v>
          </cell>
          <cell r="CN36">
            <v>0.08</v>
          </cell>
          <cell r="CO36">
            <v>0.1</v>
          </cell>
          <cell r="CP36">
            <v>0.12</v>
          </cell>
          <cell r="CQ36">
            <v>0.08</v>
          </cell>
          <cell r="CR36">
            <v>0.1</v>
          </cell>
          <cell r="CS36">
            <v>0.12</v>
          </cell>
          <cell r="CV36">
            <v>5.5E-2</v>
          </cell>
          <cell r="CW36">
            <v>4.4999999999999998E-2</v>
          </cell>
          <cell r="CX36">
            <v>0.03</v>
          </cell>
          <cell r="CY36">
            <v>5.5E-2</v>
          </cell>
          <cell r="CZ36">
            <v>4.4999999999999998E-2</v>
          </cell>
          <cell r="DA36">
            <v>0.03</v>
          </cell>
          <cell r="DB36">
            <v>5.5E-2</v>
          </cell>
          <cell r="DC36">
            <v>4.4999999999999998E-2</v>
          </cell>
          <cell r="DD36">
            <v>0.03</v>
          </cell>
          <cell r="DE36">
            <v>5.5E-2</v>
          </cell>
          <cell r="DF36">
            <v>4.4999999999999998E-2</v>
          </cell>
          <cell r="DG36">
            <v>0.03</v>
          </cell>
          <cell r="DH36">
            <v>5.5E-2</v>
          </cell>
          <cell r="DI36">
            <v>4.4999999999999998E-2</v>
          </cell>
          <cell r="DJ36">
            <v>0.03</v>
          </cell>
          <cell r="DK36">
            <v>5.5E-2</v>
          </cell>
          <cell r="DL36">
            <v>4.4999999999999998E-2</v>
          </cell>
          <cell r="DM36">
            <v>0.03</v>
          </cell>
          <cell r="DN36">
            <v>5.5E-2</v>
          </cell>
          <cell r="DO36">
            <v>4.4999999999999998E-2</v>
          </cell>
          <cell r="DP36">
            <v>0.03</v>
          </cell>
          <cell r="DQ36">
            <v>5.5E-2</v>
          </cell>
          <cell r="DR36">
            <v>4.4999999999999998E-2</v>
          </cell>
          <cell r="DS36">
            <v>0.03</v>
          </cell>
          <cell r="DT36">
            <v>5.5E-2</v>
          </cell>
          <cell r="DU36">
            <v>4.4999999999999998E-2</v>
          </cell>
          <cell r="DV36">
            <v>0.03</v>
          </cell>
          <cell r="DW36">
            <v>5.5E-2</v>
          </cell>
          <cell r="DX36">
            <v>4.4999999999999998E-2</v>
          </cell>
          <cell r="DY36">
            <v>0.03</v>
          </cell>
          <cell r="DZ36">
            <v>5.5E-2</v>
          </cell>
          <cell r="EA36">
            <v>4.4999999999999998E-2</v>
          </cell>
          <cell r="EB36">
            <v>0.03</v>
          </cell>
          <cell r="EC36">
            <v>5.5E-2</v>
          </cell>
          <cell r="ED36">
            <v>4.4999999999999998E-2</v>
          </cell>
          <cell r="EE36">
            <v>0.03</v>
          </cell>
          <cell r="EG36">
            <v>5.2500000000000005E-2</v>
          </cell>
          <cell r="EH36">
            <v>5.2500000000000005E-2</v>
          </cell>
          <cell r="EI36">
            <v>5.2500000000000005E-2</v>
          </cell>
          <cell r="EJ36">
            <v>5.2500000000000005E-2</v>
          </cell>
          <cell r="EK36">
            <v>5.2500000000000005E-2</v>
          </cell>
          <cell r="EL36">
            <v>5.2500000000000005E-2</v>
          </cell>
          <cell r="EM36">
            <v>5.2500000000000005E-2</v>
          </cell>
          <cell r="EN36">
            <v>5.2500000000000005E-2</v>
          </cell>
          <cell r="EO36">
            <v>5.2500000000000005E-2</v>
          </cell>
          <cell r="EP36">
            <v>5.2500000000000005E-2</v>
          </cell>
          <cell r="EQ36">
            <v>5.2500000000000005E-2</v>
          </cell>
          <cell r="ER36">
            <v>5.2500000000000005E-2</v>
          </cell>
          <cell r="ES36">
            <v>5.2500000000000005E-2</v>
          </cell>
          <cell r="EU36">
            <v>0.1</v>
          </cell>
          <cell r="EV36">
            <v>0.1</v>
          </cell>
          <cell r="EW36">
            <v>0.1</v>
          </cell>
          <cell r="EX36">
            <v>0.1</v>
          </cell>
          <cell r="EY36">
            <v>0.1</v>
          </cell>
          <cell r="EZ36">
            <v>0.1</v>
          </cell>
          <cell r="FA36">
            <v>0.1</v>
          </cell>
          <cell r="FB36">
            <v>0.1</v>
          </cell>
          <cell r="FC36">
            <v>0.1</v>
          </cell>
          <cell r="FD36">
            <v>0.1</v>
          </cell>
          <cell r="FE36">
            <v>0.1</v>
          </cell>
          <cell r="FF36">
            <v>0.1</v>
          </cell>
          <cell r="FG36">
            <v>0.1</v>
          </cell>
        </row>
        <row r="37">
          <cell r="C37" t="str">
            <v>JEEP AVENGER LONGITUDE 1.0T MHEV</v>
          </cell>
          <cell r="D37" t="str">
            <v>JEEP AVENGER LONGITUDE 1.0T MHEV</v>
          </cell>
          <cell r="G37">
            <v>0.05</v>
          </cell>
          <cell r="H37">
            <v>0.05</v>
          </cell>
          <cell r="I37">
            <v>0.05</v>
          </cell>
          <cell r="J37">
            <v>0.05</v>
          </cell>
          <cell r="K37">
            <v>0.05</v>
          </cell>
          <cell r="L37">
            <v>0.05</v>
          </cell>
          <cell r="M37">
            <v>0.05</v>
          </cell>
          <cell r="N37">
            <v>0.05</v>
          </cell>
          <cell r="O37">
            <v>0.05</v>
          </cell>
          <cell r="P37">
            <v>0.05</v>
          </cell>
          <cell r="Q37">
            <v>0.05</v>
          </cell>
          <cell r="R37">
            <v>0.05</v>
          </cell>
          <cell r="U37">
            <v>0.5</v>
          </cell>
          <cell r="V37">
            <v>0</v>
          </cell>
          <cell r="W37">
            <v>0.5</v>
          </cell>
          <cell r="X37">
            <v>0.5</v>
          </cell>
          <cell r="Y37">
            <v>0</v>
          </cell>
          <cell r="Z37">
            <v>0.5</v>
          </cell>
          <cell r="AA37">
            <v>0.5</v>
          </cell>
          <cell r="AB37">
            <v>0</v>
          </cell>
          <cell r="AC37">
            <v>0.5</v>
          </cell>
          <cell r="AD37">
            <v>0.5</v>
          </cell>
          <cell r="AE37">
            <v>0</v>
          </cell>
          <cell r="AF37">
            <v>0.5</v>
          </cell>
          <cell r="AG37">
            <v>0.5</v>
          </cell>
          <cell r="AH37">
            <v>0</v>
          </cell>
          <cell r="AI37">
            <v>0.5</v>
          </cell>
          <cell r="AJ37">
            <v>0.5</v>
          </cell>
          <cell r="AK37">
            <v>0</v>
          </cell>
          <cell r="AL37">
            <v>0.5</v>
          </cell>
          <cell r="AM37">
            <v>0.5</v>
          </cell>
          <cell r="AN37">
            <v>0</v>
          </cell>
          <cell r="AO37">
            <v>0.5</v>
          </cell>
          <cell r="AP37">
            <v>0.5</v>
          </cell>
          <cell r="AQ37">
            <v>0</v>
          </cell>
          <cell r="AR37">
            <v>0.5</v>
          </cell>
          <cell r="AS37">
            <v>0.5</v>
          </cell>
          <cell r="AT37">
            <v>0</v>
          </cell>
          <cell r="AU37">
            <v>0.5</v>
          </cell>
          <cell r="AV37">
            <v>0.5</v>
          </cell>
          <cell r="AW37">
            <v>0</v>
          </cell>
          <cell r="AX37">
            <v>0.5</v>
          </cell>
          <cell r="AY37">
            <v>0.5</v>
          </cell>
          <cell r="AZ37">
            <v>0</v>
          </cell>
          <cell r="BA37">
            <v>0.5</v>
          </cell>
          <cell r="BB37">
            <v>0.5</v>
          </cell>
          <cell r="BC37">
            <v>0</v>
          </cell>
          <cell r="BD37">
            <v>0.5</v>
          </cell>
          <cell r="BG37">
            <v>0.08</v>
          </cell>
          <cell r="BH37">
            <v>0.1</v>
          </cell>
          <cell r="BI37">
            <v>0.12</v>
          </cell>
          <cell r="BJ37">
            <v>0.08</v>
          </cell>
          <cell r="BK37">
            <v>0.1</v>
          </cell>
          <cell r="BL37">
            <v>0.12</v>
          </cell>
          <cell r="BM37">
            <v>0.08</v>
          </cell>
          <cell r="BN37">
            <v>0.1</v>
          </cell>
          <cell r="BO37">
            <v>0.12</v>
          </cell>
          <cell r="BP37">
            <v>0.08</v>
          </cell>
          <cell r="BQ37">
            <v>0.1</v>
          </cell>
          <cell r="BR37">
            <v>0.12</v>
          </cell>
          <cell r="BS37">
            <v>0.08</v>
          </cell>
          <cell r="BT37">
            <v>0.1</v>
          </cell>
          <cell r="BU37">
            <v>0.12</v>
          </cell>
          <cell r="BV37">
            <v>0.08</v>
          </cell>
          <cell r="BW37">
            <v>0.1</v>
          </cell>
          <cell r="BX37">
            <v>0.12</v>
          </cell>
          <cell r="BY37">
            <v>0.08</v>
          </cell>
          <cell r="BZ37">
            <v>0.1</v>
          </cell>
          <cell r="CA37">
            <v>0.12</v>
          </cell>
          <cell r="CB37">
            <v>0.08</v>
          </cell>
          <cell r="CC37">
            <v>0.1</v>
          </cell>
          <cell r="CD37">
            <v>0.12</v>
          </cell>
          <cell r="CE37">
            <v>0.08</v>
          </cell>
          <cell r="CF37">
            <v>0.1</v>
          </cell>
          <cell r="CG37">
            <v>0.12</v>
          </cell>
          <cell r="CH37">
            <v>0.08</v>
          </cell>
          <cell r="CI37">
            <v>0.1</v>
          </cell>
          <cell r="CJ37">
            <v>0.12</v>
          </cell>
          <cell r="CK37">
            <v>0.08</v>
          </cell>
          <cell r="CL37">
            <v>0.1</v>
          </cell>
          <cell r="CM37">
            <v>0.12</v>
          </cell>
          <cell r="CN37">
            <v>0.08</v>
          </cell>
          <cell r="CO37">
            <v>0.1</v>
          </cell>
          <cell r="CP37">
            <v>0.12</v>
          </cell>
          <cell r="CQ37">
            <v>0.08</v>
          </cell>
          <cell r="CR37">
            <v>0.1</v>
          </cell>
          <cell r="CS37">
            <v>0.12</v>
          </cell>
          <cell r="CV37">
            <v>5.5E-2</v>
          </cell>
          <cell r="CW37">
            <v>4.4999999999999998E-2</v>
          </cell>
          <cell r="CX37">
            <v>0.03</v>
          </cell>
          <cell r="CY37">
            <v>5.5E-2</v>
          </cell>
          <cell r="CZ37">
            <v>4.4999999999999998E-2</v>
          </cell>
          <cell r="DA37">
            <v>0.03</v>
          </cell>
          <cell r="DB37">
            <v>5.5E-2</v>
          </cell>
          <cell r="DC37">
            <v>4.4999999999999998E-2</v>
          </cell>
          <cell r="DD37">
            <v>0.03</v>
          </cell>
          <cell r="DE37">
            <v>5.5E-2</v>
          </cell>
          <cell r="DF37">
            <v>4.4999999999999998E-2</v>
          </cell>
          <cell r="DG37">
            <v>0.03</v>
          </cell>
          <cell r="DH37">
            <v>5.5E-2</v>
          </cell>
          <cell r="DI37">
            <v>4.4999999999999998E-2</v>
          </cell>
          <cell r="DJ37">
            <v>0.03</v>
          </cell>
          <cell r="DK37">
            <v>5.5E-2</v>
          </cell>
          <cell r="DL37">
            <v>4.4999999999999998E-2</v>
          </cell>
          <cell r="DM37">
            <v>0.03</v>
          </cell>
          <cell r="DN37">
            <v>5.5E-2</v>
          </cell>
          <cell r="DO37">
            <v>4.4999999999999998E-2</v>
          </cell>
          <cell r="DP37">
            <v>0.03</v>
          </cell>
          <cell r="DQ37">
            <v>5.5E-2</v>
          </cell>
          <cell r="DR37">
            <v>4.4999999999999998E-2</v>
          </cell>
          <cell r="DS37">
            <v>0.03</v>
          </cell>
          <cell r="DT37">
            <v>5.5E-2</v>
          </cell>
          <cell r="DU37">
            <v>4.4999999999999998E-2</v>
          </cell>
          <cell r="DV37">
            <v>0.03</v>
          </cell>
          <cell r="DW37">
            <v>5.5E-2</v>
          </cell>
          <cell r="DX37">
            <v>4.4999999999999998E-2</v>
          </cell>
          <cell r="DY37">
            <v>0.03</v>
          </cell>
          <cell r="DZ37">
            <v>5.5E-2</v>
          </cell>
          <cell r="EA37">
            <v>4.4999999999999998E-2</v>
          </cell>
          <cell r="EB37">
            <v>0.03</v>
          </cell>
          <cell r="EC37">
            <v>5.5E-2</v>
          </cell>
          <cell r="ED37">
            <v>4.4999999999999998E-2</v>
          </cell>
          <cell r="EE37">
            <v>0.03</v>
          </cell>
          <cell r="EG37">
            <v>5.2500000000000005E-2</v>
          </cell>
          <cell r="EH37">
            <v>5.2500000000000005E-2</v>
          </cell>
          <cell r="EI37">
            <v>5.2500000000000005E-2</v>
          </cell>
          <cell r="EJ37">
            <v>5.2500000000000005E-2</v>
          </cell>
          <cell r="EK37">
            <v>5.2500000000000005E-2</v>
          </cell>
          <cell r="EL37">
            <v>5.2500000000000005E-2</v>
          </cell>
          <cell r="EM37">
            <v>5.2500000000000005E-2</v>
          </cell>
          <cell r="EN37">
            <v>5.2500000000000005E-2</v>
          </cell>
          <cell r="EO37">
            <v>5.2500000000000005E-2</v>
          </cell>
          <cell r="EP37">
            <v>5.2500000000000005E-2</v>
          </cell>
          <cell r="EQ37">
            <v>5.2500000000000005E-2</v>
          </cell>
          <cell r="ER37">
            <v>5.2500000000000005E-2</v>
          </cell>
          <cell r="ES37">
            <v>5.2500000000000005E-2</v>
          </cell>
          <cell r="EU37">
            <v>0.1</v>
          </cell>
          <cell r="EV37">
            <v>0.1</v>
          </cell>
          <cell r="EW37">
            <v>0.1</v>
          </cell>
          <cell r="EX37">
            <v>0.1</v>
          </cell>
          <cell r="EY37">
            <v>0.1</v>
          </cell>
          <cell r="EZ37">
            <v>0.1</v>
          </cell>
          <cell r="FA37">
            <v>0.1</v>
          </cell>
          <cell r="FB37">
            <v>0.1</v>
          </cell>
          <cell r="FC37">
            <v>0.1</v>
          </cell>
          <cell r="FD37">
            <v>0.1</v>
          </cell>
          <cell r="FE37">
            <v>0.1</v>
          </cell>
          <cell r="FF37">
            <v>0.1</v>
          </cell>
          <cell r="FG37">
            <v>0.1</v>
          </cell>
        </row>
        <row r="38">
          <cell r="C38" t="str">
            <v>JEEP AVENGER SAHARA 1.0T MHEV</v>
          </cell>
          <cell r="D38" t="str">
            <v>JEEP AVENGER SAHARA 1.0T MHEV</v>
          </cell>
          <cell r="G38">
            <v>0.05</v>
          </cell>
          <cell r="H38">
            <v>0.05</v>
          </cell>
          <cell r="I38">
            <v>0.05</v>
          </cell>
          <cell r="J38">
            <v>0.05</v>
          </cell>
          <cell r="K38">
            <v>0.05</v>
          </cell>
          <cell r="L38">
            <v>0.05</v>
          </cell>
          <cell r="M38">
            <v>0.05</v>
          </cell>
          <cell r="N38">
            <v>0.05</v>
          </cell>
          <cell r="O38">
            <v>0.05</v>
          </cell>
          <cell r="P38">
            <v>0.05</v>
          </cell>
          <cell r="Q38">
            <v>0.05</v>
          </cell>
          <cell r="R38">
            <v>0.05</v>
          </cell>
          <cell r="U38">
            <v>0.5</v>
          </cell>
          <cell r="V38">
            <v>0</v>
          </cell>
          <cell r="W38">
            <v>0.5</v>
          </cell>
          <cell r="X38">
            <v>0.5</v>
          </cell>
          <cell r="Y38">
            <v>0</v>
          </cell>
          <cell r="Z38">
            <v>0.5</v>
          </cell>
          <cell r="AA38">
            <v>0.5</v>
          </cell>
          <cell r="AB38">
            <v>0</v>
          </cell>
          <cell r="AC38">
            <v>0.5</v>
          </cell>
          <cell r="AD38">
            <v>0.5</v>
          </cell>
          <cell r="AE38">
            <v>0</v>
          </cell>
          <cell r="AF38">
            <v>0.5</v>
          </cell>
          <cell r="AG38">
            <v>0.5</v>
          </cell>
          <cell r="AH38">
            <v>0</v>
          </cell>
          <cell r="AI38">
            <v>0.5</v>
          </cell>
          <cell r="AJ38">
            <v>0.5</v>
          </cell>
          <cell r="AK38">
            <v>0</v>
          </cell>
          <cell r="AL38">
            <v>0.5</v>
          </cell>
          <cell r="AM38">
            <v>0.5</v>
          </cell>
          <cell r="AN38">
            <v>0</v>
          </cell>
          <cell r="AO38">
            <v>0.5</v>
          </cell>
          <cell r="AP38">
            <v>0.5</v>
          </cell>
          <cell r="AQ38">
            <v>0</v>
          </cell>
          <cell r="AR38">
            <v>0.5</v>
          </cell>
          <cell r="AS38">
            <v>0.5</v>
          </cell>
          <cell r="AT38">
            <v>0</v>
          </cell>
          <cell r="AU38">
            <v>0.5</v>
          </cell>
          <cell r="AV38">
            <v>0.5</v>
          </cell>
          <cell r="AW38">
            <v>0</v>
          </cell>
          <cell r="AX38">
            <v>0.5</v>
          </cell>
          <cell r="AY38">
            <v>0.5</v>
          </cell>
          <cell r="AZ38">
            <v>0</v>
          </cell>
          <cell r="BA38">
            <v>0.5</v>
          </cell>
          <cell r="BB38">
            <v>0.5</v>
          </cell>
          <cell r="BC38">
            <v>0</v>
          </cell>
          <cell r="BD38">
            <v>0.5</v>
          </cell>
          <cell r="BG38">
            <v>0.08</v>
          </cell>
          <cell r="BH38">
            <v>0.1</v>
          </cell>
          <cell r="BI38">
            <v>0.12</v>
          </cell>
          <cell r="BJ38">
            <v>0.08</v>
          </cell>
          <cell r="BK38">
            <v>0.1</v>
          </cell>
          <cell r="BL38">
            <v>0.12</v>
          </cell>
          <cell r="BM38">
            <v>0.08</v>
          </cell>
          <cell r="BN38">
            <v>0.1</v>
          </cell>
          <cell r="BO38">
            <v>0.12</v>
          </cell>
          <cell r="BP38">
            <v>0.08</v>
          </cell>
          <cell r="BQ38">
            <v>0.1</v>
          </cell>
          <cell r="BR38">
            <v>0.12</v>
          </cell>
          <cell r="BS38">
            <v>0.08</v>
          </cell>
          <cell r="BT38">
            <v>0.1</v>
          </cell>
          <cell r="BU38">
            <v>0.12</v>
          </cell>
          <cell r="BV38">
            <v>0.08</v>
          </cell>
          <cell r="BW38">
            <v>0.1</v>
          </cell>
          <cell r="BX38">
            <v>0.12</v>
          </cell>
          <cell r="BY38">
            <v>0.08</v>
          </cell>
          <cell r="BZ38">
            <v>0.1</v>
          </cell>
          <cell r="CA38">
            <v>0.12</v>
          </cell>
          <cell r="CB38">
            <v>0.08</v>
          </cell>
          <cell r="CC38">
            <v>0.1</v>
          </cell>
          <cell r="CD38">
            <v>0.12</v>
          </cell>
          <cell r="CE38">
            <v>0.08</v>
          </cell>
          <cell r="CF38">
            <v>0.1</v>
          </cell>
          <cell r="CG38">
            <v>0.12</v>
          </cell>
          <cell r="CH38">
            <v>0.08</v>
          </cell>
          <cell r="CI38">
            <v>0.1</v>
          </cell>
          <cell r="CJ38">
            <v>0.12</v>
          </cell>
          <cell r="CK38">
            <v>0.08</v>
          </cell>
          <cell r="CL38">
            <v>0.1</v>
          </cell>
          <cell r="CM38">
            <v>0.12</v>
          </cell>
          <cell r="CN38">
            <v>0.08</v>
          </cell>
          <cell r="CO38">
            <v>0.1</v>
          </cell>
          <cell r="CP38">
            <v>0.12</v>
          </cell>
          <cell r="CQ38">
            <v>0.08</v>
          </cell>
          <cell r="CR38">
            <v>0.1</v>
          </cell>
          <cell r="CS38">
            <v>0.12</v>
          </cell>
          <cell r="CV38">
            <v>5.5E-2</v>
          </cell>
          <cell r="CW38">
            <v>4.4999999999999998E-2</v>
          </cell>
          <cell r="CX38">
            <v>0.03</v>
          </cell>
          <cell r="CY38">
            <v>5.5E-2</v>
          </cell>
          <cell r="CZ38">
            <v>4.4999999999999998E-2</v>
          </cell>
          <cell r="DA38">
            <v>0.03</v>
          </cell>
          <cell r="DB38">
            <v>5.5E-2</v>
          </cell>
          <cell r="DC38">
            <v>4.4999999999999998E-2</v>
          </cell>
          <cell r="DD38">
            <v>0.03</v>
          </cell>
          <cell r="DE38">
            <v>5.5E-2</v>
          </cell>
          <cell r="DF38">
            <v>4.4999999999999998E-2</v>
          </cell>
          <cell r="DG38">
            <v>0.03</v>
          </cell>
          <cell r="DH38">
            <v>5.5E-2</v>
          </cell>
          <cell r="DI38">
            <v>4.4999999999999998E-2</v>
          </cell>
          <cell r="DJ38">
            <v>0.03</v>
          </cell>
          <cell r="DK38">
            <v>5.5E-2</v>
          </cell>
          <cell r="DL38">
            <v>4.4999999999999998E-2</v>
          </cell>
          <cell r="DM38">
            <v>0.03</v>
          </cell>
          <cell r="DN38">
            <v>5.5E-2</v>
          </cell>
          <cell r="DO38">
            <v>4.4999999999999998E-2</v>
          </cell>
          <cell r="DP38">
            <v>0.03</v>
          </cell>
          <cell r="DQ38">
            <v>5.5E-2</v>
          </cell>
          <cell r="DR38">
            <v>4.4999999999999998E-2</v>
          </cell>
          <cell r="DS38">
            <v>0.03</v>
          </cell>
          <cell r="DT38">
            <v>5.5E-2</v>
          </cell>
          <cell r="DU38">
            <v>4.4999999999999998E-2</v>
          </cell>
          <cell r="DV38">
            <v>0.03</v>
          </cell>
          <cell r="DW38">
            <v>5.5E-2</v>
          </cell>
          <cell r="DX38">
            <v>4.4999999999999998E-2</v>
          </cell>
          <cell r="DY38">
            <v>0.03</v>
          </cell>
          <cell r="DZ38">
            <v>5.5E-2</v>
          </cell>
          <cell r="EA38">
            <v>4.4999999999999998E-2</v>
          </cell>
          <cell r="EB38">
            <v>0.03</v>
          </cell>
          <cell r="EC38">
            <v>5.5E-2</v>
          </cell>
          <cell r="ED38">
            <v>4.4999999999999998E-2</v>
          </cell>
          <cell r="EE38">
            <v>0.03</v>
          </cell>
          <cell r="EG38">
            <v>5.2500000000000005E-2</v>
          </cell>
          <cell r="EH38">
            <v>5.2500000000000005E-2</v>
          </cell>
          <cell r="EI38">
            <v>5.2500000000000005E-2</v>
          </cell>
          <cell r="EJ38">
            <v>5.2500000000000005E-2</v>
          </cell>
          <cell r="EK38">
            <v>5.2500000000000005E-2</v>
          </cell>
          <cell r="EL38">
            <v>5.2500000000000005E-2</v>
          </cell>
          <cell r="EM38">
            <v>5.2500000000000005E-2</v>
          </cell>
          <cell r="EN38">
            <v>5.2500000000000005E-2</v>
          </cell>
          <cell r="EO38">
            <v>5.2500000000000005E-2</v>
          </cell>
          <cell r="EP38">
            <v>5.2500000000000005E-2</v>
          </cell>
          <cell r="EQ38">
            <v>5.2500000000000005E-2</v>
          </cell>
          <cell r="ER38">
            <v>5.2500000000000005E-2</v>
          </cell>
          <cell r="ES38">
            <v>5.2500000000000005E-2</v>
          </cell>
          <cell r="EU38">
            <v>0.1</v>
          </cell>
          <cell r="EV38">
            <v>0.1</v>
          </cell>
          <cell r="EW38">
            <v>0.1</v>
          </cell>
          <cell r="EX38">
            <v>0.1</v>
          </cell>
          <cell r="EY38">
            <v>0.1</v>
          </cell>
          <cell r="EZ38">
            <v>0.1</v>
          </cell>
          <cell r="FA38">
            <v>0.1</v>
          </cell>
          <cell r="FB38">
            <v>0.1</v>
          </cell>
          <cell r="FC38">
            <v>0.1</v>
          </cell>
          <cell r="FD38">
            <v>0.1</v>
          </cell>
          <cell r="FE38">
            <v>0.1</v>
          </cell>
          <cell r="FF38">
            <v>0.1</v>
          </cell>
          <cell r="FG38">
            <v>0.1</v>
          </cell>
        </row>
        <row r="39">
          <cell r="C39" t="str">
            <v>JEEP AVENGER SUMMIT 1.2T H DDCT6 FWD</v>
          </cell>
          <cell r="D39" t="str">
            <v xml:space="preserve"> AVENGER SUMMIT 1.2T MHEV DDCT</v>
          </cell>
          <cell r="G39">
            <v>0.05</v>
          </cell>
          <cell r="H39">
            <v>0.05</v>
          </cell>
          <cell r="I39">
            <v>0.05</v>
          </cell>
          <cell r="J39">
            <v>0.05</v>
          </cell>
          <cell r="K39">
            <v>0.05</v>
          </cell>
          <cell r="L39">
            <v>0.05</v>
          </cell>
          <cell r="M39">
            <v>0.05</v>
          </cell>
          <cell r="N39">
            <v>0.05</v>
          </cell>
          <cell r="O39">
            <v>0.05</v>
          </cell>
          <cell r="P39">
            <v>0.05</v>
          </cell>
          <cell r="Q39">
            <v>0.05</v>
          </cell>
          <cell r="R39">
            <v>0.05</v>
          </cell>
          <cell r="U39">
            <v>0.5</v>
          </cell>
          <cell r="V39">
            <v>0</v>
          </cell>
          <cell r="W39">
            <v>0.5</v>
          </cell>
          <cell r="X39">
            <v>0.5</v>
          </cell>
          <cell r="Y39">
            <v>0</v>
          </cell>
          <cell r="Z39">
            <v>0.5</v>
          </cell>
          <cell r="AA39">
            <v>0.5</v>
          </cell>
          <cell r="AB39">
            <v>0</v>
          </cell>
          <cell r="AC39">
            <v>0.5</v>
          </cell>
          <cell r="AD39">
            <v>0.5</v>
          </cell>
          <cell r="AE39">
            <v>0</v>
          </cell>
          <cell r="AF39">
            <v>0.5</v>
          </cell>
          <cell r="AG39">
            <v>0.5</v>
          </cell>
          <cell r="AH39">
            <v>0</v>
          </cell>
          <cell r="AI39">
            <v>0.5</v>
          </cell>
          <cell r="AJ39">
            <v>0.5</v>
          </cell>
          <cell r="AK39">
            <v>0</v>
          </cell>
          <cell r="AL39">
            <v>0.5</v>
          </cell>
          <cell r="AM39">
            <v>0.5</v>
          </cell>
          <cell r="AN39">
            <v>0</v>
          </cell>
          <cell r="AO39">
            <v>0.5</v>
          </cell>
          <cell r="AP39">
            <v>0.5</v>
          </cell>
          <cell r="AQ39">
            <v>0</v>
          </cell>
          <cell r="AR39">
            <v>0.5</v>
          </cell>
          <cell r="AS39">
            <v>0.5</v>
          </cell>
          <cell r="AT39">
            <v>0</v>
          </cell>
          <cell r="AU39">
            <v>0.5</v>
          </cell>
          <cell r="AV39">
            <v>0.5</v>
          </cell>
          <cell r="AW39">
            <v>0</v>
          </cell>
          <cell r="AX39">
            <v>0.5</v>
          </cell>
          <cell r="AY39">
            <v>0.5</v>
          </cell>
          <cell r="AZ39">
            <v>0</v>
          </cell>
          <cell r="BA39">
            <v>0.5</v>
          </cell>
          <cell r="BB39">
            <v>0.5</v>
          </cell>
          <cell r="BC39">
            <v>0</v>
          </cell>
          <cell r="BD39">
            <v>0.5</v>
          </cell>
          <cell r="BG39">
            <v>0.08</v>
          </cell>
          <cell r="BH39">
            <v>0.1</v>
          </cell>
          <cell r="BI39">
            <v>0.12</v>
          </cell>
          <cell r="BJ39">
            <v>0.08</v>
          </cell>
          <cell r="BK39">
            <v>0.1</v>
          </cell>
          <cell r="BL39">
            <v>0.12</v>
          </cell>
          <cell r="BM39">
            <v>0.08</v>
          </cell>
          <cell r="BN39">
            <v>0.1</v>
          </cell>
          <cell r="BO39">
            <v>0.12</v>
          </cell>
          <cell r="BP39">
            <v>0.08</v>
          </cell>
          <cell r="BQ39">
            <v>0.1</v>
          </cell>
          <cell r="BR39">
            <v>0.12</v>
          </cell>
          <cell r="BS39">
            <v>0.08</v>
          </cell>
          <cell r="BT39">
            <v>0.1</v>
          </cell>
          <cell r="BU39">
            <v>0.12</v>
          </cell>
          <cell r="BV39">
            <v>0.08</v>
          </cell>
          <cell r="BW39">
            <v>0.1</v>
          </cell>
          <cell r="BX39">
            <v>0.12</v>
          </cell>
          <cell r="BY39">
            <v>0.08</v>
          </cell>
          <cell r="BZ39">
            <v>0.1</v>
          </cell>
          <cell r="CA39">
            <v>0.12</v>
          </cell>
          <cell r="CB39">
            <v>0.08</v>
          </cell>
          <cell r="CC39">
            <v>0.1</v>
          </cell>
          <cell r="CD39">
            <v>0.12</v>
          </cell>
          <cell r="CE39">
            <v>0.08</v>
          </cell>
          <cell r="CF39">
            <v>0.1</v>
          </cell>
          <cell r="CG39">
            <v>0.12</v>
          </cell>
          <cell r="CH39">
            <v>0.08</v>
          </cell>
          <cell r="CI39">
            <v>0.1</v>
          </cell>
          <cell r="CJ39">
            <v>0.12</v>
          </cell>
          <cell r="CK39">
            <v>0.08</v>
          </cell>
          <cell r="CL39">
            <v>0.1</v>
          </cell>
          <cell r="CM39">
            <v>0.12</v>
          </cell>
          <cell r="CN39">
            <v>0.08</v>
          </cell>
          <cell r="CO39">
            <v>0.1</v>
          </cell>
          <cell r="CP39">
            <v>0.12</v>
          </cell>
          <cell r="CQ39">
            <v>0.08</v>
          </cell>
          <cell r="CR39">
            <v>0.1</v>
          </cell>
          <cell r="CS39">
            <v>0.12</v>
          </cell>
          <cell r="CV39">
            <v>5.5E-2</v>
          </cell>
          <cell r="CW39">
            <v>4.4999999999999998E-2</v>
          </cell>
          <cell r="CX39">
            <v>0.03</v>
          </cell>
          <cell r="CY39">
            <v>5.5E-2</v>
          </cell>
          <cell r="CZ39">
            <v>4.4999999999999998E-2</v>
          </cell>
          <cell r="DA39">
            <v>0.03</v>
          </cell>
          <cell r="DB39">
            <v>5.5E-2</v>
          </cell>
          <cell r="DC39">
            <v>4.4999999999999998E-2</v>
          </cell>
          <cell r="DD39">
            <v>0.03</v>
          </cell>
          <cell r="DE39">
            <v>5.5E-2</v>
          </cell>
          <cell r="DF39">
            <v>4.4999999999999998E-2</v>
          </cell>
          <cell r="DG39">
            <v>0.03</v>
          </cell>
          <cell r="DH39">
            <v>5.5E-2</v>
          </cell>
          <cell r="DI39">
            <v>4.4999999999999998E-2</v>
          </cell>
          <cell r="DJ39">
            <v>0.03</v>
          </cell>
          <cell r="DK39">
            <v>5.5E-2</v>
          </cell>
          <cell r="DL39">
            <v>4.4999999999999998E-2</v>
          </cell>
          <cell r="DM39">
            <v>0.03</v>
          </cell>
          <cell r="DN39">
            <v>5.5E-2</v>
          </cell>
          <cell r="DO39">
            <v>4.4999999999999998E-2</v>
          </cell>
          <cell r="DP39">
            <v>0.03</v>
          </cell>
          <cell r="DQ39">
            <v>5.5E-2</v>
          </cell>
          <cell r="DR39">
            <v>4.4999999999999998E-2</v>
          </cell>
          <cell r="DS39">
            <v>0.03</v>
          </cell>
          <cell r="DT39">
            <v>5.5E-2</v>
          </cell>
          <cell r="DU39">
            <v>4.4999999999999998E-2</v>
          </cell>
          <cell r="DV39">
            <v>0.03</v>
          </cell>
          <cell r="DW39">
            <v>5.5E-2</v>
          </cell>
          <cell r="DX39">
            <v>4.4999999999999998E-2</v>
          </cell>
          <cell r="DY39">
            <v>0.03</v>
          </cell>
          <cell r="DZ39">
            <v>5.5E-2</v>
          </cell>
          <cell r="EA39">
            <v>4.4999999999999998E-2</v>
          </cell>
          <cell r="EB39">
            <v>0.03</v>
          </cell>
          <cell r="EC39">
            <v>5.5E-2</v>
          </cell>
          <cell r="ED39">
            <v>4.4999999999999998E-2</v>
          </cell>
          <cell r="EE39">
            <v>0.03</v>
          </cell>
          <cell r="EG39">
            <v>5.2500000000000005E-2</v>
          </cell>
          <cell r="EH39">
            <v>5.2500000000000005E-2</v>
          </cell>
          <cell r="EI39">
            <v>5.2500000000000005E-2</v>
          </cell>
          <cell r="EJ39">
            <v>5.2500000000000005E-2</v>
          </cell>
          <cell r="EK39">
            <v>5.2500000000000005E-2</v>
          </cell>
          <cell r="EL39">
            <v>5.2500000000000005E-2</v>
          </cell>
          <cell r="EM39">
            <v>5.2500000000000005E-2</v>
          </cell>
          <cell r="EN39">
            <v>5.2500000000000005E-2</v>
          </cell>
          <cell r="EO39">
            <v>5.2500000000000005E-2</v>
          </cell>
          <cell r="EP39">
            <v>5.2500000000000005E-2</v>
          </cell>
          <cell r="EQ39">
            <v>5.2500000000000005E-2</v>
          </cell>
          <cell r="ER39">
            <v>5.2500000000000005E-2</v>
          </cell>
          <cell r="ES39">
            <v>5.2500000000000005E-2</v>
          </cell>
          <cell r="EU39">
            <v>0.1</v>
          </cell>
          <cell r="EV39">
            <v>0.1</v>
          </cell>
          <cell r="EW39">
            <v>0.1</v>
          </cell>
          <cell r="EX39">
            <v>0.1</v>
          </cell>
          <cell r="EY39">
            <v>0.1</v>
          </cell>
          <cell r="EZ39">
            <v>0.1</v>
          </cell>
          <cell r="FA39">
            <v>0.1</v>
          </cell>
          <cell r="FB39">
            <v>0.1</v>
          </cell>
          <cell r="FC39">
            <v>0.1</v>
          </cell>
          <cell r="FD39">
            <v>0.1</v>
          </cell>
          <cell r="FE39">
            <v>0.1</v>
          </cell>
          <cell r="FF39">
            <v>0.1</v>
          </cell>
          <cell r="FG39">
            <v>0.1</v>
          </cell>
        </row>
        <row r="40">
          <cell r="C40" t="str">
            <v>JEEP RENEGADE ALTITUDE 1.3T AT6 FWD</v>
          </cell>
          <cell r="D40" t="str">
            <v>JEEP RENEGADE ALTITUDE 1.3T AT6 FWD</v>
          </cell>
          <cell r="G40">
            <v>0.05</v>
          </cell>
          <cell r="H40">
            <v>0.05</v>
          </cell>
          <cell r="I40">
            <v>0.05</v>
          </cell>
          <cell r="J40">
            <v>0.05</v>
          </cell>
          <cell r="K40">
            <v>0.05</v>
          </cell>
          <cell r="L40">
            <v>0.05</v>
          </cell>
          <cell r="M40">
            <v>0.05</v>
          </cell>
          <cell r="N40">
            <v>0.05</v>
          </cell>
          <cell r="O40">
            <v>0.05</v>
          </cell>
          <cell r="P40">
            <v>0.05</v>
          </cell>
          <cell r="Q40">
            <v>0.05</v>
          </cell>
          <cell r="R40">
            <v>0.05</v>
          </cell>
          <cell r="U40">
            <v>0.5</v>
          </cell>
          <cell r="V40">
            <v>0</v>
          </cell>
          <cell r="W40">
            <v>0.5</v>
          </cell>
          <cell r="X40">
            <v>0.5</v>
          </cell>
          <cell r="Y40">
            <v>0</v>
          </cell>
          <cell r="Z40">
            <v>0.5</v>
          </cell>
          <cell r="AA40">
            <v>0.5</v>
          </cell>
          <cell r="AB40">
            <v>0</v>
          </cell>
          <cell r="AC40">
            <v>0.5</v>
          </cell>
          <cell r="AD40">
            <v>0.5</v>
          </cell>
          <cell r="AE40">
            <v>0</v>
          </cell>
          <cell r="AF40">
            <v>0.5</v>
          </cell>
          <cell r="AG40">
            <v>0.5</v>
          </cell>
          <cell r="AH40">
            <v>0</v>
          </cell>
          <cell r="AI40">
            <v>0.5</v>
          </cell>
          <cell r="AJ40">
            <v>0.5</v>
          </cell>
          <cell r="AK40">
            <v>0</v>
          </cell>
          <cell r="AL40">
            <v>0.5</v>
          </cell>
          <cell r="AM40">
            <v>0.5</v>
          </cell>
          <cell r="AN40">
            <v>0</v>
          </cell>
          <cell r="AO40">
            <v>0.5</v>
          </cell>
          <cell r="AP40">
            <v>0.5</v>
          </cell>
          <cell r="AQ40">
            <v>0</v>
          </cell>
          <cell r="AR40">
            <v>0.5</v>
          </cell>
          <cell r="AS40">
            <v>0.5</v>
          </cell>
          <cell r="AT40">
            <v>0</v>
          </cell>
          <cell r="AU40">
            <v>0.5</v>
          </cell>
          <cell r="AV40">
            <v>0.5</v>
          </cell>
          <cell r="AW40">
            <v>0</v>
          </cell>
          <cell r="AX40">
            <v>0.5</v>
          </cell>
          <cell r="AY40">
            <v>0.5</v>
          </cell>
          <cell r="AZ40">
            <v>0</v>
          </cell>
          <cell r="BA40">
            <v>0.5</v>
          </cell>
          <cell r="BB40">
            <v>0.5</v>
          </cell>
          <cell r="BC40">
            <v>0</v>
          </cell>
          <cell r="BD40">
            <v>0.5</v>
          </cell>
          <cell r="BG40">
            <v>0.08</v>
          </cell>
          <cell r="BH40">
            <v>0.1</v>
          </cell>
          <cell r="BI40">
            <v>0.12</v>
          </cell>
          <cell r="BJ40">
            <v>0.08</v>
          </cell>
          <cell r="BK40">
            <v>0.1</v>
          </cell>
          <cell r="BL40">
            <v>0.12</v>
          </cell>
          <cell r="BM40">
            <v>0.08</v>
          </cell>
          <cell r="BN40">
            <v>0.1</v>
          </cell>
          <cell r="BO40">
            <v>0.12</v>
          </cell>
          <cell r="BP40">
            <v>0.08</v>
          </cell>
          <cell r="BQ40">
            <v>0.1</v>
          </cell>
          <cell r="BR40">
            <v>0.12</v>
          </cell>
          <cell r="BS40">
            <v>0.08</v>
          </cell>
          <cell r="BT40">
            <v>0.1</v>
          </cell>
          <cell r="BU40">
            <v>0.12</v>
          </cell>
          <cell r="BV40">
            <v>0.08</v>
          </cell>
          <cell r="BW40">
            <v>0.1</v>
          </cell>
          <cell r="BX40">
            <v>0.12</v>
          </cell>
          <cell r="BY40">
            <v>0.08</v>
          </cell>
          <cell r="BZ40">
            <v>0.1</v>
          </cell>
          <cell r="CA40">
            <v>0.12</v>
          </cell>
          <cell r="CB40">
            <v>0.08</v>
          </cell>
          <cell r="CC40">
            <v>0.1</v>
          </cell>
          <cell r="CD40">
            <v>0.12</v>
          </cell>
          <cell r="CE40">
            <v>0.08</v>
          </cell>
          <cell r="CF40">
            <v>0.1</v>
          </cell>
          <cell r="CG40">
            <v>0.12</v>
          </cell>
          <cell r="CH40">
            <v>0.08</v>
          </cell>
          <cell r="CI40">
            <v>0.1</v>
          </cell>
          <cell r="CJ40">
            <v>0.12</v>
          </cell>
          <cell r="CK40">
            <v>0.08</v>
          </cell>
          <cell r="CL40">
            <v>0.1</v>
          </cell>
          <cell r="CM40">
            <v>0.12</v>
          </cell>
          <cell r="CN40">
            <v>0.08</v>
          </cell>
          <cell r="CO40">
            <v>0.1</v>
          </cell>
          <cell r="CP40">
            <v>0.12</v>
          </cell>
          <cell r="CQ40">
            <v>0.08</v>
          </cell>
          <cell r="CR40">
            <v>0.1</v>
          </cell>
          <cell r="CS40">
            <v>0.12</v>
          </cell>
          <cell r="CV40">
            <v>5.5E-2</v>
          </cell>
          <cell r="CW40">
            <v>4.4999999999999998E-2</v>
          </cell>
          <cell r="CX40">
            <v>0.03</v>
          </cell>
          <cell r="CY40">
            <v>5.5E-2</v>
          </cell>
          <cell r="CZ40">
            <v>4.4999999999999998E-2</v>
          </cell>
          <cell r="DA40">
            <v>0.03</v>
          </cell>
          <cell r="DB40">
            <v>5.5E-2</v>
          </cell>
          <cell r="DC40">
            <v>4.4999999999999998E-2</v>
          </cell>
          <cell r="DD40">
            <v>0.03</v>
          </cell>
          <cell r="DE40">
            <v>5.5E-2</v>
          </cell>
          <cell r="DF40">
            <v>4.4999999999999998E-2</v>
          </cell>
          <cell r="DG40">
            <v>0.03</v>
          </cell>
          <cell r="DH40">
            <v>5.5E-2</v>
          </cell>
          <cell r="DI40">
            <v>4.4999999999999998E-2</v>
          </cell>
          <cell r="DJ40">
            <v>0.03</v>
          </cell>
          <cell r="DK40">
            <v>5.5E-2</v>
          </cell>
          <cell r="DL40">
            <v>4.4999999999999998E-2</v>
          </cell>
          <cell r="DM40">
            <v>0.03</v>
          </cell>
          <cell r="DN40">
            <v>5.5E-2</v>
          </cell>
          <cell r="DO40">
            <v>4.4999999999999998E-2</v>
          </cell>
          <cell r="DP40">
            <v>0.03</v>
          </cell>
          <cell r="DQ40">
            <v>5.5E-2</v>
          </cell>
          <cell r="DR40">
            <v>4.4999999999999998E-2</v>
          </cell>
          <cell r="DS40">
            <v>0.03</v>
          </cell>
          <cell r="DT40">
            <v>5.5E-2</v>
          </cell>
          <cell r="DU40">
            <v>4.4999999999999998E-2</v>
          </cell>
          <cell r="DV40">
            <v>0.03</v>
          </cell>
          <cell r="DW40">
            <v>5.5E-2</v>
          </cell>
          <cell r="DX40">
            <v>4.4999999999999998E-2</v>
          </cell>
          <cell r="DY40">
            <v>0.03</v>
          </cell>
          <cell r="DZ40">
            <v>5.5E-2</v>
          </cell>
          <cell r="EA40">
            <v>4.4999999999999998E-2</v>
          </cell>
          <cell r="EB40">
            <v>0.03</v>
          </cell>
          <cell r="EC40">
            <v>5.5E-2</v>
          </cell>
          <cell r="ED40">
            <v>4.4999999999999998E-2</v>
          </cell>
          <cell r="EE40">
            <v>0.03</v>
          </cell>
          <cell r="EG40">
            <v>5.2500000000000005E-2</v>
          </cell>
          <cell r="EH40">
            <v>5.2500000000000005E-2</v>
          </cell>
          <cell r="EI40">
            <v>5.2500000000000005E-2</v>
          </cell>
          <cell r="EJ40">
            <v>5.2500000000000005E-2</v>
          </cell>
          <cell r="EK40">
            <v>5.2500000000000005E-2</v>
          </cell>
          <cell r="EL40">
            <v>5.2500000000000005E-2</v>
          </cell>
          <cell r="EM40">
            <v>5.2500000000000005E-2</v>
          </cell>
          <cell r="EN40">
            <v>5.2500000000000005E-2</v>
          </cell>
          <cell r="EO40">
            <v>5.2500000000000005E-2</v>
          </cell>
          <cell r="EP40">
            <v>5.2500000000000005E-2</v>
          </cell>
          <cell r="EQ40">
            <v>5.2500000000000005E-2</v>
          </cell>
          <cell r="ER40">
            <v>5.2500000000000005E-2</v>
          </cell>
          <cell r="ES40">
            <v>5.2500000000000005E-2</v>
          </cell>
          <cell r="EU40">
            <v>0.1</v>
          </cell>
          <cell r="EV40">
            <v>0.1</v>
          </cell>
          <cell r="EW40">
            <v>0.1</v>
          </cell>
          <cell r="EX40">
            <v>0.1</v>
          </cell>
          <cell r="EY40">
            <v>0.1</v>
          </cell>
          <cell r="EZ40">
            <v>0.1</v>
          </cell>
          <cell r="FA40">
            <v>0.1</v>
          </cell>
          <cell r="FB40">
            <v>0.1</v>
          </cell>
          <cell r="FC40">
            <v>0.1</v>
          </cell>
          <cell r="FD40">
            <v>0.1</v>
          </cell>
          <cell r="FE40">
            <v>0.1</v>
          </cell>
          <cell r="FF40">
            <v>0.1</v>
          </cell>
          <cell r="FG40">
            <v>0.1</v>
          </cell>
        </row>
        <row r="41">
          <cell r="C41" t="str">
            <v>JEEP RENEGADE SAHARA1.3T AT6 FWD</v>
          </cell>
          <cell r="D41" t="str">
            <v>JEEP RENEGADE SAHARA1.3T AT6 FWD</v>
          </cell>
          <cell r="G41">
            <v>0.05</v>
          </cell>
          <cell r="H41">
            <v>0.05</v>
          </cell>
          <cell r="I41">
            <v>0.05</v>
          </cell>
          <cell r="J41">
            <v>0.05</v>
          </cell>
          <cell r="K41">
            <v>0.05</v>
          </cell>
          <cell r="L41">
            <v>0.05</v>
          </cell>
          <cell r="M41">
            <v>0.05</v>
          </cell>
          <cell r="N41">
            <v>0.05</v>
          </cell>
          <cell r="O41">
            <v>0.05</v>
          </cell>
          <cell r="P41">
            <v>0.05</v>
          </cell>
          <cell r="Q41">
            <v>0.05</v>
          </cell>
          <cell r="R41">
            <v>0.05</v>
          </cell>
          <cell r="U41">
            <v>0.5</v>
          </cell>
          <cell r="V41">
            <v>0</v>
          </cell>
          <cell r="W41">
            <v>0.5</v>
          </cell>
          <cell r="X41">
            <v>0.5</v>
          </cell>
          <cell r="Y41">
            <v>0</v>
          </cell>
          <cell r="Z41">
            <v>0.5</v>
          </cell>
          <cell r="AA41">
            <v>0.5</v>
          </cell>
          <cell r="AB41">
            <v>0</v>
          </cell>
          <cell r="AC41">
            <v>0.5</v>
          </cell>
          <cell r="AD41">
            <v>0.5</v>
          </cell>
          <cell r="AE41">
            <v>0</v>
          </cell>
          <cell r="AF41">
            <v>0.5</v>
          </cell>
          <cell r="AG41">
            <v>0.5</v>
          </cell>
          <cell r="AH41">
            <v>0</v>
          </cell>
          <cell r="AI41">
            <v>0.5</v>
          </cell>
          <cell r="AJ41">
            <v>0.5</v>
          </cell>
          <cell r="AK41">
            <v>0</v>
          </cell>
          <cell r="AL41">
            <v>0.5</v>
          </cell>
          <cell r="AM41">
            <v>0.5</v>
          </cell>
          <cell r="AN41">
            <v>0</v>
          </cell>
          <cell r="AO41">
            <v>0.5</v>
          </cell>
          <cell r="AP41">
            <v>0.5</v>
          </cell>
          <cell r="AQ41">
            <v>0</v>
          </cell>
          <cell r="AR41">
            <v>0.5</v>
          </cell>
          <cell r="AS41">
            <v>0.5</v>
          </cell>
          <cell r="AT41">
            <v>0</v>
          </cell>
          <cell r="AU41">
            <v>0.5</v>
          </cell>
          <cell r="AV41">
            <v>0.5</v>
          </cell>
          <cell r="AW41">
            <v>0</v>
          </cell>
          <cell r="AX41">
            <v>0.5</v>
          </cell>
          <cell r="AY41">
            <v>0.5</v>
          </cell>
          <cell r="AZ41">
            <v>0</v>
          </cell>
          <cell r="BA41">
            <v>0.5</v>
          </cell>
          <cell r="BB41">
            <v>0.5</v>
          </cell>
          <cell r="BC41">
            <v>0</v>
          </cell>
          <cell r="BD41">
            <v>0.5</v>
          </cell>
          <cell r="BG41">
            <v>0.08</v>
          </cell>
          <cell r="BH41">
            <v>0.1</v>
          </cell>
          <cell r="BI41">
            <v>0.12</v>
          </cell>
          <cell r="BJ41">
            <v>0.08</v>
          </cell>
          <cell r="BK41">
            <v>0.1</v>
          </cell>
          <cell r="BL41">
            <v>0.12</v>
          </cell>
          <cell r="BM41">
            <v>0.08</v>
          </cell>
          <cell r="BN41">
            <v>0.1</v>
          </cell>
          <cell r="BO41">
            <v>0.12</v>
          </cell>
          <cell r="BP41">
            <v>0.08</v>
          </cell>
          <cell r="BQ41">
            <v>0.1</v>
          </cell>
          <cell r="BR41">
            <v>0.12</v>
          </cell>
          <cell r="BS41">
            <v>0.08</v>
          </cell>
          <cell r="BT41">
            <v>0.1</v>
          </cell>
          <cell r="BU41">
            <v>0.12</v>
          </cell>
          <cell r="BV41">
            <v>0.08</v>
          </cell>
          <cell r="BW41">
            <v>0.1</v>
          </cell>
          <cell r="BX41">
            <v>0.12</v>
          </cell>
          <cell r="BY41">
            <v>0.08</v>
          </cell>
          <cell r="BZ41">
            <v>0.1</v>
          </cell>
          <cell r="CA41">
            <v>0.12</v>
          </cell>
          <cell r="CB41">
            <v>0.08</v>
          </cell>
          <cell r="CC41">
            <v>0.1</v>
          </cell>
          <cell r="CD41">
            <v>0.12</v>
          </cell>
          <cell r="CE41">
            <v>0.08</v>
          </cell>
          <cell r="CF41">
            <v>0.1</v>
          </cell>
          <cell r="CG41">
            <v>0.12</v>
          </cell>
          <cell r="CH41">
            <v>0.08</v>
          </cell>
          <cell r="CI41">
            <v>0.1</v>
          </cell>
          <cell r="CJ41">
            <v>0.12</v>
          </cell>
          <cell r="CK41">
            <v>0.08</v>
          </cell>
          <cell r="CL41">
            <v>0.1</v>
          </cell>
          <cell r="CM41">
            <v>0.12</v>
          </cell>
          <cell r="CN41">
            <v>0.08</v>
          </cell>
          <cell r="CO41">
            <v>0.1</v>
          </cell>
          <cell r="CP41">
            <v>0.12</v>
          </cell>
          <cell r="CQ41">
            <v>0.08</v>
          </cell>
          <cell r="CR41">
            <v>0.1</v>
          </cell>
          <cell r="CS41">
            <v>0.12</v>
          </cell>
          <cell r="CV41">
            <v>5.5E-2</v>
          </cell>
          <cell r="CW41">
            <v>4.4999999999999998E-2</v>
          </cell>
          <cell r="CX41">
            <v>0.03</v>
          </cell>
          <cell r="CY41">
            <v>5.5E-2</v>
          </cell>
          <cell r="CZ41">
            <v>4.4999999999999998E-2</v>
          </cell>
          <cell r="DA41">
            <v>0.03</v>
          </cell>
          <cell r="DB41">
            <v>5.5E-2</v>
          </cell>
          <cell r="DC41">
            <v>4.4999999999999998E-2</v>
          </cell>
          <cell r="DD41">
            <v>0.03</v>
          </cell>
          <cell r="DE41">
            <v>5.5E-2</v>
          </cell>
          <cell r="DF41">
            <v>4.4999999999999998E-2</v>
          </cell>
          <cell r="DG41">
            <v>0.03</v>
          </cell>
          <cell r="DH41">
            <v>5.5E-2</v>
          </cell>
          <cell r="DI41">
            <v>4.4999999999999998E-2</v>
          </cell>
          <cell r="DJ41">
            <v>0.03</v>
          </cell>
          <cell r="DK41">
            <v>5.5E-2</v>
          </cell>
          <cell r="DL41">
            <v>4.4999999999999998E-2</v>
          </cell>
          <cell r="DM41">
            <v>0.03</v>
          </cell>
          <cell r="DN41">
            <v>5.5E-2</v>
          </cell>
          <cell r="DO41">
            <v>4.4999999999999998E-2</v>
          </cell>
          <cell r="DP41">
            <v>0.03</v>
          </cell>
          <cell r="DQ41">
            <v>5.5E-2</v>
          </cell>
          <cell r="DR41">
            <v>4.4999999999999998E-2</v>
          </cell>
          <cell r="DS41">
            <v>0.03</v>
          </cell>
          <cell r="DT41">
            <v>5.5E-2</v>
          </cell>
          <cell r="DU41">
            <v>4.4999999999999998E-2</v>
          </cell>
          <cell r="DV41">
            <v>0.03</v>
          </cell>
          <cell r="DW41">
            <v>5.5E-2</v>
          </cell>
          <cell r="DX41">
            <v>4.4999999999999998E-2</v>
          </cell>
          <cell r="DY41">
            <v>0.03</v>
          </cell>
          <cell r="DZ41">
            <v>5.5E-2</v>
          </cell>
          <cell r="EA41">
            <v>4.4999999999999998E-2</v>
          </cell>
          <cell r="EB41">
            <v>0.03</v>
          </cell>
          <cell r="EC41">
            <v>5.5E-2</v>
          </cell>
          <cell r="ED41">
            <v>4.4999999999999998E-2</v>
          </cell>
          <cell r="EE41">
            <v>0.03</v>
          </cell>
          <cell r="EG41">
            <v>5.2500000000000005E-2</v>
          </cell>
          <cell r="EH41">
            <v>5.2500000000000005E-2</v>
          </cell>
          <cell r="EI41">
            <v>5.2500000000000005E-2</v>
          </cell>
          <cell r="EJ41">
            <v>5.2500000000000005E-2</v>
          </cell>
          <cell r="EK41">
            <v>5.2500000000000005E-2</v>
          </cell>
          <cell r="EL41">
            <v>5.2500000000000005E-2</v>
          </cell>
          <cell r="EM41">
            <v>5.2500000000000005E-2</v>
          </cell>
          <cell r="EN41">
            <v>5.2500000000000005E-2</v>
          </cell>
          <cell r="EO41">
            <v>5.2500000000000005E-2</v>
          </cell>
          <cell r="EP41">
            <v>5.2500000000000005E-2</v>
          </cell>
          <cell r="EQ41">
            <v>5.2500000000000005E-2</v>
          </cell>
          <cell r="ER41">
            <v>5.2500000000000005E-2</v>
          </cell>
          <cell r="ES41">
            <v>5.2500000000000005E-2</v>
          </cell>
          <cell r="EU41">
            <v>0.1</v>
          </cell>
          <cell r="EV41">
            <v>0.1</v>
          </cell>
          <cell r="EW41">
            <v>0.1</v>
          </cell>
          <cell r="EX41">
            <v>0.1</v>
          </cell>
          <cell r="EY41">
            <v>0.1</v>
          </cell>
          <cell r="EZ41">
            <v>0.1</v>
          </cell>
          <cell r="FA41">
            <v>0.1</v>
          </cell>
          <cell r="FB41">
            <v>0.1</v>
          </cell>
          <cell r="FC41">
            <v>0.1</v>
          </cell>
          <cell r="FD41">
            <v>0.1</v>
          </cell>
          <cell r="FE41">
            <v>0.1</v>
          </cell>
          <cell r="FF41">
            <v>0.1</v>
          </cell>
          <cell r="FG41">
            <v>0.1</v>
          </cell>
        </row>
        <row r="42">
          <cell r="C42"/>
          <cell r="D42" t="str">
            <v/>
          </cell>
          <cell r="G42">
            <v>0.05</v>
          </cell>
          <cell r="H42">
            <v>0.05</v>
          </cell>
          <cell r="I42">
            <v>0.05</v>
          </cell>
          <cell r="J42">
            <v>0.05</v>
          </cell>
          <cell r="K42">
            <v>0.05</v>
          </cell>
          <cell r="L42">
            <v>0.05</v>
          </cell>
          <cell r="M42">
            <v>0.05</v>
          </cell>
          <cell r="N42">
            <v>0.05</v>
          </cell>
          <cell r="O42">
            <v>0.05</v>
          </cell>
          <cell r="P42">
            <v>0.05</v>
          </cell>
          <cell r="Q42">
            <v>0.05</v>
          </cell>
          <cell r="R42">
            <v>0.05</v>
          </cell>
          <cell r="U42">
            <v>0.5</v>
          </cell>
          <cell r="V42">
            <v>0</v>
          </cell>
          <cell r="W42">
            <v>0.5</v>
          </cell>
          <cell r="X42">
            <v>0.5</v>
          </cell>
          <cell r="Y42">
            <v>0</v>
          </cell>
          <cell r="Z42">
            <v>0.5</v>
          </cell>
          <cell r="AA42">
            <v>0.5</v>
          </cell>
          <cell r="AB42">
            <v>0</v>
          </cell>
          <cell r="AC42">
            <v>0.5</v>
          </cell>
          <cell r="AD42">
            <v>0.5</v>
          </cell>
          <cell r="AE42">
            <v>0</v>
          </cell>
          <cell r="AF42">
            <v>0.5</v>
          </cell>
          <cell r="AG42">
            <v>0.5</v>
          </cell>
          <cell r="AH42">
            <v>0</v>
          </cell>
          <cell r="AI42">
            <v>0.5</v>
          </cell>
          <cell r="AJ42">
            <v>0.5</v>
          </cell>
          <cell r="AK42">
            <v>0</v>
          </cell>
          <cell r="AL42">
            <v>0.5</v>
          </cell>
          <cell r="AM42">
            <v>0.5</v>
          </cell>
          <cell r="AN42">
            <v>0</v>
          </cell>
          <cell r="AO42">
            <v>0.5</v>
          </cell>
          <cell r="AP42">
            <v>0.5</v>
          </cell>
          <cell r="AQ42">
            <v>0</v>
          </cell>
          <cell r="AR42">
            <v>0.5</v>
          </cell>
          <cell r="AS42">
            <v>0.5</v>
          </cell>
          <cell r="AT42">
            <v>0</v>
          </cell>
          <cell r="AU42">
            <v>0.5</v>
          </cell>
          <cell r="AV42">
            <v>0.5</v>
          </cell>
          <cell r="AW42">
            <v>0</v>
          </cell>
          <cell r="AX42">
            <v>0.5</v>
          </cell>
          <cell r="AY42">
            <v>0.5</v>
          </cell>
          <cell r="AZ42">
            <v>0</v>
          </cell>
          <cell r="BA42">
            <v>0.5</v>
          </cell>
          <cell r="BB42">
            <v>0.5</v>
          </cell>
          <cell r="BC42">
            <v>0</v>
          </cell>
          <cell r="BD42">
            <v>0.5</v>
          </cell>
          <cell r="BG42">
            <v>0.08</v>
          </cell>
          <cell r="BH42">
            <v>0.1</v>
          </cell>
          <cell r="BI42">
            <v>0.12</v>
          </cell>
          <cell r="BJ42">
            <v>0.08</v>
          </cell>
          <cell r="BK42">
            <v>0.1</v>
          </cell>
          <cell r="BL42">
            <v>0.12</v>
          </cell>
          <cell r="BM42">
            <v>0.08</v>
          </cell>
          <cell r="BN42">
            <v>0.1</v>
          </cell>
          <cell r="BO42">
            <v>0.12</v>
          </cell>
          <cell r="BP42">
            <v>0.08</v>
          </cell>
          <cell r="BQ42">
            <v>0.1</v>
          </cell>
          <cell r="BR42">
            <v>0.12</v>
          </cell>
          <cell r="BS42">
            <v>0.08</v>
          </cell>
          <cell r="BT42">
            <v>0.1</v>
          </cell>
          <cell r="BU42">
            <v>0.12</v>
          </cell>
          <cell r="BV42">
            <v>0.08</v>
          </cell>
          <cell r="BW42">
            <v>0.1</v>
          </cell>
          <cell r="BX42">
            <v>0.12</v>
          </cell>
          <cell r="BY42">
            <v>0.08</v>
          </cell>
          <cell r="BZ42">
            <v>0.1</v>
          </cell>
          <cell r="CA42">
            <v>0.12</v>
          </cell>
          <cell r="CB42">
            <v>0.08</v>
          </cell>
          <cell r="CC42">
            <v>0.1</v>
          </cell>
          <cell r="CD42">
            <v>0.12</v>
          </cell>
          <cell r="CE42">
            <v>0.08</v>
          </cell>
          <cell r="CF42">
            <v>0.1</v>
          </cell>
          <cell r="CG42">
            <v>0.12</v>
          </cell>
          <cell r="CH42">
            <v>0.08</v>
          </cell>
          <cell r="CI42">
            <v>0.1</v>
          </cell>
          <cell r="CJ42">
            <v>0.12</v>
          </cell>
          <cell r="CK42">
            <v>0.08</v>
          </cell>
          <cell r="CL42">
            <v>0.1</v>
          </cell>
          <cell r="CM42">
            <v>0.12</v>
          </cell>
          <cell r="CN42">
            <v>0.08</v>
          </cell>
          <cell r="CO42">
            <v>0.1</v>
          </cell>
          <cell r="CP42">
            <v>0.12</v>
          </cell>
          <cell r="CQ42">
            <v>0.08</v>
          </cell>
          <cell r="CR42">
            <v>0.1</v>
          </cell>
          <cell r="CS42">
            <v>0.12</v>
          </cell>
          <cell r="CV42">
            <v>5.5E-2</v>
          </cell>
          <cell r="CW42">
            <v>4.4999999999999998E-2</v>
          </cell>
          <cell r="CX42">
            <v>0.03</v>
          </cell>
          <cell r="CY42">
            <v>5.5E-2</v>
          </cell>
          <cell r="CZ42">
            <v>4.4999999999999998E-2</v>
          </cell>
          <cell r="DA42">
            <v>0.03</v>
          </cell>
          <cell r="DB42">
            <v>5.5E-2</v>
          </cell>
          <cell r="DC42">
            <v>4.4999999999999998E-2</v>
          </cell>
          <cell r="DD42">
            <v>0.03</v>
          </cell>
          <cell r="DE42">
            <v>5.5E-2</v>
          </cell>
          <cell r="DF42">
            <v>4.4999999999999998E-2</v>
          </cell>
          <cell r="DG42">
            <v>0.03</v>
          </cell>
          <cell r="DH42">
            <v>5.5E-2</v>
          </cell>
          <cell r="DI42">
            <v>4.4999999999999998E-2</v>
          </cell>
          <cell r="DJ42">
            <v>0.03</v>
          </cell>
          <cell r="DK42">
            <v>5.5E-2</v>
          </cell>
          <cell r="DL42">
            <v>4.4999999999999998E-2</v>
          </cell>
          <cell r="DM42">
            <v>0.03</v>
          </cell>
          <cell r="DN42">
            <v>5.5E-2</v>
          </cell>
          <cell r="DO42">
            <v>4.4999999999999998E-2</v>
          </cell>
          <cell r="DP42">
            <v>0.03</v>
          </cell>
          <cell r="DQ42">
            <v>5.5E-2</v>
          </cell>
          <cell r="DR42">
            <v>4.4999999999999998E-2</v>
          </cell>
          <cell r="DS42">
            <v>0.03</v>
          </cell>
          <cell r="DT42">
            <v>5.5E-2</v>
          </cell>
          <cell r="DU42">
            <v>4.4999999999999998E-2</v>
          </cell>
          <cell r="DV42">
            <v>0.03</v>
          </cell>
          <cell r="DW42">
            <v>5.5E-2</v>
          </cell>
          <cell r="DX42">
            <v>4.4999999999999998E-2</v>
          </cell>
          <cell r="DY42">
            <v>0.03</v>
          </cell>
          <cell r="DZ42">
            <v>5.5E-2</v>
          </cell>
          <cell r="EA42">
            <v>4.4999999999999998E-2</v>
          </cell>
          <cell r="EB42">
            <v>0.03</v>
          </cell>
          <cell r="EC42">
            <v>5.5E-2</v>
          </cell>
          <cell r="ED42">
            <v>4.4999999999999998E-2</v>
          </cell>
          <cell r="EE42">
            <v>0.03</v>
          </cell>
          <cell r="EG42">
            <v>5.2500000000000005E-2</v>
          </cell>
          <cell r="EH42">
            <v>5.2500000000000005E-2</v>
          </cell>
          <cell r="EI42">
            <v>5.2500000000000005E-2</v>
          </cell>
          <cell r="EJ42">
            <v>5.2500000000000005E-2</v>
          </cell>
          <cell r="EK42">
            <v>5.2500000000000005E-2</v>
          </cell>
          <cell r="EL42">
            <v>5.2500000000000005E-2</v>
          </cell>
          <cell r="EM42">
            <v>5.2500000000000005E-2</v>
          </cell>
          <cell r="EN42">
            <v>5.2500000000000005E-2</v>
          </cell>
          <cell r="EO42">
            <v>5.2500000000000005E-2</v>
          </cell>
          <cell r="EP42">
            <v>5.2500000000000005E-2</v>
          </cell>
          <cell r="EQ42">
            <v>5.2500000000000005E-2</v>
          </cell>
          <cell r="ER42">
            <v>5.2500000000000005E-2</v>
          </cell>
          <cell r="ES42">
            <v>5.2500000000000005E-2</v>
          </cell>
          <cell r="EU42">
            <v>0.1</v>
          </cell>
          <cell r="EV42">
            <v>0.1</v>
          </cell>
          <cell r="EW42">
            <v>0.1</v>
          </cell>
          <cell r="EX42">
            <v>0.1</v>
          </cell>
          <cell r="EY42">
            <v>0.1</v>
          </cell>
          <cell r="EZ42">
            <v>0.1</v>
          </cell>
          <cell r="FA42">
            <v>0.1</v>
          </cell>
          <cell r="FB42">
            <v>0.1</v>
          </cell>
          <cell r="FC42">
            <v>0.1</v>
          </cell>
          <cell r="FD42">
            <v>0.1</v>
          </cell>
          <cell r="FE42">
            <v>0.1</v>
          </cell>
          <cell r="FF42">
            <v>0.1</v>
          </cell>
          <cell r="FG42">
            <v>0.1</v>
          </cell>
        </row>
        <row r="43">
          <cell r="C43" t="str">
            <v>JEEP COMPASS SPORT 1.3T AT6 FWD</v>
          </cell>
          <cell r="D43" t="str">
            <v>COMPASS SPORT 1.3T AT</v>
          </cell>
          <cell r="G43">
            <v>0.05</v>
          </cell>
          <cell r="H43">
            <v>0.05</v>
          </cell>
          <cell r="I43">
            <v>0.05</v>
          </cell>
          <cell r="J43">
            <v>0.05</v>
          </cell>
          <cell r="K43">
            <v>0.05</v>
          </cell>
          <cell r="L43">
            <v>0.05</v>
          </cell>
          <cell r="M43">
            <v>0.05</v>
          </cell>
          <cell r="N43">
            <v>0.05</v>
          </cell>
          <cell r="O43">
            <v>0.05</v>
          </cell>
          <cell r="P43">
            <v>0.05</v>
          </cell>
          <cell r="Q43">
            <v>0.05</v>
          </cell>
          <cell r="R43">
            <v>0.05</v>
          </cell>
          <cell r="U43">
            <v>0.5</v>
          </cell>
          <cell r="V43">
            <v>0</v>
          </cell>
          <cell r="W43">
            <v>0.5</v>
          </cell>
          <cell r="X43">
            <v>0.5</v>
          </cell>
          <cell r="Y43">
            <v>0</v>
          </cell>
          <cell r="Z43">
            <v>0.5</v>
          </cell>
          <cell r="AA43">
            <v>0.5</v>
          </cell>
          <cell r="AB43">
            <v>0</v>
          </cell>
          <cell r="AC43">
            <v>0.5</v>
          </cell>
          <cell r="AD43">
            <v>0.5</v>
          </cell>
          <cell r="AE43">
            <v>0</v>
          </cell>
          <cell r="AF43">
            <v>0.5</v>
          </cell>
          <cell r="AG43">
            <v>0.5</v>
          </cell>
          <cell r="AH43">
            <v>0</v>
          </cell>
          <cell r="AI43">
            <v>0.5</v>
          </cell>
          <cell r="AJ43">
            <v>0.5</v>
          </cell>
          <cell r="AK43">
            <v>0</v>
          </cell>
          <cell r="AL43">
            <v>0.5</v>
          </cell>
          <cell r="AM43">
            <v>0.5</v>
          </cell>
          <cell r="AN43">
            <v>0</v>
          </cell>
          <cell r="AO43">
            <v>0.5</v>
          </cell>
          <cell r="AP43">
            <v>0.5</v>
          </cell>
          <cell r="AQ43">
            <v>0</v>
          </cell>
          <cell r="AR43">
            <v>0.5</v>
          </cell>
          <cell r="AS43">
            <v>0.5</v>
          </cell>
          <cell r="AT43">
            <v>0</v>
          </cell>
          <cell r="AU43">
            <v>0.5</v>
          </cell>
          <cell r="AV43">
            <v>0.5</v>
          </cell>
          <cell r="AW43">
            <v>0</v>
          </cell>
          <cell r="AX43">
            <v>0.5</v>
          </cell>
          <cell r="AY43">
            <v>0.5</v>
          </cell>
          <cell r="AZ43">
            <v>0</v>
          </cell>
          <cell r="BA43">
            <v>0.5</v>
          </cell>
          <cell r="BB43">
            <v>0.5</v>
          </cell>
          <cell r="BC43">
            <v>0</v>
          </cell>
          <cell r="BD43">
            <v>0.5</v>
          </cell>
          <cell r="BG43">
            <v>0.08</v>
          </cell>
          <cell r="BH43">
            <v>0.1</v>
          </cell>
          <cell r="BI43">
            <v>0.12</v>
          </cell>
          <cell r="BJ43">
            <v>0.08</v>
          </cell>
          <cell r="BK43">
            <v>0.1</v>
          </cell>
          <cell r="BL43">
            <v>0.12</v>
          </cell>
          <cell r="BM43">
            <v>0.08</v>
          </cell>
          <cell r="BN43">
            <v>0.1</v>
          </cell>
          <cell r="BO43">
            <v>0.12</v>
          </cell>
          <cell r="BP43">
            <v>0.08</v>
          </cell>
          <cell r="BQ43">
            <v>0.1</v>
          </cell>
          <cell r="BR43">
            <v>0.12</v>
          </cell>
          <cell r="BS43">
            <v>0.08</v>
          </cell>
          <cell r="BT43">
            <v>0.1</v>
          </cell>
          <cell r="BU43">
            <v>0.12</v>
          </cell>
          <cell r="BV43">
            <v>0.08</v>
          </cell>
          <cell r="BW43">
            <v>0.1</v>
          </cell>
          <cell r="BX43">
            <v>0.12</v>
          </cell>
          <cell r="BY43">
            <v>0.08</v>
          </cell>
          <cell r="BZ43">
            <v>0.1</v>
          </cell>
          <cell r="CA43">
            <v>0.12</v>
          </cell>
          <cell r="CB43">
            <v>0.08</v>
          </cell>
          <cell r="CC43">
            <v>0.1</v>
          </cell>
          <cell r="CD43">
            <v>0.12</v>
          </cell>
          <cell r="CE43">
            <v>0.08</v>
          </cell>
          <cell r="CF43">
            <v>0.1</v>
          </cell>
          <cell r="CG43">
            <v>0.12</v>
          </cell>
          <cell r="CH43">
            <v>0.08</v>
          </cell>
          <cell r="CI43">
            <v>0.1</v>
          </cell>
          <cell r="CJ43">
            <v>0.12</v>
          </cell>
          <cell r="CK43">
            <v>0.08</v>
          </cell>
          <cell r="CL43">
            <v>0.1</v>
          </cell>
          <cell r="CM43">
            <v>0.12</v>
          </cell>
          <cell r="CN43">
            <v>0.08</v>
          </cell>
          <cell r="CO43">
            <v>0.1</v>
          </cell>
          <cell r="CP43">
            <v>0.12</v>
          </cell>
          <cell r="CQ43">
            <v>0.08</v>
          </cell>
          <cell r="CR43">
            <v>0.1</v>
          </cell>
          <cell r="CS43">
            <v>0.12</v>
          </cell>
          <cell r="CV43">
            <v>5.5E-2</v>
          </cell>
          <cell r="CW43">
            <v>4.4999999999999998E-2</v>
          </cell>
          <cell r="CX43">
            <v>0.03</v>
          </cell>
          <cell r="CY43">
            <v>5.5E-2</v>
          </cell>
          <cell r="CZ43">
            <v>4.4999999999999998E-2</v>
          </cell>
          <cell r="DA43">
            <v>0.03</v>
          </cell>
          <cell r="DB43">
            <v>5.5E-2</v>
          </cell>
          <cell r="DC43">
            <v>4.4999999999999998E-2</v>
          </cell>
          <cell r="DD43">
            <v>0.03</v>
          </cell>
          <cell r="DE43">
            <v>5.5E-2</v>
          </cell>
          <cell r="DF43">
            <v>4.4999999999999998E-2</v>
          </cell>
          <cell r="DG43">
            <v>0.03</v>
          </cell>
          <cell r="DH43">
            <v>5.5E-2</v>
          </cell>
          <cell r="DI43">
            <v>4.4999999999999998E-2</v>
          </cell>
          <cell r="DJ43">
            <v>0.03</v>
          </cell>
          <cell r="DK43">
            <v>5.5E-2</v>
          </cell>
          <cell r="DL43">
            <v>4.4999999999999998E-2</v>
          </cell>
          <cell r="DM43">
            <v>0.03</v>
          </cell>
          <cell r="DN43">
            <v>5.5E-2</v>
          </cell>
          <cell r="DO43">
            <v>4.4999999999999998E-2</v>
          </cell>
          <cell r="DP43">
            <v>0.03</v>
          </cell>
          <cell r="DQ43">
            <v>5.5E-2</v>
          </cell>
          <cell r="DR43">
            <v>4.4999999999999998E-2</v>
          </cell>
          <cell r="DS43">
            <v>0.03</v>
          </cell>
          <cell r="DT43">
            <v>5.5E-2</v>
          </cell>
          <cell r="DU43">
            <v>4.4999999999999998E-2</v>
          </cell>
          <cell r="DV43">
            <v>0.03</v>
          </cell>
          <cell r="DW43">
            <v>5.5E-2</v>
          </cell>
          <cell r="DX43">
            <v>4.4999999999999998E-2</v>
          </cell>
          <cell r="DY43">
            <v>0.03</v>
          </cell>
          <cell r="DZ43">
            <v>5.5E-2</v>
          </cell>
          <cell r="EA43">
            <v>4.4999999999999998E-2</v>
          </cell>
          <cell r="EB43">
            <v>0.03</v>
          </cell>
          <cell r="EC43">
            <v>5.5E-2</v>
          </cell>
          <cell r="ED43">
            <v>4.4999999999999998E-2</v>
          </cell>
          <cell r="EE43">
            <v>0.03</v>
          </cell>
          <cell r="EG43">
            <v>5.2500000000000005E-2</v>
          </cell>
          <cell r="EH43">
            <v>5.2500000000000005E-2</v>
          </cell>
          <cell r="EI43">
            <v>5.2500000000000005E-2</v>
          </cell>
          <cell r="EJ43">
            <v>5.2500000000000005E-2</v>
          </cell>
          <cell r="EK43">
            <v>5.2500000000000005E-2</v>
          </cell>
          <cell r="EL43">
            <v>5.2500000000000005E-2</v>
          </cell>
          <cell r="EM43">
            <v>5.2500000000000005E-2</v>
          </cell>
          <cell r="EN43">
            <v>5.2500000000000005E-2</v>
          </cell>
          <cell r="EO43">
            <v>5.2500000000000005E-2</v>
          </cell>
          <cell r="EP43">
            <v>5.2500000000000005E-2</v>
          </cell>
          <cell r="EQ43">
            <v>5.2500000000000005E-2</v>
          </cell>
          <cell r="ER43">
            <v>5.2500000000000005E-2</v>
          </cell>
          <cell r="ES43">
            <v>5.2500000000000005E-2</v>
          </cell>
          <cell r="EU43">
            <v>0.1</v>
          </cell>
          <cell r="EV43">
            <v>0.1</v>
          </cell>
          <cell r="EW43">
            <v>0.1</v>
          </cell>
          <cell r="EX43">
            <v>0.1</v>
          </cell>
          <cell r="EY43">
            <v>0.1</v>
          </cell>
          <cell r="EZ43">
            <v>0.1</v>
          </cell>
          <cell r="FA43">
            <v>0.1</v>
          </cell>
          <cell r="FB43">
            <v>0.1</v>
          </cell>
          <cell r="FC43">
            <v>0.1</v>
          </cell>
          <cell r="FD43">
            <v>0.1</v>
          </cell>
          <cell r="FE43">
            <v>0.1</v>
          </cell>
          <cell r="FF43">
            <v>0.1</v>
          </cell>
          <cell r="FG43">
            <v>0.1</v>
          </cell>
        </row>
        <row r="44">
          <cell r="C44" t="str">
            <v>JEEP COMPASS SPORT 1.3T AT6 FWD EU6B</v>
          </cell>
          <cell r="D44" t="str">
            <v>JEEP COMPASS SPORT 1.3T AT6 FWD EU6B</v>
          </cell>
          <cell r="G44">
            <v>0.05</v>
          </cell>
          <cell r="H44">
            <v>0.05</v>
          </cell>
          <cell r="I44">
            <v>0.05</v>
          </cell>
          <cell r="J44">
            <v>0.05</v>
          </cell>
          <cell r="K44">
            <v>0.05</v>
          </cell>
          <cell r="L44">
            <v>0.05</v>
          </cell>
          <cell r="M44">
            <v>0.05</v>
          </cell>
          <cell r="N44">
            <v>0.05</v>
          </cell>
          <cell r="O44">
            <v>0.05</v>
          </cell>
          <cell r="P44">
            <v>0.05</v>
          </cell>
          <cell r="Q44">
            <v>0.05</v>
          </cell>
          <cell r="R44">
            <v>0.05</v>
          </cell>
          <cell r="U44">
            <v>0.5</v>
          </cell>
          <cell r="V44">
            <v>0</v>
          </cell>
          <cell r="W44">
            <v>0.5</v>
          </cell>
          <cell r="X44">
            <v>0.5</v>
          </cell>
          <cell r="Y44">
            <v>0</v>
          </cell>
          <cell r="Z44">
            <v>0.5</v>
          </cell>
          <cell r="AA44">
            <v>0.5</v>
          </cell>
          <cell r="AB44">
            <v>0</v>
          </cell>
          <cell r="AC44">
            <v>0.5</v>
          </cell>
          <cell r="AD44">
            <v>0.5</v>
          </cell>
          <cell r="AE44">
            <v>0</v>
          </cell>
          <cell r="AF44">
            <v>0.5</v>
          </cell>
          <cell r="AG44">
            <v>0.5</v>
          </cell>
          <cell r="AH44">
            <v>0</v>
          </cell>
          <cell r="AI44">
            <v>0.5</v>
          </cell>
          <cell r="AJ44">
            <v>0.5</v>
          </cell>
          <cell r="AK44">
            <v>0</v>
          </cell>
          <cell r="AL44">
            <v>0.5</v>
          </cell>
          <cell r="AM44">
            <v>0.5</v>
          </cell>
          <cell r="AN44">
            <v>0</v>
          </cell>
          <cell r="AO44">
            <v>0.5</v>
          </cell>
          <cell r="AP44">
            <v>0.5</v>
          </cell>
          <cell r="AQ44">
            <v>0</v>
          </cell>
          <cell r="AR44">
            <v>0.5</v>
          </cell>
          <cell r="AS44">
            <v>0.5</v>
          </cell>
          <cell r="AT44">
            <v>0</v>
          </cell>
          <cell r="AU44">
            <v>0.5</v>
          </cell>
          <cell r="AV44">
            <v>0.5</v>
          </cell>
          <cell r="AW44">
            <v>0</v>
          </cell>
          <cell r="AX44">
            <v>0.5</v>
          </cell>
          <cell r="AY44">
            <v>0.5</v>
          </cell>
          <cell r="AZ44">
            <v>0</v>
          </cell>
          <cell r="BA44">
            <v>0.5</v>
          </cell>
          <cell r="BB44">
            <v>0.5</v>
          </cell>
          <cell r="BC44">
            <v>0</v>
          </cell>
          <cell r="BD44">
            <v>0.5</v>
          </cell>
          <cell r="BG44">
            <v>0.08</v>
          </cell>
          <cell r="BH44">
            <v>0.1</v>
          </cell>
          <cell r="BI44">
            <v>0.12</v>
          </cell>
          <cell r="BJ44">
            <v>0.08</v>
          </cell>
          <cell r="BK44">
            <v>0.1</v>
          </cell>
          <cell r="BL44">
            <v>0.12</v>
          </cell>
          <cell r="BM44">
            <v>0.08</v>
          </cell>
          <cell r="BN44">
            <v>0.1</v>
          </cell>
          <cell r="BO44">
            <v>0.12</v>
          </cell>
          <cell r="BP44">
            <v>0.08</v>
          </cell>
          <cell r="BQ44">
            <v>0.1</v>
          </cell>
          <cell r="BR44">
            <v>0.12</v>
          </cell>
          <cell r="BS44">
            <v>0.08</v>
          </cell>
          <cell r="BT44">
            <v>0.1</v>
          </cell>
          <cell r="BU44">
            <v>0.12</v>
          </cell>
          <cell r="BV44">
            <v>0.08</v>
          </cell>
          <cell r="BW44">
            <v>0.1</v>
          </cell>
          <cell r="BX44">
            <v>0.12</v>
          </cell>
          <cell r="BY44">
            <v>0.08</v>
          </cell>
          <cell r="BZ44">
            <v>0.1</v>
          </cell>
          <cell r="CA44">
            <v>0.12</v>
          </cell>
          <cell r="CB44">
            <v>0.08</v>
          </cell>
          <cell r="CC44">
            <v>0.1</v>
          </cell>
          <cell r="CD44">
            <v>0.12</v>
          </cell>
          <cell r="CE44">
            <v>0.08</v>
          </cell>
          <cell r="CF44">
            <v>0.1</v>
          </cell>
          <cell r="CG44">
            <v>0.12</v>
          </cell>
          <cell r="CH44">
            <v>0.08</v>
          </cell>
          <cell r="CI44">
            <v>0.1</v>
          </cell>
          <cell r="CJ44">
            <v>0.12</v>
          </cell>
          <cell r="CK44">
            <v>0.08</v>
          </cell>
          <cell r="CL44">
            <v>0.1</v>
          </cell>
          <cell r="CM44">
            <v>0.12</v>
          </cell>
          <cell r="CN44">
            <v>0.08</v>
          </cell>
          <cell r="CO44">
            <v>0.1</v>
          </cell>
          <cell r="CP44">
            <v>0.12</v>
          </cell>
          <cell r="CQ44">
            <v>0.08</v>
          </cell>
          <cell r="CR44">
            <v>0.1</v>
          </cell>
          <cell r="CS44">
            <v>0.12</v>
          </cell>
          <cell r="CV44">
            <v>5.5E-2</v>
          </cell>
          <cell r="CW44">
            <v>4.4999999999999998E-2</v>
          </cell>
          <cell r="CX44">
            <v>0.03</v>
          </cell>
          <cell r="CY44">
            <v>5.5E-2</v>
          </cell>
          <cell r="CZ44">
            <v>4.4999999999999998E-2</v>
          </cell>
          <cell r="DA44">
            <v>0.03</v>
          </cell>
          <cell r="DB44">
            <v>5.5E-2</v>
          </cell>
          <cell r="DC44">
            <v>4.4999999999999998E-2</v>
          </cell>
          <cell r="DD44">
            <v>0.03</v>
          </cell>
          <cell r="DE44">
            <v>5.5E-2</v>
          </cell>
          <cell r="DF44">
            <v>4.4999999999999998E-2</v>
          </cell>
          <cell r="DG44">
            <v>0.03</v>
          </cell>
          <cell r="DH44">
            <v>5.5E-2</v>
          </cell>
          <cell r="DI44">
            <v>4.4999999999999998E-2</v>
          </cell>
          <cell r="DJ44">
            <v>0.03</v>
          </cell>
          <cell r="DK44">
            <v>5.5E-2</v>
          </cell>
          <cell r="DL44">
            <v>4.4999999999999998E-2</v>
          </cell>
          <cell r="DM44">
            <v>0.03</v>
          </cell>
          <cell r="DN44">
            <v>5.5E-2</v>
          </cell>
          <cell r="DO44">
            <v>4.4999999999999998E-2</v>
          </cell>
          <cell r="DP44">
            <v>0.03</v>
          </cell>
          <cell r="DQ44">
            <v>5.5E-2</v>
          </cell>
          <cell r="DR44">
            <v>4.4999999999999998E-2</v>
          </cell>
          <cell r="DS44">
            <v>0.03</v>
          </cell>
          <cell r="DT44">
            <v>5.5E-2</v>
          </cell>
          <cell r="DU44">
            <v>4.4999999999999998E-2</v>
          </cell>
          <cell r="DV44">
            <v>0.03</v>
          </cell>
          <cell r="DW44">
            <v>5.5E-2</v>
          </cell>
          <cell r="DX44">
            <v>4.4999999999999998E-2</v>
          </cell>
          <cell r="DY44">
            <v>0.03</v>
          </cell>
          <cell r="DZ44">
            <v>5.5E-2</v>
          </cell>
          <cell r="EA44">
            <v>4.4999999999999998E-2</v>
          </cell>
          <cell r="EB44">
            <v>0.03</v>
          </cell>
          <cell r="EC44">
            <v>5.5E-2</v>
          </cell>
          <cell r="ED44">
            <v>4.4999999999999998E-2</v>
          </cell>
          <cell r="EE44">
            <v>0.03</v>
          </cell>
          <cell r="EG44">
            <v>5.2500000000000005E-2</v>
          </cell>
          <cell r="EH44">
            <v>5.2500000000000005E-2</v>
          </cell>
          <cell r="EI44">
            <v>5.2500000000000005E-2</v>
          </cell>
          <cell r="EJ44">
            <v>5.2500000000000005E-2</v>
          </cell>
          <cell r="EK44">
            <v>5.2500000000000005E-2</v>
          </cell>
          <cell r="EL44">
            <v>5.2500000000000005E-2</v>
          </cell>
          <cell r="EM44">
            <v>5.2500000000000005E-2</v>
          </cell>
          <cell r="EN44">
            <v>5.2500000000000005E-2</v>
          </cell>
          <cell r="EO44">
            <v>5.2500000000000005E-2</v>
          </cell>
          <cell r="EP44">
            <v>5.2500000000000005E-2</v>
          </cell>
          <cell r="EQ44">
            <v>5.2500000000000005E-2</v>
          </cell>
          <cell r="ER44">
            <v>5.2500000000000005E-2</v>
          </cell>
          <cell r="ES44">
            <v>5.2500000000000005E-2</v>
          </cell>
          <cell r="EU44">
            <v>0.1</v>
          </cell>
          <cell r="EV44">
            <v>0.1</v>
          </cell>
          <cell r="EW44">
            <v>0.1</v>
          </cell>
          <cell r="EX44">
            <v>0.1</v>
          </cell>
          <cell r="EY44">
            <v>0.1</v>
          </cell>
          <cell r="EZ44">
            <v>0.1</v>
          </cell>
          <cell r="FA44">
            <v>0.1</v>
          </cell>
          <cell r="FB44">
            <v>0.1</v>
          </cell>
          <cell r="FC44">
            <v>0.1</v>
          </cell>
          <cell r="FD44">
            <v>0.1</v>
          </cell>
          <cell r="FE44">
            <v>0.1</v>
          </cell>
          <cell r="FF44">
            <v>0.1</v>
          </cell>
          <cell r="FG44">
            <v>0.1</v>
          </cell>
        </row>
        <row r="45">
          <cell r="C45" t="str">
            <v>JEEP COMPASS LONGITUDE 1.3T AT6 FWD</v>
          </cell>
          <cell r="D45" t="str">
            <v>COMPASS LONGITUDE 1.3T AT</v>
          </cell>
          <cell r="G45">
            <v>0.05</v>
          </cell>
          <cell r="H45">
            <v>0.05</v>
          </cell>
          <cell r="I45">
            <v>0.05</v>
          </cell>
          <cell r="J45">
            <v>0.05</v>
          </cell>
          <cell r="K45">
            <v>0.05</v>
          </cell>
          <cell r="L45">
            <v>0.05</v>
          </cell>
          <cell r="M45">
            <v>0.05</v>
          </cell>
          <cell r="N45">
            <v>0.05</v>
          </cell>
          <cell r="O45">
            <v>0.05</v>
          </cell>
          <cell r="P45">
            <v>0.05</v>
          </cell>
          <cell r="Q45">
            <v>0.05</v>
          </cell>
          <cell r="R45">
            <v>0.05</v>
          </cell>
          <cell r="U45">
            <v>0.5</v>
          </cell>
          <cell r="V45">
            <v>0</v>
          </cell>
          <cell r="W45">
            <v>0.5</v>
          </cell>
          <cell r="X45">
            <v>0.5</v>
          </cell>
          <cell r="Y45">
            <v>0</v>
          </cell>
          <cell r="Z45">
            <v>0.5</v>
          </cell>
          <cell r="AA45">
            <v>0.5</v>
          </cell>
          <cell r="AB45">
            <v>0</v>
          </cell>
          <cell r="AC45">
            <v>0.5</v>
          </cell>
          <cell r="AD45">
            <v>0.5</v>
          </cell>
          <cell r="AE45">
            <v>0</v>
          </cell>
          <cell r="AF45">
            <v>0.5</v>
          </cell>
          <cell r="AG45">
            <v>0.5</v>
          </cell>
          <cell r="AH45">
            <v>0</v>
          </cell>
          <cell r="AI45">
            <v>0.5</v>
          </cell>
          <cell r="AJ45">
            <v>0.5</v>
          </cell>
          <cell r="AK45">
            <v>0</v>
          </cell>
          <cell r="AL45">
            <v>0.5</v>
          </cell>
          <cell r="AM45">
            <v>0.5</v>
          </cell>
          <cell r="AN45">
            <v>0</v>
          </cell>
          <cell r="AO45">
            <v>0.5</v>
          </cell>
          <cell r="AP45">
            <v>0.5</v>
          </cell>
          <cell r="AQ45">
            <v>0</v>
          </cell>
          <cell r="AR45">
            <v>0.5</v>
          </cell>
          <cell r="AS45">
            <v>0.5</v>
          </cell>
          <cell r="AT45">
            <v>0</v>
          </cell>
          <cell r="AU45">
            <v>0.5</v>
          </cell>
          <cell r="AV45">
            <v>0.5</v>
          </cell>
          <cell r="AW45">
            <v>0</v>
          </cell>
          <cell r="AX45">
            <v>0.5</v>
          </cell>
          <cell r="AY45">
            <v>0.5</v>
          </cell>
          <cell r="AZ45">
            <v>0</v>
          </cell>
          <cell r="BA45">
            <v>0.5</v>
          </cell>
          <cell r="BB45">
            <v>0.5</v>
          </cell>
          <cell r="BC45">
            <v>0</v>
          </cell>
          <cell r="BD45">
            <v>0.5</v>
          </cell>
          <cell r="BG45">
            <v>0.08</v>
          </cell>
          <cell r="BH45">
            <v>0.1</v>
          </cell>
          <cell r="BI45">
            <v>0.12</v>
          </cell>
          <cell r="BJ45">
            <v>0.08</v>
          </cell>
          <cell r="BK45">
            <v>0.1</v>
          </cell>
          <cell r="BL45">
            <v>0.12</v>
          </cell>
          <cell r="BM45">
            <v>0.08</v>
          </cell>
          <cell r="BN45">
            <v>0.1</v>
          </cell>
          <cell r="BO45">
            <v>0.12</v>
          </cell>
          <cell r="BP45">
            <v>0.08</v>
          </cell>
          <cell r="BQ45">
            <v>0.1</v>
          </cell>
          <cell r="BR45">
            <v>0.12</v>
          </cell>
          <cell r="BS45">
            <v>0.08</v>
          </cell>
          <cell r="BT45">
            <v>0.1</v>
          </cell>
          <cell r="BU45">
            <v>0.12</v>
          </cell>
          <cell r="BV45">
            <v>0.08</v>
          </cell>
          <cell r="BW45">
            <v>0.1</v>
          </cell>
          <cell r="BX45">
            <v>0.12</v>
          </cell>
          <cell r="BY45">
            <v>0.08</v>
          </cell>
          <cell r="BZ45">
            <v>0.1</v>
          </cell>
          <cell r="CA45">
            <v>0.12</v>
          </cell>
          <cell r="CB45">
            <v>0.08</v>
          </cell>
          <cell r="CC45">
            <v>0.1</v>
          </cell>
          <cell r="CD45">
            <v>0.12</v>
          </cell>
          <cell r="CE45">
            <v>0.08</v>
          </cell>
          <cell r="CF45">
            <v>0.1</v>
          </cell>
          <cell r="CG45">
            <v>0.12</v>
          </cell>
          <cell r="CH45">
            <v>0.08</v>
          </cell>
          <cell r="CI45">
            <v>0.1</v>
          </cell>
          <cell r="CJ45">
            <v>0.12</v>
          </cell>
          <cell r="CK45">
            <v>0.08</v>
          </cell>
          <cell r="CL45">
            <v>0.1</v>
          </cell>
          <cell r="CM45">
            <v>0.12</v>
          </cell>
          <cell r="CN45">
            <v>0.08</v>
          </cell>
          <cell r="CO45">
            <v>0.1</v>
          </cell>
          <cell r="CP45">
            <v>0.12</v>
          </cell>
          <cell r="CQ45">
            <v>0.08</v>
          </cell>
          <cell r="CR45">
            <v>0.1</v>
          </cell>
          <cell r="CS45">
            <v>0.12</v>
          </cell>
          <cell r="CV45">
            <v>5.5E-2</v>
          </cell>
          <cell r="CW45">
            <v>4.4999999999999998E-2</v>
          </cell>
          <cell r="CX45">
            <v>0.03</v>
          </cell>
          <cell r="CY45">
            <v>5.5E-2</v>
          </cell>
          <cell r="CZ45">
            <v>4.4999999999999998E-2</v>
          </cell>
          <cell r="DA45">
            <v>0.03</v>
          </cell>
          <cell r="DB45">
            <v>5.5E-2</v>
          </cell>
          <cell r="DC45">
            <v>4.4999999999999998E-2</v>
          </cell>
          <cell r="DD45">
            <v>0.03</v>
          </cell>
          <cell r="DE45">
            <v>5.5E-2</v>
          </cell>
          <cell r="DF45">
            <v>4.4999999999999998E-2</v>
          </cell>
          <cell r="DG45">
            <v>0.03</v>
          </cell>
          <cell r="DH45">
            <v>5.5E-2</v>
          </cell>
          <cell r="DI45">
            <v>4.4999999999999998E-2</v>
          </cell>
          <cell r="DJ45">
            <v>0.03</v>
          </cell>
          <cell r="DK45">
            <v>5.5E-2</v>
          </cell>
          <cell r="DL45">
            <v>4.4999999999999998E-2</v>
          </cell>
          <cell r="DM45">
            <v>0.03</v>
          </cell>
          <cell r="DN45">
            <v>5.5E-2</v>
          </cell>
          <cell r="DO45">
            <v>4.4999999999999998E-2</v>
          </cell>
          <cell r="DP45">
            <v>0.03</v>
          </cell>
          <cell r="DQ45">
            <v>5.5E-2</v>
          </cell>
          <cell r="DR45">
            <v>4.4999999999999998E-2</v>
          </cell>
          <cell r="DS45">
            <v>0.03</v>
          </cell>
          <cell r="DT45">
            <v>5.5E-2</v>
          </cell>
          <cell r="DU45">
            <v>4.4999999999999998E-2</v>
          </cell>
          <cell r="DV45">
            <v>0.03</v>
          </cell>
          <cell r="DW45">
            <v>5.5E-2</v>
          </cell>
          <cell r="DX45">
            <v>4.4999999999999998E-2</v>
          </cell>
          <cell r="DY45">
            <v>0.03</v>
          </cell>
          <cell r="DZ45">
            <v>5.5E-2</v>
          </cell>
          <cell r="EA45">
            <v>4.4999999999999998E-2</v>
          </cell>
          <cell r="EB45">
            <v>0.03</v>
          </cell>
          <cell r="EC45">
            <v>5.5E-2</v>
          </cell>
          <cell r="ED45">
            <v>4.4999999999999998E-2</v>
          </cell>
          <cell r="EE45">
            <v>0.03</v>
          </cell>
          <cell r="EG45">
            <v>5.2500000000000005E-2</v>
          </cell>
          <cell r="EH45">
            <v>5.2500000000000005E-2</v>
          </cell>
          <cell r="EI45">
            <v>5.2500000000000005E-2</v>
          </cell>
          <cell r="EJ45">
            <v>5.2500000000000005E-2</v>
          </cell>
          <cell r="EK45">
            <v>5.2500000000000005E-2</v>
          </cell>
          <cell r="EL45">
            <v>5.2500000000000005E-2</v>
          </cell>
          <cell r="EM45">
            <v>5.2500000000000005E-2</v>
          </cell>
          <cell r="EN45">
            <v>5.2500000000000005E-2</v>
          </cell>
          <cell r="EO45">
            <v>5.2500000000000005E-2</v>
          </cell>
          <cell r="EP45">
            <v>5.2500000000000005E-2</v>
          </cell>
          <cell r="EQ45">
            <v>5.2500000000000005E-2</v>
          </cell>
          <cell r="ER45">
            <v>5.2500000000000005E-2</v>
          </cell>
          <cell r="ES45">
            <v>5.2500000000000005E-2</v>
          </cell>
          <cell r="EU45">
            <v>0.1</v>
          </cell>
          <cell r="EV45">
            <v>0.1</v>
          </cell>
          <cell r="EW45">
            <v>0.1</v>
          </cell>
          <cell r="EX45">
            <v>0.1</v>
          </cell>
          <cell r="EY45">
            <v>0.1</v>
          </cell>
          <cell r="EZ45">
            <v>0.1</v>
          </cell>
          <cell r="FA45">
            <v>0.1</v>
          </cell>
          <cell r="FB45">
            <v>0.1</v>
          </cell>
          <cell r="FC45">
            <v>0.1</v>
          </cell>
          <cell r="FD45">
            <v>0.1</v>
          </cell>
          <cell r="FE45">
            <v>0.1</v>
          </cell>
          <cell r="FF45">
            <v>0.1</v>
          </cell>
          <cell r="FG45">
            <v>0.1</v>
          </cell>
        </row>
        <row r="46">
          <cell r="C46" t="str">
            <v>JEEP COMPASS LONGITUDE 1.3T AT6 FWD EU6B</v>
          </cell>
          <cell r="D46" t="str">
            <v>JEEP COMPASS LONGITUDE 1.3T AT6 FWD EU6B</v>
          </cell>
          <cell r="G46">
            <v>0.05</v>
          </cell>
          <cell r="H46">
            <v>0.05</v>
          </cell>
          <cell r="I46">
            <v>0.05</v>
          </cell>
          <cell r="J46">
            <v>0.05</v>
          </cell>
          <cell r="K46">
            <v>0.05</v>
          </cell>
          <cell r="L46">
            <v>0.05</v>
          </cell>
          <cell r="M46">
            <v>0.05</v>
          </cell>
          <cell r="N46">
            <v>0.05</v>
          </cell>
          <cell r="O46">
            <v>0.05</v>
          </cell>
          <cell r="P46">
            <v>0.05</v>
          </cell>
          <cell r="Q46">
            <v>0.05</v>
          </cell>
          <cell r="R46">
            <v>0.05</v>
          </cell>
          <cell r="U46">
            <v>0.5</v>
          </cell>
          <cell r="V46">
            <v>0</v>
          </cell>
          <cell r="W46">
            <v>0.5</v>
          </cell>
          <cell r="X46">
            <v>0.5</v>
          </cell>
          <cell r="Y46">
            <v>0</v>
          </cell>
          <cell r="Z46">
            <v>0.5</v>
          </cell>
          <cell r="AA46">
            <v>0.5</v>
          </cell>
          <cell r="AB46">
            <v>0</v>
          </cell>
          <cell r="AC46">
            <v>0.5</v>
          </cell>
          <cell r="AD46">
            <v>0.5</v>
          </cell>
          <cell r="AE46">
            <v>0</v>
          </cell>
          <cell r="AF46">
            <v>0.5</v>
          </cell>
          <cell r="AG46">
            <v>0.5</v>
          </cell>
          <cell r="AH46">
            <v>0</v>
          </cell>
          <cell r="AI46">
            <v>0.5</v>
          </cell>
          <cell r="AJ46">
            <v>0.5</v>
          </cell>
          <cell r="AK46">
            <v>0</v>
          </cell>
          <cell r="AL46">
            <v>0.5</v>
          </cell>
          <cell r="AM46">
            <v>0.5</v>
          </cell>
          <cell r="AN46">
            <v>0</v>
          </cell>
          <cell r="AO46">
            <v>0.5</v>
          </cell>
          <cell r="AP46">
            <v>0.5</v>
          </cell>
          <cell r="AQ46">
            <v>0</v>
          </cell>
          <cell r="AR46">
            <v>0.5</v>
          </cell>
          <cell r="AS46">
            <v>0.5</v>
          </cell>
          <cell r="AT46">
            <v>0</v>
          </cell>
          <cell r="AU46">
            <v>0.5</v>
          </cell>
          <cell r="AV46">
            <v>0.5</v>
          </cell>
          <cell r="AW46">
            <v>0</v>
          </cell>
          <cell r="AX46">
            <v>0.5</v>
          </cell>
          <cell r="AY46">
            <v>0.5</v>
          </cell>
          <cell r="AZ46">
            <v>0</v>
          </cell>
          <cell r="BA46">
            <v>0.5</v>
          </cell>
          <cell r="BB46">
            <v>0.5</v>
          </cell>
          <cell r="BC46">
            <v>0</v>
          </cell>
          <cell r="BD46">
            <v>0.5</v>
          </cell>
          <cell r="BG46">
            <v>0.08</v>
          </cell>
          <cell r="BH46">
            <v>0.1</v>
          </cell>
          <cell r="BI46">
            <v>0.12</v>
          </cell>
          <cell r="BJ46">
            <v>0.08</v>
          </cell>
          <cell r="BK46">
            <v>0.1</v>
          </cell>
          <cell r="BL46">
            <v>0.12</v>
          </cell>
          <cell r="BM46">
            <v>0.08</v>
          </cell>
          <cell r="BN46">
            <v>0.1</v>
          </cell>
          <cell r="BO46">
            <v>0.12</v>
          </cell>
          <cell r="BP46">
            <v>0.08</v>
          </cell>
          <cell r="BQ46">
            <v>0.1</v>
          </cell>
          <cell r="BR46">
            <v>0.12</v>
          </cell>
          <cell r="BS46">
            <v>0.08</v>
          </cell>
          <cell r="BT46">
            <v>0.1</v>
          </cell>
          <cell r="BU46">
            <v>0.12</v>
          </cell>
          <cell r="BV46">
            <v>0.08</v>
          </cell>
          <cell r="BW46">
            <v>0.1</v>
          </cell>
          <cell r="BX46">
            <v>0.12</v>
          </cell>
          <cell r="BY46">
            <v>0.08</v>
          </cell>
          <cell r="BZ46">
            <v>0.1</v>
          </cell>
          <cell r="CA46">
            <v>0.12</v>
          </cell>
          <cell r="CB46">
            <v>0.08</v>
          </cell>
          <cell r="CC46">
            <v>0.1</v>
          </cell>
          <cell r="CD46">
            <v>0.12</v>
          </cell>
          <cell r="CE46">
            <v>0.08</v>
          </cell>
          <cell r="CF46">
            <v>0.1</v>
          </cell>
          <cell r="CG46">
            <v>0.12</v>
          </cell>
          <cell r="CH46">
            <v>0.08</v>
          </cell>
          <cell r="CI46">
            <v>0.1</v>
          </cell>
          <cell r="CJ46">
            <v>0.12</v>
          </cell>
          <cell r="CK46">
            <v>0.08</v>
          </cell>
          <cell r="CL46">
            <v>0.1</v>
          </cell>
          <cell r="CM46">
            <v>0.12</v>
          </cell>
          <cell r="CN46">
            <v>0.08</v>
          </cell>
          <cell r="CO46">
            <v>0.1</v>
          </cell>
          <cell r="CP46">
            <v>0.12</v>
          </cell>
          <cell r="CQ46">
            <v>0.08</v>
          </cell>
          <cell r="CR46">
            <v>0.1</v>
          </cell>
          <cell r="CS46">
            <v>0.12</v>
          </cell>
          <cell r="CV46">
            <v>5.5E-2</v>
          </cell>
          <cell r="CW46">
            <v>4.4999999999999998E-2</v>
          </cell>
          <cell r="CX46">
            <v>0.03</v>
          </cell>
          <cell r="CY46">
            <v>5.5E-2</v>
          </cell>
          <cell r="CZ46">
            <v>4.4999999999999998E-2</v>
          </cell>
          <cell r="DA46">
            <v>0.03</v>
          </cell>
          <cell r="DB46">
            <v>5.5E-2</v>
          </cell>
          <cell r="DC46">
            <v>4.4999999999999998E-2</v>
          </cell>
          <cell r="DD46">
            <v>0.03</v>
          </cell>
          <cell r="DE46">
            <v>5.5E-2</v>
          </cell>
          <cell r="DF46">
            <v>4.4999999999999998E-2</v>
          </cell>
          <cell r="DG46">
            <v>0.03</v>
          </cell>
          <cell r="DH46">
            <v>5.5E-2</v>
          </cell>
          <cell r="DI46">
            <v>4.4999999999999998E-2</v>
          </cell>
          <cell r="DJ46">
            <v>0.03</v>
          </cell>
          <cell r="DK46">
            <v>5.5E-2</v>
          </cell>
          <cell r="DL46">
            <v>4.4999999999999998E-2</v>
          </cell>
          <cell r="DM46">
            <v>0.03</v>
          </cell>
          <cell r="DN46">
            <v>5.5E-2</v>
          </cell>
          <cell r="DO46">
            <v>4.4999999999999998E-2</v>
          </cell>
          <cell r="DP46">
            <v>0.03</v>
          </cell>
          <cell r="DQ46">
            <v>5.5E-2</v>
          </cell>
          <cell r="DR46">
            <v>4.4999999999999998E-2</v>
          </cell>
          <cell r="DS46">
            <v>0.03</v>
          </cell>
          <cell r="DT46">
            <v>5.5E-2</v>
          </cell>
          <cell r="DU46">
            <v>4.4999999999999998E-2</v>
          </cell>
          <cell r="DV46">
            <v>0.03</v>
          </cell>
          <cell r="DW46">
            <v>5.5E-2</v>
          </cell>
          <cell r="DX46">
            <v>4.4999999999999998E-2</v>
          </cell>
          <cell r="DY46">
            <v>0.03</v>
          </cell>
          <cell r="DZ46">
            <v>5.5E-2</v>
          </cell>
          <cell r="EA46">
            <v>4.4999999999999998E-2</v>
          </cell>
          <cell r="EB46">
            <v>0.03</v>
          </cell>
          <cell r="EC46">
            <v>5.5E-2</v>
          </cell>
          <cell r="ED46">
            <v>4.4999999999999998E-2</v>
          </cell>
          <cell r="EE46">
            <v>0.03</v>
          </cell>
          <cell r="EG46">
            <v>5.2500000000000005E-2</v>
          </cell>
          <cell r="EH46">
            <v>5.2500000000000005E-2</v>
          </cell>
          <cell r="EI46">
            <v>5.2500000000000005E-2</v>
          </cell>
          <cell r="EJ46">
            <v>5.2500000000000005E-2</v>
          </cell>
          <cell r="EK46">
            <v>5.2500000000000005E-2</v>
          </cell>
          <cell r="EL46">
            <v>5.2500000000000005E-2</v>
          </cell>
          <cell r="EM46">
            <v>5.2500000000000005E-2</v>
          </cell>
          <cell r="EN46">
            <v>5.2500000000000005E-2</v>
          </cell>
          <cell r="EO46">
            <v>5.2500000000000005E-2</v>
          </cell>
          <cell r="EP46">
            <v>5.2500000000000005E-2</v>
          </cell>
          <cell r="EQ46">
            <v>5.2500000000000005E-2</v>
          </cell>
          <cell r="ER46">
            <v>5.2500000000000005E-2</v>
          </cell>
          <cell r="ES46">
            <v>5.2500000000000005E-2</v>
          </cell>
          <cell r="EU46">
            <v>0.1</v>
          </cell>
          <cell r="EV46">
            <v>0.1</v>
          </cell>
          <cell r="EW46">
            <v>0.1</v>
          </cell>
          <cell r="EX46">
            <v>0.1</v>
          </cell>
          <cell r="EY46">
            <v>0.1</v>
          </cell>
          <cell r="EZ46">
            <v>0.1</v>
          </cell>
          <cell r="FA46">
            <v>0.1</v>
          </cell>
          <cell r="FB46">
            <v>0.1</v>
          </cell>
          <cell r="FC46">
            <v>0.1</v>
          </cell>
          <cell r="FD46">
            <v>0.1</v>
          </cell>
          <cell r="FE46">
            <v>0.1</v>
          </cell>
          <cell r="FF46">
            <v>0.1</v>
          </cell>
          <cell r="FG46">
            <v>0.1</v>
          </cell>
        </row>
        <row r="47">
          <cell r="C47" t="str">
            <v>JEEP COMPASS LIMITED 1.3T AT6 FWD</v>
          </cell>
          <cell r="D47" t="str">
            <v>COMPASS LIMITED 1.3T AT</v>
          </cell>
          <cell r="G47">
            <v>0.05</v>
          </cell>
          <cell r="H47">
            <v>0.05</v>
          </cell>
          <cell r="I47">
            <v>0.05</v>
          </cell>
          <cell r="J47">
            <v>0.05</v>
          </cell>
          <cell r="K47">
            <v>0.05</v>
          </cell>
          <cell r="L47">
            <v>0.05</v>
          </cell>
          <cell r="M47">
            <v>0.05</v>
          </cell>
          <cell r="N47">
            <v>0.05</v>
          </cell>
          <cell r="O47">
            <v>0.05</v>
          </cell>
          <cell r="P47">
            <v>0.05</v>
          </cell>
          <cell r="Q47">
            <v>0.05</v>
          </cell>
          <cell r="R47">
            <v>0.05</v>
          </cell>
          <cell r="U47">
            <v>0.5</v>
          </cell>
          <cell r="V47">
            <v>0</v>
          </cell>
          <cell r="W47">
            <v>0.5</v>
          </cell>
          <cell r="X47">
            <v>0.5</v>
          </cell>
          <cell r="Y47">
            <v>0</v>
          </cell>
          <cell r="Z47">
            <v>0.5</v>
          </cell>
          <cell r="AA47">
            <v>0.5</v>
          </cell>
          <cell r="AB47">
            <v>0</v>
          </cell>
          <cell r="AC47">
            <v>0.5</v>
          </cell>
          <cell r="AD47">
            <v>0.5</v>
          </cell>
          <cell r="AE47">
            <v>0</v>
          </cell>
          <cell r="AF47">
            <v>0.5</v>
          </cell>
          <cell r="AG47">
            <v>0.5</v>
          </cell>
          <cell r="AH47">
            <v>0</v>
          </cell>
          <cell r="AI47">
            <v>0.5</v>
          </cell>
          <cell r="AJ47">
            <v>0.5</v>
          </cell>
          <cell r="AK47">
            <v>0</v>
          </cell>
          <cell r="AL47">
            <v>0.5</v>
          </cell>
          <cell r="AM47">
            <v>0.5</v>
          </cell>
          <cell r="AN47">
            <v>0</v>
          </cell>
          <cell r="AO47">
            <v>0.5</v>
          </cell>
          <cell r="AP47">
            <v>0.5</v>
          </cell>
          <cell r="AQ47">
            <v>0</v>
          </cell>
          <cell r="AR47">
            <v>0.5</v>
          </cell>
          <cell r="AS47">
            <v>0.5</v>
          </cell>
          <cell r="AT47">
            <v>0</v>
          </cell>
          <cell r="AU47">
            <v>0.5</v>
          </cell>
          <cell r="AV47">
            <v>0.5</v>
          </cell>
          <cell r="AW47">
            <v>0</v>
          </cell>
          <cell r="AX47">
            <v>0.5</v>
          </cell>
          <cell r="AY47">
            <v>0.5</v>
          </cell>
          <cell r="AZ47">
            <v>0</v>
          </cell>
          <cell r="BA47">
            <v>0.5</v>
          </cell>
          <cell r="BB47">
            <v>0.5</v>
          </cell>
          <cell r="BC47">
            <v>0</v>
          </cell>
          <cell r="BD47">
            <v>0.5</v>
          </cell>
          <cell r="BG47">
            <v>0.08</v>
          </cell>
          <cell r="BH47">
            <v>0.1</v>
          </cell>
          <cell r="BI47">
            <v>0.12</v>
          </cell>
          <cell r="BJ47">
            <v>0.08</v>
          </cell>
          <cell r="BK47">
            <v>0.1</v>
          </cell>
          <cell r="BL47">
            <v>0.12</v>
          </cell>
          <cell r="BM47">
            <v>0.08</v>
          </cell>
          <cell r="BN47">
            <v>0.1</v>
          </cell>
          <cell r="BO47">
            <v>0.12</v>
          </cell>
          <cell r="BP47">
            <v>0.08</v>
          </cell>
          <cell r="BQ47">
            <v>0.1</v>
          </cell>
          <cell r="BR47">
            <v>0.12</v>
          </cell>
          <cell r="BS47">
            <v>0.08</v>
          </cell>
          <cell r="BT47">
            <v>0.1</v>
          </cell>
          <cell r="BU47">
            <v>0.12</v>
          </cell>
          <cell r="BV47">
            <v>0.08</v>
          </cell>
          <cell r="BW47">
            <v>0.1</v>
          </cell>
          <cell r="BX47">
            <v>0.12</v>
          </cell>
          <cell r="BY47">
            <v>0.08</v>
          </cell>
          <cell r="BZ47">
            <v>0.1</v>
          </cell>
          <cell r="CA47">
            <v>0.12</v>
          </cell>
          <cell r="CB47">
            <v>0.08</v>
          </cell>
          <cell r="CC47">
            <v>0.1</v>
          </cell>
          <cell r="CD47">
            <v>0.12</v>
          </cell>
          <cell r="CE47">
            <v>0.08</v>
          </cell>
          <cell r="CF47">
            <v>0.1</v>
          </cell>
          <cell r="CG47">
            <v>0.12</v>
          </cell>
          <cell r="CH47">
            <v>0.08</v>
          </cell>
          <cell r="CI47">
            <v>0.1</v>
          </cell>
          <cell r="CJ47">
            <v>0.12</v>
          </cell>
          <cell r="CK47">
            <v>0.08</v>
          </cell>
          <cell r="CL47">
            <v>0.1</v>
          </cell>
          <cell r="CM47">
            <v>0.12</v>
          </cell>
          <cell r="CN47">
            <v>0.08</v>
          </cell>
          <cell r="CO47">
            <v>0.1</v>
          </cell>
          <cell r="CP47">
            <v>0.12</v>
          </cell>
          <cell r="CQ47">
            <v>0.08</v>
          </cell>
          <cell r="CR47">
            <v>0.1</v>
          </cell>
          <cell r="CS47">
            <v>0.12</v>
          </cell>
          <cell r="CV47">
            <v>5.5E-2</v>
          </cell>
          <cell r="CW47">
            <v>4.4999999999999998E-2</v>
          </cell>
          <cell r="CX47">
            <v>0.03</v>
          </cell>
          <cell r="CY47">
            <v>5.5E-2</v>
          </cell>
          <cell r="CZ47">
            <v>4.4999999999999998E-2</v>
          </cell>
          <cell r="DA47">
            <v>0.03</v>
          </cell>
          <cell r="DB47">
            <v>5.5E-2</v>
          </cell>
          <cell r="DC47">
            <v>4.4999999999999998E-2</v>
          </cell>
          <cell r="DD47">
            <v>0.03</v>
          </cell>
          <cell r="DE47">
            <v>5.5E-2</v>
          </cell>
          <cell r="DF47">
            <v>4.4999999999999998E-2</v>
          </cell>
          <cell r="DG47">
            <v>0.03</v>
          </cell>
          <cell r="DH47">
            <v>5.5E-2</v>
          </cell>
          <cell r="DI47">
            <v>4.4999999999999998E-2</v>
          </cell>
          <cell r="DJ47">
            <v>0.03</v>
          </cell>
          <cell r="DK47">
            <v>5.5E-2</v>
          </cell>
          <cell r="DL47">
            <v>4.4999999999999998E-2</v>
          </cell>
          <cell r="DM47">
            <v>0.03</v>
          </cell>
          <cell r="DN47">
            <v>5.5E-2</v>
          </cell>
          <cell r="DO47">
            <v>4.4999999999999998E-2</v>
          </cell>
          <cell r="DP47">
            <v>0.03</v>
          </cell>
          <cell r="DQ47">
            <v>5.5E-2</v>
          </cell>
          <cell r="DR47">
            <v>4.4999999999999998E-2</v>
          </cell>
          <cell r="DS47">
            <v>0.03</v>
          </cell>
          <cell r="DT47">
            <v>5.5E-2</v>
          </cell>
          <cell r="DU47">
            <v>4.4999999999999998E-2</v>
          </cell>
          <cell r="DV47">
            <v>0.03</v>
          </cell>
          <cell r="DW47">
            <v>5.5E-2</v>
          </cell>
          <cell r="DX47">
            <v>4.4999999999999998E-2</v>
          </cell>
          <cell r="DY47">
            <v>0.03</v>
          </cell>
          <cell r="DZ47">
            <v>5.5E-2</v>
          </cell>
          <cell r="EA47">
            <v>4.4999999999999998E-2</v>
          </cell>
          <cell r="EB47">
            <v>0.03</v>
          </cell>
          <cell r="EC47">
            <v>5.5E-2</v>
          </cell>
          <cell r="ED47">
            <v>4.4999999999999998E-2</v>
          </cell>
          <cell r="EE47">
            <v>0.03</v>
          </cell>
          <cell r="EG47">
            <v>5.2500000000000005E-2</v>
          </cell>
          <cell r="EH47">
            <v>5.2500000000000005E-2</v>
          </cell>
          <cell r="EI47">
            <v>5.2500000000000005E-2</v>
          </cell>
          <cell r="EJ47">
            <v>5.2500000000000005E-2</v>
          </cell>
          <cell r="EK47">
            <v>5.2500000000000005E-2</v>
          </cell>
          <cell r="EL47">
            <v>5.2500000000000005E-2</v>
          </cell>
          <cell r="EM47">
            <v>5.2500000000000005E-2</v>
          </cell>
          <cell r="EN47">
            <v>5.2500000000000005E-2</v>
          </cell>
          <cell r="EO47">
            <v>5.2500000000000005E-2</v>
          </cell>
          <cell r="EP47">
            <v>5.2500000000000005E-2</v>
          </cell>
          <cell r="EQ47">
            <v>5.2500000000000005E-2</v>
          </cell>
          <cell r="ER47">
            <v>5.2500000000000005E-2</v>
          </cell>
          <cell r="ES47">
            <v>5.2500000000000005E-2</v>
          </cell>
          <cell r="EU47">
            <v>0.1</v>
          </cell>
          <cell r="EV47">
            <v>0.1</v>
          </cell>
          <cell r="EW47">
            <v>0.1</v>
          </cell>
          <cell r="EX47">
            <v>0.1</v>
          </cell>
          <cell r="EY47">
            <v>0.1</v>
          </cell>
          <cell r="EZ47">
            <v>0.1</v>
          </cell>
          <cell r="FA47">
            <v>0.1</v>
          </cell>
          <cell r="FB47">
            <v>0.1</v>
          </cell>
          <cell r="FC47">
            <v>0.1</v>
          </cell>
          <cell r="FD47">
            <v>0.1</v>
          </cell>
          <cell r="FE47">
            <v>0.1</v>
          </cell>
          <cell r="FF47">
            <v>0.1</v>
          </cell>
          <cell r="FG47">
            <v>0.1</v>
          </cell>
        </row>
        <row r="48">
          <cell r="C48" t="str">
            <v>JEEP COMPASS LIMITED 1.3T AT6 FWD EU6B</v>
          </cell>
          <cell r="D48" t="str">
            <v>JEEP COMPASS LIMITED 1.3T AT6 FWD EU6B</v>
          </cell>
          <cell r="G48">
            <v>0.05</v>
          </cell>
          <cell r="H48">
            <v>0.05</v>
          </cell>
          <cell r="I48">
            <v>0.05</v>
          </cell>
          <cell r="J48">
            <v>0.05</v>
          </cell>
          <cell r="K48">
            <v>0.05</v>
          </cell>
          <cell r="L48">
            <v>0.05</v>
          </cell>
          <cell r="M48">
            <v>0.05</v>
          </cell>
          <cell r="N48">
            <v>0.05</v>
          </cell>
          <cell r="O48">
            <v>0.05</v>
          </cell>
          <cell r="P48">
            <v>0.05</v>
          </cell>
          <cell r="Q48">
            <v>0.05</v>
          </cell>
          <cell r="R48">
            <v>0.05</v>
          </cell>
          <cell r="U48">
            <v>0.5</v>
          </cell>
          <cell r="V48">
            <v>0</v>
          </cell>
          <cell r="W48">
            <v>0.5</v>
          </cell>
          <cell r="X48">
            <v>0.5</v>
          </cell>
          <cell r="Y48">
            <v>0</v>
          </cell>
          <cell r="Z48">
            <v>0.5</v>
          </cell>
          <cell r="AA48">
            <v>0.5</v>
          </cell>
          <cell r="AB48">
            <v>0</v>
          </cell>
          <cell r="AC48">
            <v>0.5</v>
          </cell>
          <cell r="AD48">
            <v>0.5</v>
          </cell>
          <cell r="AE48">
            <v>0</v>
          </cell>
          <cell r="AF48">
            <v>0.5</v>
          </cell>
          <cell r="AG48">
            <v>0.5</v>
          </cell>
          <cell r="AH48">
            <v>0</v>
          </cell>
          <cell r="AI48">
            <v>0.5</v>
          </cell>
          <cell r="AJ48">
            <v>0.5</v>
          </cell>
          <cell r="AK48">
            <v>0</v>
          </cell>
          <cell r="AL48">
            <v>0.5</v>
          </cell>
          <cell r="AM48">
            <v>0.5</v>
          </cell>
          <cell r="AN48">
            <v>0</v>
          </cell>
          <cell r="AO48">
            <v>0.5</v>
          </cell>
          <cell r="AP48">
            <v>0.5</v>
          </cell>
          <cell r="AQ48">
            <v>0</v>
          </cell>
          <cell r="AR48">
            <v>0.5</v>
          </cell>
          <cell r="AS48">
            <v>0.5</v>
          </cell>
          <cell r="AT48">
            <v>0</v>
          </cell>
          <cell r="AU48">
            <v>0.5</v>
          </cell>
          <cell r="AV48">
            <v>0.5</v>
          </cell>
          <cell r="AW48">
            <v>0</v>
          </cell>
          <cell r="AX48">
            <v>0.5</v>
          </cell>
          <cell r="AY48">
            <v>0.5</v>
          </cell>
          <cell r="AZ48">
            <v>0</v>
          </cell>
          <cell r="BA48">
            <v>0.5</v>
          </cell>
          <cell r="BB48">
            <v>0.5</v>
          </cell>
          <cell r="BC48">
            <v>0</v>
          </cell>
          <cell r="BD48">
            <v>0.5</v>
          </cell>
          <cell r="BG48">
            <v>0.08</v>
          </cell>
          <cell r="BH48">
            <v>0.1</v>
          </cell>
          <cell r="BI48">
            <v>0.12</v>
          </cell>
          <cell r="BJ48">
            <v>0.08</v>
          </cell>
          <cell r="BK48">
            <v>0.1</v>
          </cell>
          <cell r="BL48">
            <v>0.12</v>
          </cell>
          <cell r="BM48">
            <v>0.08</v>
          </cell>
          <cell r="BN48">
            <v>0.1</v>
          </cell>
          <cell r="BO48">
            <v>0.12</v>
          </cell>
          <cell r="BP48">
            <v>0.08</v>
          </cell>
          <cell r="BQ48">
            <v>0.1</v>
          </cell>
          <cell r="BR48">
            <v>0.12</v>
          </cell>
          <cell r="BS48">
            <v>0.08</v>
          </cell>
          <cell r="BT48">
            <v>0.1</v>
          </cell>
          <cell r="BU48">
            <v>0.12</v>
          </cell>
          <cell r="BV48">
            <v>0.08</v>
          </cell>
          <cell r="BW48">
            <v>0.1</v>
          </cell>
          <cell r="BX48">
            <v>0.12</v>
          </cell>
          <cell r="BY48">
            <v>0.08</v>
          </cell>
          <cell r="BZ48">
            <v>0.1</v>
          </cell>
          <cell r="CA48">
            <v>0.12</v>
          </cell>
          <cell r="CB48">
            <v>0.08</v>
          </cell>
          <cell r="CC48">
            <v>0.1</v>
          </cell>
          <cell r="CD48">
            <v>0.12</v>
          </cell>
          <cell r="CE48">
            <v>0.08</v>
          </cell>
          <cell r="CF48">
            <v>0.1</v>
          </cell>
          <cell r="CG48">
            <v>0.12</v>
          </cell>
          <cell r="CH48">
            <v>0.08</v>
          </cell>
          <cell r="CI48">
            <v>0.1</v>
          </cell>
          <cell r="CJ48">
            <v>0.12</v>
          </cell>
          <cell r="CK48">
            <v>0.08</v>
          </cell>
          <cell r="CL48">
            <v>0.1</v>
          </cell>
          <cell r="CM48">
            <v>0.12</v>
          </cell>
          <cell r="CN48">
            <v>0.08</v>
          </cell>
          <cell r="CO48">
            <v>0.1</v>
          </cell>
          <cell r="CP48">
            <v>0.12</v>
          </cell>
          <cell r="CQ48">
            <v>0.08</v>
          </cell>
          <cell r="CR48">
            <v>0.1</v>
          </cell>
          <cell r="CS48">
            <v>0.12</v>
          </cell>
          <cell r="CV48">
            <v>5.5E-2</v>
          </cell>
          <cell r="CW48">
            <v>4.4999999999999998E-2</v>
          </cell>
          <cell r="CX48">
            <v>0.03</v>
          </cell>
          <cell r="CY48">
            <v>5.5E-2</v>
          </cell>
          <cell r="CZ48">
            <v>4.4999999999999998E-2</v>
          </cell>
          <cell r="DA48">
            <v>0.03</v>
          </cell>
          <cell r="DB48">
            <v>5.5E-2</v>
          </cell>
          <cell r="DC48">
            <v>4.4999999999999998E-2</v>
          </cell>
          <cell r="DD48">
            <v>0.03</v>
          </cell>
          <cell r="DE48">
            <v>5.5E-2</v>
          </cell>
          <cell r="DF48">
            <v>4.4999999999999998E-2</v>
          </cell>
          <cell r="DG48">
            <v>0.03</v>
          </cell>
          <cell r="DH48">
            <v>5.5E-2</v>
          </cell>
          <cell r="DI48">
            <v>4.4999999999999998E-2</v>
          </cell>
          <cell r="DJ48">
            <v>0.03</v>
          </cell>
          <cell r="DK48">
            <v>5.5E-2</v>
          </cell>
          <cell r="DL48">
            <v>4.4999999999999998E-2</v>
          </cell>
          <cell r="DM48">
            <v>0.03</v>
          </cell>
          <cell r="DN48">
            <v>5.5E-2</v>
          </cell>
          <cell r="DO48">
            <v>4.4999999999999998E-2</v>
          </cell>
          <cell r="DP48">
            <v>0.03</v>
          </cell>
          <cell r="DQ48">
            <v>5.5E-2</v>
          </cell>
          <cell r="DR48">
            <v>4.4999999999999998E-2</v>
          </cell>
          <cell r="DS48">
            <v>0.03</v>
          </cell>
          <cell r="DT48">
            <v>5.5E-2</v>
          </cell>
          <cell r="DU48">
            <v>4.4999999999999998E-2</v>
          </cell>
          <cell r="DV48">
            <v>0.03</v>
          </cell>
          <cell r="DW48">
            <v>5.5E-2</v>
          </cell>
          <cell r="DX48">
            <v>4.4999999999999998E-2</v>
          </cell>
          <cell r="DY48">
            <v>0.03</v>
          </cell>
          <cell r="DZ48">
            <v>5.5E-2</v>
          </cell>
          <cell r="EA48">
            <v>4.4999999999999998E-2</v>
          </cell>
          <cell r="EB48">
            <v>0.03</v>
          </cell>
          <cell r="EC48">
            <v>5.5E-2</v>
          </cell>
          <cell r="ED48">
            <v>4.4999999999999998E-2</v>
          </cell>
          <cell r="EE48">
            <v>0.03</v>
          </cell>
          <cell r="EG48">
            <v>5.2500000000000005E-2</v>
          </cell>
          <cell r="EH48">
            <v>5.2500000000000005E-2</v>
          </cell>
          <cell r="EI48">
            <v>5.2500000000000005E-2</v>
          </cell>
          <cell r="EJ48">
            <v>5.2500000000000005E-2</v>
          </cell>
          <cell r="EK48">
            <v>5.2500000000000005E-2</v>
          </cell>
          <cell r="EL48">
            <v>5.2500000000000005E-2</v>
          </cell>
          <cell r="EM48">
            <v>5.2500000000000005E-2</v>
          </cell>
          <cell r="EN48">
            <v>5.2500000000000005E-2</v>
          </cell>
          <cell r="EO48">
            <v>5.2500000000000005E-2</v>
          </cell>
          <cell r="EP48">
            <v>5.2500000000000005E-2</v>
          </cell>
          <cell r="EQ48">
            <v>5.2500000000000005E-2</v>
          </cell>
          <cell r="ER48">
            <v>5.2500000000000005E-2</v>
          </cell>
          <cell r="ES48">
            <v>5.2500000000000005E-2</v>
          </cell>
          <cell r="EU48">
            <v>0.1</v>
          </cell>
          <cell r="EV48">
            <v>0.1</v>
          </cell>
          <cell r="EW48">
            <v>0.1</v>
          </cell>
          <cell r="EX48">
            <v>0.1</v>
          </cell>
          <cell r="EY48">
            <v>0.1</v>
          </cell>
          <cell r="EZ48">
            <v>0.1</v>
          </cell>
          <cell r="FA48">
            <v>0.1</v>
          </cell>
          <cell r="FB48">
            <v>0.1</v>
          </cell>
          <cell r="FC48">
            <v>0.1</v>
          </cell>
          <cell r="FD48">
            <v>0.1</v>
          </cell>
          <cell r="FE48">
            <v>0.1</v>
          </cell>
          <cell r="FF48">
            <v>0.1</v>
          </cell>
          <cell r="FG48">
            <v>0.1</v>
          </cell>
        </row>
        <row r="49">
          <cell r="C49" t="str">
            <v>JEEP COMPASS BLACKHAWK 2.0T AT9 4X4</v>
          </cell>
          <cell r="D49" t="str">
            <v>COMPASS BLACKHAWK 2.0T AT 4X4</v>
          </cell>
          <cell r="G49">
            <v>0.05</v>
          </cell>
          <cell r="H49">
            <v>0.05</v>
          </cell>
          <cell r="I49">
            <v>0.05</v>
          </cell>
          <cell r="J49">
            <v>0.05</v>
          </cell>
          <cell r="K49">
            <v>0.05</v>
          </cell>
          <cell r="L49">
            <v>0.05</v>
          </cell>
          <cell r="M49">
            <v>0.05</v>
          </cell>
          <cell r="N49">
            <v>0.05</v>
          </cell>
          <cell r="O49">
            <v>0.05</v>
          </cell>
          <cell r="P49">
            <v>0.05</v>
          </cell>
          <cell r="Q49">
            <v>0.05</v>
          </cell>
          <cell r="R49">
            <v>0.05</v>
          </cell>
          <cell r="U49">
            <v>0.5</v>
          </cell>
          <cell r="V49">
            <v>0</v>
          </cell>
          <cell r="W49">
            <v>0.5</v>
          </cell>
          <cell r="X49">
            <v>0.5</v>
          </cell>
          <cell r="Y49">
            <v>0</v>
          </cell>
          <cell r="Z49">
            <v>0.5</v>
          </cell>
          <cell r="AA49">
            <v>0.5</v>
          </cell>
          <cell r="AB49">
            <v>0</v>
          </cell>
          <cell r="AC49">
            <v>0.5</v>
          </cell>
          <cell r="AD49">
            <v>0.5</v>
          </cell>
          <cell r="AE49">
            <v>0</v>
          </cell>
          <cell r="AF49">
            <v>0.5</v>
          </cell>
          <cell r="AG49">
            <v>0.5</v>
          </cell>
          <cell r="AH49">
            <v>0</v>
          </cell>
          <cell r="AI49">
            <v>0.5</v>
          </cell>
          <cell r="AJ49">
            <v>0.5</v>
          </cell>
          <cell r="AK49">
            <v>0</v>
          </cell>
          <cell r="AL49">
            <v>0.5</v>
          </cell>
          <cell r="AM49">
            <v>0.5</v>
          </cell>
          <cell r="AN49">
            <v>0</v>
          </cell>
          <cell r="AO49">
            <v>0.5</v>
          </cell>
          <cell r="AP49">
            <v>0.5</v>
          </cell>
          <cell r="AQ49">
            <v>0</v>
          </cell>
          <cell r="AR49">
            <v>0.5</v>
          </cell>
          <cell r="AS49">
            <v>0.5</v>
          </cell>
          <cell r="AT49">
            <v>0</v>
          </cell>
          <cell r="AU49">
            <v>0.5</v>
          </cell>
          <cell r="AV49">
            <v>0.5</v>
          </cell>
          <cell r="AW49">
            <v>0</v>
          </cell>
          <cell r="AX49">
            <v>0.5</v>
          </cell>
          <cell r="AY49">
            <v>0.5</v>
          </cell>
          <cell r="AZ49">
            <v>0</v>
          </cell>
          <cell r="BA49">
            <v>0.5</v>
          </cell>
          <cell r="BB49">
            <v>0.5</v>
          </cell>
          <cell r="BC49">
            <v>0</v>
          </cell>
          <cell r="BD49">
            <v>0.5</v>
          </cell>
          <cell r="BG49">
            <v>0.08</v>
          </cell>
          <cell r="BH49">
            <v>0.1</v>
          </cell>
          <cell r="BI49">
            <v>0.12</v>
          </cell>
          <cell r="BJ49">
            <v>0.08</v>
          </cell>
          <cell r="BK49">
            <v>0.1</v>
          </cell>
          <cell r="BL49">
            <v>0.12</v>
          </cell>
          <cell r="BM49">
            <v>0.08</v>
          </cell>
          <cell r="BN49">
            <v>0.1</v>
          </cell>
          <cell r="BO49">
            <v>0.12</v>
          </cell>
          <cell r="BP49">
            <v>0.08</v>
          </cell>
          <cell r="BQ49">
            <v>0.1</v>
          </cell>
          <cell r="BR49">
            <v>0.12</v>
          </cell>
          <cell r="BS49">
            <v>0.08</v>
          </cell>
          <cell r="BT49">
            <v>0.1</v>
          </cell>
          <cell r="BU49">
            <v>0.12</v>
          </cell>
          <cell r="BV49">
            <v>0.08</v>
          </cell>
          <cell r="BW49">
            <v>0.1</v>
          </cell>
          <cell r="BX49">
            <v>0.12</v>
          </cell>
          <cell r="BY49">
            <v>0.08</v>
          </cell>
          <cell r="BZ49">
            <v>0.1</v>
          </cell>
          <cell r="CA49">
            <v>0.12</v>
          </cell>
          <cell r="CB49">
            <v>0.08</v>
          </cell>
          <cell r="CC49">
            <v>0.1</v>
          </cell>
          <cell r="CD49">
            <v>0.12</v>
          </cell>
          <cell r="CE49">
            <v>0.08</v>
          </cell>
          <cell r="CF49">
            <v>0.1</v>
          </cell>
          <cell r="CG49">
            <v>0.12</v>
          </cell>
          <cell r="CH49">
            <v>0.08</v>
          </cell>
          <cell r="CI49">
            <v>0.1</v>
          </cell>
          <cell r="CJ49">
            <v>0.12</v>
          </cell>
          <cell r="CK49">
            <v>0.08</v>
          </cell>
          <cell r="CL49">
            <v>0.1</v>
          </cell>
          <cell r="CM49">
            <v>0.12</v>
          </cell>
          <cell r="CN49">
            <v>0.08</v>
          </cell>
          <cell r="CO49">
            <v>0.1</v>
          </cell>
          <cell r="CP49">
            <v>0.12</v>
          </cell>
          <cell r="CQ49">
            <v>0.08</v>
          </cell>
          <cell r="CR49">
            <v>0.1</v>
          </cell>
          <cell r="CS49">
            <v>0.12</v>
          </cell>
          <cell r="CV49">
            <v>5.5E-2</v>
          </cell>
          <cell r="CW49">
            <v>4.4999999999999998E-2</v>
          </cell>
          <cell r="CX49">
            <v>0.03</v>
          </cell>
          <cell r="CY49">
            <v>5.5E-2</v>
          </cell>
          <cell r="CZ49">
            <v>4.4999999999999998E-2</v>
          </cell>
          <cell r="DA49">
            <v>0.03</v>
          </cell>
          <cell r="DB49">
            <v>5.5E-2</v>
          </cell>
          <cell r="DC49">
            <v>4.4999999999999998E-2</v>
          </cell>
          <cell r="DD49">
            <v>0.03</v>
          </cell>
          <cell r="DE49">
            <v>5.5E-2</v>
          </cell>
          <cell r="DF49">
            <v>4.4999999999999998E-2</v>
          </cell>
          <cell r="DG49">
            <v>0.03</v>
          </cell>
          <cell r="DH49">
            <v>5.5E-2</v>
          </cell>
          <cell r="DI49">
            <v>4.4999999999999998E-2</v>
          </cell>
          <cell r="DJ49">
            <v>0.03</v>
          </cell>
          <cell r="DK49">
            <v>5.5E-2</v>
          </cell>
          <cell r="DL49">
            <v>4.4999999999999998E-2</v>
          </cell>
          <cell r="DM49">
            <v>0.03</v>
          </cell>
          <cell r="DN49">
            <v>5.5E-2</v>
          </cell>
          <cell r="DO49">
            <v>4.4999999999999998E-2</v>
          </cell>
          <cell r="DP49">
            <v>0.03</v>
          </cell>
          <cell r="DQ49">
            <v>5.5E-2</v>
          </cell>
          <cell r="DR49">
            <v>4.4999999999999998E-2</v>
          </cell>
          <cell r="DS49">
            <v>0.03</v>
          </cell>
          <cell r="DT49">
            <v>5.5E-2</v>
          </cell>
          <cell r="DU49">
            <v>4.4999999999999998E-2</v>
          </cell>
          <cell r="DV49">
            <v>0.03</v>
          </cell>
          <cell r="DW49">
            <v>5.5E-2</v>
          </cell>
          <cell r="DX49">
            <v>4.4999999999999998E-2</v>
          </cell>
          <cell r="DY49">
            <v>0.03</v>
          </cell>
          <cell r="DZ49">
            <v>5.5E-2</v>
          </cell>
          <cell r="EA49">
            <v>4.4999999999999998E-2</v>
          </cell>
          <cell r="EB49">
            <v>0.03</v>
          </cell>
          <cell r="EC49">
            <v>5.5E-2</v>
          </cell>
          <cell r="ED49">
            <v>4.4999999999999998E-2</v>
          </cell>
          <cell r="EE49">
            <v>0.03</v>
          </cell>
          <cell r="EG49">
            <v>5.2500000000000005E-2</v>
          </cell>
          <cell r="EH49">
            <v>5.2500000000000005E-2</v>
          </cell>
          <cell r="EI49">
            <v>5.2500000000000005E-2</v>
          </cell>
          <cell r="EJ49">
            <v>5.2500000000000005E-2</v>
          </cell>
          <cell r="EK49">
            <v>5.2500000000000005E-2</v>
          </cell>
          <cell r="EL49">
            <v>5.2500000000000005E-2</v>
          </cell>
          <cell r="EM49">
            <v>5.2500000000000005E-2</v>
          </cell>
          <cell r="EN49">
            <v>5.2500000000000005E-2</v>
          </cell>
          <cell r="EO49">
            <v>5.2500000000000005E-2</v>
          </cell>
          <cell r="EP49">
            <v>5.2500000000000005E-2</v>
          </cell>
          <cell r="EQ49">
            <v>5.2500000000000005E-2</v>
          </cell>
          <cell r="ER49">
            <v>5.2500000000000005E-2</v>
          </cell>
          <cell r="ES49">
            <v>5.2500000000000005E-2</v>
          </cell>
          <cell r="EU49">
            <v>0.1</v>
          </cell>
          <cell r="EV49">
            <v>0.1</v>
          </cell>
          <cell r="EW49">
            <v>0.1</v>
          </cell>
          <cell r="EX49">
            <v>0.1</v>
          </cell>
          <cell r="EY49">
            <v>0.1</v>
          </cell>
          <cell r="EZ49">
            <v>0.1</v>
          </cell>
          <cell r="FA49">
            <v>0.1</v>
          </cell>
          <cell r="FB49">
            <v>0.1</v>
          </cell>
          <cell r="FC49">
            <v>0.1</v>
          </cell>
          <cell r="FD49">
            <v>0.1</v>
          </cell>
          <cell r="FE49">
            <v>0.1</v>
          </cell>
          <cell r="FF49">
            <v>0.1</v>
          </cell>
          <cell r="FG49">
            <v>0.1</v>
          </cell>
        </row>
        <row r="50">
          <cell r="C50" t="str">
            <v>JEEP COMPASS SERIE S 4XE PHEV</v>
          </cell>
          <cell r="D50" t="str">
            <v>JEEP COMPASS SERIE S 4XE PHEV</v>
          </cell>
          <cell r="G50">
            <v>0.05</v>
          </cell>
          <cell r="H50">
            <v>0.05</v>
          </cell>
          <cell r="I50">
            <v>0.05</v>
          </cell>
          <cell r="J50">
            <v>0.05</v>
          </cell>
          <cell r="K50">
            <v>0.05</v>
          </cell>
          <cell r="L50">
            <v>0.05</v>
          </cell>
          <cell r="M50">
            <v>0.05</v>
          </cell>
          <cell r="N50">
            <v>0.05</v>
          </cell>
          <cell r="O50">
            <v>0.05</v>
          </cell>
          <cell r="P50">
            <v>0.05</v>
          </cell>
          <cell r="Q50">
            <v>0.05</v>
          </cell>
          <cell r="R50">
            <v>0.05</v>
          </cell>
          <cell r="U50">
            <v>0.5</v>
          </cell>
          <cell r="V50">
            <v>0</v>
          </cell>
          <cell r="W50">
            <v>0.5</v>
          </cell>
          <cell r="X50">
            <v>0.5</v>
          </cell>
          <cell r="Y50">
            <v>0</v>
          </cell>
          <cell r="Z50">
            <v>0.5</v>
          </cell>
          <cell r="AA50">
            <v>0.5</v>
          </cell>
          <cell r="AB50">
            <v>0</v>
          </cell>
          <cell r="AC50">
            <v>0.5</v>
          </cell>
          <cell r="AD50">
            <v>0.5</v>
          </cell>
          <cell r="AE50">
            <v>0</v>
          </cell>
          <cell r="AF50">
            <v>0.5</v>
          </cell>
          <cell r="AG50">
            <v>0.5</v>
          </cell>
          <cell r="AH50">
            <v>0</v>
          </cell>
          <cell r="AI50">
            <v>0.5</v>
          </cell>
          <cell r="AJ50">
            <v>0.5</v>
          </cell>
          <cell r="AK50">
            <v>0</v>
          </cell>
          <cell r="AL50">
            <v>0.5</v>
          </cell>
          <cell r="AM50">
            <v>0.5</v>
          </cell>
          <cell r="AN50">
            <v>0</v>
          </cell>
          <cell r="AO50">
            <v>0.5</v>
          </cell>
          <cell r="AP50">
            <v>0.5</v>
          </cell>
          <cell r="AQ50">
            <v>0</v>
          </cell>
          <cell r="AR50">
            <v>0.5</v>
          </cell>
          <cell r="AS50">
            <v>0.5</v>
          </cell>
          <cell r="AT50">
            <v>0</v>
          </cell>
          <cell r="AU50">
            <v>0.5</v>
          </cell>
          <cell r="AV50">
            <v>0.5</v>
          </cell>
          <cell r="AW50">
            <v>0</v>
          </cell>
          <cell r="AX50">
            <v>0.5</v>
          </cell>
          <cell r="AY50">
            <v>0.5</v>
          </cell>
          <cell r="AZ50">
            <v>0</v>
          </cell>
          <cell r="BA50">
            <v>0.5</v>
          </cell>
          <cell r="BB50">
            <v>0.5</v>
          </cell>
          <cell r="BC50">
            <v>0</v>
          </cell>
          <cell r="BD50">
            <v>0.5</v>
          </cell>
          <cell r="BG50">
            <v>0.08</v>
          </cell>
          <cell r="BH50">
            <v>0.1</v>
          </cell>
          <cell r="BI50">
            <v>0.12</v>
          </cell>
          <cell r="BJ50">
            <v>0.08</v>
          </cell>
          <cell r="BK50">
            <v>0.1</v>
          </cell>
          <cell r="BL50">
            <v>0.12</v>
          </cell>
          <cell r="BM50">
            <v>0.08</v>
          </cell>
          <cell r="BN50">
            <v>0.1</v>
          </cell>
          <cell r="BO50">
            <v>0.12</v>
          </cell>
          <cell r="BP50">
            <v>0.08</v>
          </cell>
          <cell r="BQ50">
            <v>0.1</v>
          </cell>
          <cell r="BR50">
            <v>0.12</v>
          </cell>
          <cell r="BS50">
            <v>0.08</v>
          </cell>
          <cell r="BT50">
            <v>0.1</v>
          </cell>
          <cell r="BU50">
            <v>0.12</v>
          </cell>
          <cell r="BV50">
            <v>0.08</v>
          </cell>
          <cell r="BW50">
            <v>0.1</v>
          </cell>
          <cell r="BX50">
            <v>0.12</v>
          </cell>
          <cell r="BY50">
            <v>0.08</v>
          </cell>
          <cell r="BZ50">
            <v>0.1</v>
          </cell>
          <cell r="CA50">
            <v>0.12</v>
          </cell>
          <cell r="CB50">
            <v>0.08</v>
          </cell>
          <cell r="CC50">
            <v>0.1</v>
          </cell>
          <cell r="CD50">
            <v>0.12</v>
          </cell>
          <cell r="CE50">
            <v>0.08</v>
          </cell>
          <cell r="CF50">
            <v>0.1</v>
          </cell>
          <cell r="CG50">
            <v>0.12</v>
          </cell>
          <cell r="CH50">
            <v>0.08</v>
          </cell>
          <cell r="CI50">
            <v>0.1</v>
          </cell>
          <cell r="CJ50">
            <v>0.12</v>
          </cell>
          <cell r="CK50">
            <v>0.08</v>
          </cell>
          <cell r="CL50">
            <v>0.1</v>
          </cell>
          <cell r="CM50">
            <v>0.12</v>
          </cell>
          <cell r="CN50">
            <v>0.08</v>
          </cell>
          <cell r="CO50">
            <v>0.1</v>
          </cell>
          <cell r="CP50">
            <v>0.12</v>
          </cell>
          <cell r="CQ50">
            <v>0.08</v>
          </cell>
          <cell r="CR50">
            <v>0.1</v>
          </cell>
          <cell r="CS50">
            <v>0.12</v>
          </cell>
          <cell r="CV50">
            <v>5.5E-2</v>
          </cell>
          <cell r="CW50">
            <v>4.4999999999999998E-2</v>
          </cell>
          <cell r="CX50">
            <v>0.03</v>
          </cell>
          <cell r="CY50">
            <v>5.5E-2</v>
          </cell>
          <cell r="CZ50">
            <v>4.4999999999999998E-2</v>
          </cell>
          <cell r="DA50">
            <v>0.03</v>
          </cell>
          <cell r="DB50">
            <v>5.5E-2</v>
          </cell>
          <cell r="DC50">
            <v>4.4999999999999998E-2</v>
          </cell>
          <cell r="DD50">
            <v>0.03</v>
          </cell>
          <cell r="DE50">
            <v>5.5E-2</v>
          </cell>
          <cell r="DF50">
            <v>4.4999999999999998E-2</v>
          </cell>
          <cell r="DG50">
            <v>0.03</v>
          </cell>
          <cell r="DH50">
            <v>5.5E-2</v>
          </cell>
          <cell r="DI50">
            <v>4.4999999999999998E-2</v>
          </cell>
          <cell r="DJ50">
            <v>0.03</v>
          </cell>
          <cell r="DK50">
            <v>5.5E-2</v>
          </cell>
          <cell r="DL50">
            <v>4.4999999999999998E-2</v>
          </cell>
          <cell r="DM50">
            <v>0.03</v>
          </cell>
          <cell r="DN50">
            <v>5.5E-2</v>
          </cell>
          <cell r="DO50">
            <v>4.4999999999999998E-2</v>
          </cell>
          <cell r="DP50">
            <v>0.03</v>
          </cell>
          <cell r="DQ50">
            <v>5.5E-2</v>
          </cell>
          <cell r="DR50">
            <v>4.4999999999999998E-2</v>
          </cell>
          <cell r="DS50">
            <v>0.03</v>
          </cell>
          <cell r="DT50">
            <v>5.5E-2</v>
          </cell>
          <cell r="DU50">
            <v>4.4999999999999998E-2</v>
          </cell>
          <cell r="DV50">
            <v>0.03</v>
          </cell>
          <cell r="DW50">
            <v>5.5E-2</v>
          </cell>
          <cell r="DX50">
            <v>4.4999999999999998E-2</v>
          </cell>
          <cell r="DY50">
            <v>0.03</v>
          </cell>
          <cell r="DZ50">
            <v>5.5E-2</v>
          </cell>
          <cell r="EA50">
            <v>4.4999999999999998E-2</v>
          </cell>
          <cell r="EB50">
            <v>0.03</v>
          </cell>
          <cell r="EC50">
            <v>5.5E-2</v>
          </cell>
          <cell r="ED50">
            <v>4.4999999999999998E-2</v>
          </cell>
          <cell r="EE50">
            <v>0.03</v>
          </cell>
          <cell r="EG50">
            <v>5.2500000000000005E-2</v>
          </cell>
          <cell r="EH50">
            <v>5.2500000000000005E-2</v>
          </cell>
          <cell r="EI50">
            <v>5.2500000000000005E-2</v>
          </cell>
          <cell r="EJ50">
            <v>5.2500000000000005E-2</v>
          </cell>
          <cell r="EK50">
            <v>5.2500000000000005E-2</v>
          </cell>
          <cell r="EL50">
            <v>5.2500000000000005E-2</v>
          </cell>
          <cell r="EM50">
            <v>5.2500000000000005E-2</v>
          </cell>
          <cell r="EN50">
            <v>5.2500000000000005E-2</v>
          </cell>
          <cell r="EO50">
            <v>5.2500000000000005E-2</v>
          </cell>
          <cell r="EP50">
            <v>5.2500000000000005E-2</v>
          </cell>
          <cell r="EQ50">
            <v>5.2500000000000005E-2</v>
          </cell>
          <cell r="ER50">
            <v>5.2500000000000005E-2</v>
          </cell>
          <cell r="ES50">
            <v>5.2500000000000005E-2</v>
          </cell>
          <cell r="EU50">
            <v>0.1</v>
          </cell>
          <cell r="EV50">
            <v>0.1</v>
          </cell>
          <cell r="EW50">
            <v>0.1</v>
          </cell>
          <cell r="EX50">
            <v>0.1</v>
          </cell>
          <cell r="EY50">
            <v>0.1</v>
          </cell>
          <cell r="EZ50">
            <v>0.1</v>
          </cell>
          <cell r="FA50">
            <v>0.1</v>
          </cell>
          <cell r="FB50">
            <v>0.1</v>
          </cell>
          <cell r="FC50">
            <v>0.1</v>
          </cell>
          <cell r="FD50">
            <v>0.1</v>
          </cell>
          <cell r="FE50">
            <v>0.1</v>
          </cell>
          <cell r="FF50">
            <v>0.1</v>
          </cell>
          <cell r="FG50">
            <v>0.1</v>
          </cell>
        </row>
        <row r="51">
          <cell r="C51" t="str">
            <v>JEEP COMMANDER MCA LIMITED 1.3T AT6 FWD</v>
          </cell>
          <cell r="D51" t="str">
            <v>COMMANDER LIMITED 1.3T AT</v>
          </cell>
          <cell r="G51">
            <v>0.05</v>
          </cell>
          <cell r="H51">
            <v>0.05</v>
          </cell>
          <cell r="I51">
            <v>0.05</v>
          </cell>
          <cell r="J51">
            <v>0.05</v>
          </cell>
          <cell r="K51">
            <v>0.05</v>
          </cell>
          <cell r="L51">
            <v>0.05</v>
          </cell>
          <cell r="M51">
            <v>0.05</v>
          </cell>
          <cell r="N51">
            <v>0.05</v>
          </cell>
          <cell r="O51">
            <v>0.05</v>
          </cell>
          <cell r="P51">
            <v>0.05</v>
          </cell>
          <cell r="Q51">
            <v>0.05</v>
          </cell>
          <cell r="R51">
            <v>0.05</v>
          </cell>
          <cell r="U51">
            <v>0.5</v>
          </cell>
          <cell r="V51">
            <v>0</v>
          </cell>
          <cell r="W51">
            <v>0.5</v>
          </cell>
          <cell r="X51">
            <v>0.5</v>
          </cell>
          <cell r="Y51">
            <v>0</v>
          </cell>
          <cell r="Z51">
            <v>0.5</v>
          </cell>
          <cell r="AA51">
            <v>0.5</v>
          </cell>
          <cell r="AB51">
            <v>0</v>
          </cell>
          <cell r="AC51">
            <v>0.5</v>
          </cell>
          <cell r="AD51">
            <v>0.5</v>
          </cell>
          <cell r="AE51">
            <v>0</v>
          </cell>
          <cell r="AF51">
            <v>0.5</v>
          </cell>
          <cell r="AG51">
            <v>0.5</v>
          </cell>
          <cell r="AH51">
            <v>0</v>
          </cell>
          <cell r="AI51">
            <v>0.5</v>
          </cell>
          <cell r="AJ51">
            <v>0.5</v>
          </cell>
          <cell r="AK51">
            <v>0</v>
          </cell>
          <cell r="AL51">
            <v>0.5</v>
          </cell>
          <cell r="AM51">
            <v>0.5</v>
          </cell>
          <cell r="AN51">
            <v>0</v>
          </cell>
          <cell r="AO51">
            <v>0.5</v>
          </cell>
          <cell r="AP51">
            <v>0.5</v>
          </cell>
          <cell r="AQ51">
            <v>0</v>
          </cell>
          <cell r="AR51">
            <v>0.5</v>
          </cell>
          <cell r="AS51">
            <v>0.5</v>
          </cell>
          <cell r="AT51">
            <v>0</v>
          </cell>
          <cell r="AU51">
            <v>0.5</v>
          </cell>
          <cell r="AV51">
            <v>0.5</v>
          </cell>
          <cell r="AW51">
            <v>0</v>
          </cell>
          <cell r="AX51">
            <v>0.5</v>
          </cell>
          <cell r="AY51">
            <v>0.5</v>
          </cell>
          <cell r="AZ51">
            <v>0</v>
          </cell>
          <cell r="BA51">
            <v>0.5</v>
          </cell>
          <cell r="BB51">
            <v>0.5</v>
          </cell>
          <cell r="BC51">
            <v>0</v>
          </cell>
          <cell r="BD51">
            <v>0.5</v>
          </cell>
          <cell r="BG51">
            <v>0.08</v>
          </cell>
          <cell r="BH51">
            <v>0.1</v>
          </cell>
          <cell r="BI51">
            <v>0.12</v>
          </cell>
          <cell r="BJ51">
            <v>0.08</v>
          </cell>
          <cell r="BK51">
            <v>0.1</v>
          </cell>
          <cell r="BL51">
            <v>0.12</v>
          </cell>
          <cell r="BM51">
            <v>0.08</v>
          </cell>
          <cell r="BN51">
            <v>0.1</v>
          </cell>
          <cell r="BO51">
            <v>0.12</v>
          </cell>
          <cell r="BP51">
            <v>0.08</v>
          </cell>
          <cell r="BQ51">
            <v>0.1</v>
          </cell>
          <cell r="BR51">
            <v>0.12</v>
          </cell>
          <cell r="BS51">
            <v>0.08</v>
          </cell>
          <cell r="BT51">
            <v>0.1</v>
          </cell>
          <cell r="BU51">
            <v>0.12</v>
          </cell>
          <cell r="BV51">
            <v>0.08</v>
          </cell>
          <cell r="BW51">
            <v>0.1</v>
          </cell>
          <cell r="BX51">
            <v>0.12</v>
          </cell>
          <cell r="BY51">
            <v>0.08</v>
          </cell>
          <cell r="BZ51">
            <v>0.1</v>
          </cell>
          <cell r="CA51">
            <v>0.12</v>
          </cell>
          <cell r="CB51">
            <v>0.08</v>
          </cell>
          <cell r="CC51">
            <v>0.1</v>
          </cell>
          <cell r="CD51">
            <v>0.12</v>
          </cell>
          <cell r="CE51">
            <v>0.08</v>
          </cell>
          <cell r="CF51">
            <v>0.1</v>
          </cell>
          <cell r="CG51">
            <v>0.12</v>
          </cell>
          <cell r="CH51">
            <v>0.08</v>
          </cell>
          <cell r="CI51">
            <v>0.1</v>
          </cell>
          <cell r="CJ51">
            <v>0.12</v>
          </cell>
          <cell r="CK51">
            <v>0.08</v>
          </cell>
          <cell r="CL51">
            <v>0.1</v>
          </cell>
          <cell r="CM51">
            <v>0.12</v>
          </cell>
          <cell r="CN51">
            <v>0.08</v>
          </cell>
          <cell r="CO51">
            <v>0.1</v>
          </cell>
          <cell r="CP51">
            <v>0.12</v>
          </cell>
          <cell r="CQ51">
            <v>0.08</v>
          </cell>
          <cell r="CR51">
            <v>0.1</v>
          </cell>
          <cell r="CS51">
            <v>0.12</v>
          </cell>
          <cell r="CV51">
            <v>0.06</v>
          </cell>
          <cell r="CW51">
            <v>0.05</v>
          </cell>
          <cell r="CX51">
            <v>0.04</v>
          </cell>
          <cell r="CY51">
            <v>0.06</v>
          </cell>
          <cell r="CZ51">
            <v>0.05</v>
          </cell>
          <cell r="DA51">
            <v>0.04</v>
          </cell>
          <cell r="DB51">
            <v>0.06</v>
          </cell>
          <cell r="DC51">
            <v>0.05</v>
          </cell>
          <cell r="DD51">
            <v>0.04</v>
          </cell>
          <cell r="DE51">
            <v>0.06</v>
          </cell>
          <cell r="DF51">
            <v>0.05</v>
          </cell>
          <cell r="DG51">
            <v>0.04</v>
          </cell>
          <cell r="DH51">
            <v>0.06</v>
          </cell>
          <cell r="DI51">
            <v>0.05</v>
          </cell>
          <cell r="DJ51">
            <v>0.04</v>
          </cell>
          <cell r="DK51">
            <v>0.06</v>
          </cell>
          <cell r="DL51">
            <v>0.05</v>
          </cell>
          <cell r="DM51">
            <v>0.04</v>
          </cell>
          <cell r="DN51">
            <v>0.06</v>
          </cell>
          <cell r="DO51">
            <v>0.05</v>
          </cell>
          <cell r="DP51">
            <v>0.04</v>
          </cell>
          <cell r="DQ51">
            <v>0.06</v>
          </cell>
          <cell r="DR51">
            <v>0.05</v>
          </cell>
          <cell r="DS51">
            <v>0.04</v>
          </cell>
          <cell r="DT51">
            <v>0.06</v>
          </cell>
          <cell r="DU51">
            <v>0.05</v>
          </cell>
          <cell r="DV51">
            <v>0.04</v>
          </cell>
          <cell r="DW51">
            <v>0.06</v>
          </cell>
          <cell r="DX51">
            <v>0.05</v>
          </cell>
          <cell r="DY51">
            <v>0.04</v>
          </cell>
          <cell r="DZ51">
            <v>0.06</v>
          </cell>
          <cell r="EA51">
            <v>0.05</v>
          </cell>
          <cell r="EB51">
            <v>0.04</v>
          </cell>
          <cell r="EC51">
            <v>0.06</v>
          </cell>
          <cell r="ED51">
            <v>0.05</v>
          </cell>
          <cell r="EE51">
            <v>0.04</v>
          </cell>
          <cell r="EG51">
            <v>0.05</v>
          </cell>
          <cell r="EH51">
            <v>0.05</v>
          </cell>
          <cell r="EI51">
            <v>0.05</v>
          </cell>
          <cell r="EJ51">
            <v>0.05</v>
          </cell>
          <cell r="EK51">
            <v>0.05</v>
          </cell>
          <cell r="EL51">
            <v>0.05</v>
          </cell>
          <cell r="EM51">
            <v>0.05</v>
          </cell>
          <cell r="EN51">
            <v>0.05</v>
          </cell>
          <cell r="EO51">
            <v>0.05</v>
          </cell>
          <cell r="EP51">
            <v>0.05</v>
          </cell>
          <cell r="EQ51">
            <v>0.05</v>
          </cell>
          <cell r="ER51">
            <v>0.05</v>
          </cell>
          <cell r="ES51">
            <v>0.05</v>
          </cell>
          <cell r="EU51">
            <v>0.1</v>
          </cell>
          <cell r="EV51">
            <v>0.1</v>
          </cell>
          <cell r="EW51">
            <v>0.1</v>
          </cell>
          <cell r="EX51">
            <v>0.1</v>
          </cell>
          <cell r="EY51">
            <v>0.1</v>
          </cell>
          <cell r="EZ51">
            <v>0.1</v>
          </cell>
          <cell r="FA51">
            <v>0.1</v>
          </cell>
          <cell r="FB51">
            <v>0.1</v>
          </cell>
          <cell r="FC51">
            <v>0.1</v>
          </cell>
          <cell r="FD51">
            <v>0.1</v>
          </cell>
          <cell r="FE51">
            <v>0.1</v>
          </cell>
          <cell r="FF51">
            <v>0.1</v>
          </cell>
          <cell r="FG51">
            <v>0.1</v>
          </cell>
        </row>
        <row r="52">
          <cell r="C52" t="str">
            <v>JEEP COMMANDER MCA OVERLAND 1.3T AT6 FWD</v>
          </cell>
          <cell r="D52" t="str">
            <v>COMMANDER OVERLAND 1.3T AT</v>
          </cell>
          <cell r="G52">
            <v>0.05</v>
          </cell>
          <cell r="H52">
            <v>0.05</v>
          </cell>
          <cell r="I52">
            <v>0.05</v>
          </cell>
          <cell r="J52">
            <v>0.05</v>
          </cell>
          <cell r="K52">
            <v>0.05</v>
          </cell>
          <cell r="L52">
            <v>0.05</v>
          </cell>
          <cell r="M52">
            <v>0.05</v>
          </cell>
          <cell r="N52">
            <v>0.05</v>
          </cell>
          <cell r="O52">
            <v>0.05</v>
          </cell>
          <cell r="P52">
            <v>0.05</v>
          </cell>
          <cell r="Q52">
            <v>0.05</v>
          </cell>
          <cell r="R52">
            <v>0.05</v>
          </cell>
          <cell r="U52">
            <v>0.5</v>
          </cell>
          <cell r="V52">
            <v>0</v>
          </cell>
          <cell r="W52">
            <v>0.5</v>
          </cell>
          <cell r="X52">
            <v>0.5</v>
          </cell>
          <cell r="Y52">
            <v>0</v>
          </cell>
          <cell r="Z52">
            <v>0.5</v>
          </cell>
          <cell r="AA52">
            <v>0.5</v>
          </cell>
          <cell r="AB52">
            <v>0</v>
          </cell>
          <cell r="AC52">
            <v>0.5</v>
          </cell>
          <cell r="AD52">
            <v>0.5</v>
          </cell>
          <cell r="AE52">
            <v>0</v>
          </cell>
          <cell r="AF52">
            <v>0.5</v>
          </cell>
          <cell r="AG52">
            <v>0.5</v>
          </cell>
          <cell r="AH52">
            <v>0</v>
          </cell>
          <cell r="AI52">
            <v>0.5</v>
          </cell>
          <cell r="AJ52">
            <v>0.5</v>
          </cell>
          <cell r="AK52">
            <v>0</v>
          </cell>
          <cell r="AL52">
            <v>0.5</v>
          </cell>
          <cell r="AM52">
            <v>0.5</v>
          </cell>
          <cell r="AN52">
            <v>0</v>
          </cell>
          <cell r="AO52">
            <v>0.5</v>
          </cell>
          <cell r="AP52">
            <v>0.5</v>
          </cell>
          <cell r="AQ52">
            <v>0</v>
          </cell>
          <cell r="AR52">
            <v>0.5</v>
          </cell>
          <cell r="AS52">
            <v>0.5</v>
          </cell>
          <cell r="AT52">
            <v>0</v>
          </cell>
          <cell r="AU52">
            <v>0.5</v>
          </cell>
          <cell r="AV52">
            <v>0.5</v>
          </cell>
          <cell r="AW52">
            <v>0</v>
          </cell>
          <cell r="AX52">
            <v>0.5</v>
          </cell>
          <cell r="AY52">
            <v>0.5</v>
          </cell>
          <cell r="AZ52">
            <v>0</v>
          </cell>
          <cell r="BA52">
            <v>0.5</v>
          </cell>
          <cell r="BB52">
            <v>0.5</v>
          </cell>
          <cell r="BC52">
            <v>0</v>
          </cell>
          <cell r="BD52">
            <v>0.5</v>
          </cell>
          <cell r="BG52">
            <v>0.08</v>
          </cell>
          <cell r="BH52">
            <v>0.1</v>
          </cell>
          <cell r="BI52">
            <v>0.12</v>
          </cell>
          <cell r="BJ52">
            <v>0.08</v>
          </cell>
          <cell r="BK52">
            <v>0.1</v>
          </cell>
          <cell r="BL52">
            <v>0.12</v>
          </cell>
          <cell r="BM52">
            <v>0.08</v>
          </cell>
          <cell r="BN52">
            <v>0.1</v>
          </cell>
          <cell r="BO52">
            <v>0.12</v>
          </cell>
          <cell r="BP52">
            <v>0.08</v>
          </cell>
          <cell r="BQ52">
            <v>0.1</v>
          </cell>
          <cell r="BR52">
            <v>0.12</v>
          </cell>
          <cell r="BS52">
            <v>0.08</v>
          </cell>
          <cell r="BT52">
            <v>0.1</v>
          </cell>
          <cell r="BU52">
            <v>0.12</v>
          </cell>
          <cell r="BV52">
            <v>0.08</v>
          </cell>
          <cell r="BW52">
            <v>0.1</v>
          </cell>
          <cell r="BX52">
            <v>0.12</v>
          </cell>
          <cell r="BY52">
            <v>0.08</v>
          </cell>
          <cell r="BZ52">
            <v>0.1</v>
          </cell>
          <cell r="CA52">
            <v>0.12</v>
          </cell>
          <cell r="CB52">
            <v>0.08</v>
          </cell>
          <cell r="CC52">
            <v>0.1</v>
          </cell>
          <cell r="CD52">
            <v>0.12</v>
          </cell>
          <cell r="CE52">
            <v>0.08</v>
          </cell>
          <cell r="CF52">
            <v>0.1</v>
          </cell>
          <cell r="CG52">
            <v>0.12</v>
          </cell>
          <cell r="CH52">
            <v>0.08</v>
          </cell>
          <cell r="CI52">
            <v>0.1</v>
          </cell>
          <cell r="CJ52">
            <v>0.12</v>
          </cell>
          <cell r="CK52">
            <v>0.08</v>
          </cell>
          <cell r="CL52">
            <v>0.1</v>
          </cell>
          <cell r="CM52">
            <v>0.12</v>
          </cell>
          <cell r="CN52">
            <v>0.08</v>
          </cell>
          <cell r="CO52">
            <v>0.1</v>
          </cell>
          <cell r="CP52">
            <v>0.12</v>
          </cell>
          <cell r="CQ52">
            <v>0.08</v>
          </cell>
          <cell r="CR52">
            <v>0.1</v>
          </cell>
          <cell r="CS52">
            <v>0.12</v>
          </cell>
          <cell r="CV52">
            <v>0.06</v>
          </cell>
          <cell r="CW52">
            <v>0.05</v>
          </cell>
          <cell r="CX52">
            <v>0.04</v>
          </cell>
          <cell r="CY52">
            <v>0.06</v>
          </cell>
          <cell r="CZ52">
            <v>0.05</v>
          </cell>
          <cell r="DA52">
            <v>0.04</v>
          </cell>
          <cell r="DB52">
            <v>0.06</v>
          </cell>
          <cell r="DC52">
            <v>0.05</v>
          </cell>
          <cell r="DD52">
            <v>0.04</v>
          </cell>
          <cell r="DE52">
            <v>0.06</v>
          </cell>
          <cell r="DF52">
            <v>0.05</v>
          </cell>
          <cell r="DG52">
            <v>0.04</v>
          </cell>
          <cell r="DH52">
            <v>0.06</v>
          </cell>
          <cell r="DI52">
            <v>0.05</v>
          </cell>
          <cell r="DJ52">
            <v>0.04</v>
          </cell>
          <cell r="DK52">
            <v>0.06</v>
          </cell>
          <cell r="DL52">
            <v>0.05</v>
          </cell>
          <cell r="DM52">
            <v>0.04</v>
          </cell>
          <cell r="DN52">
            <v>0.06</v>
          </cell>
          <cell r="DO52">
            <v>0.05</v>
          </cell>
          <cell r="DP52">
            <v>0.04</v>
          </cell>
          <cell r="DQ52">
            <v>0.06</v>
          </cell>
          <cell r="DR52">
            <v>0.05</v>
          </cell>
          <cell r="DS52">
            <v>0.04</v>
          </cell>
          <cell r="DT52">
            <v>0.06</v>
          </cell>
          <cell r="DU52">
            <v>0.05</v>
          </cell>
          <cell r="DV52">
            <v>0.04</v>
          </cell>
          <cell r="DW52">
            <v>0.06</v>
          </cell>
          <cell r="DX52">
            <v>0.05</v>
          </cell>
          <cell r="DY52">
            <v>0.04</v>
          </cell>
          <cell r="DZ52">
            <v>0.06</v>
          </cell>
          <cell r="EA52">
            <v>0.05</v>
          </cell>
          <cell r="EB52">
            <v>0.04</v>
          </cell>
          <cell r="EC52">
            <v>0.06</v>
          </cell>
          <cell r="ED52">
            <v>0.05</v>
          </cell>
          <cell r="EE52">
            <v>0.04</v>
          </cell>
          <cell r="EG52">
            <v>0.05</v>
          </cell>
          <cell r="EH52">
            <v>0.05</v>
          </cell>
          <cell r="EI52">
            <v>0.05</v>
          </cell>
          <cell r="EJ52">
            <v>0.05</v>
          </cell>
          <cell r="EK52">
            <v>0.05</v>
          </cell>
          <cell r="EL52">
            <v>0.05</v>
          </cell>
          <cell r="EM52">
            <v>0.05</v>
          </cell>
          <cell r="EN52">
            <v>0.05</v>
          </cell>
          <cell r="EO52">
            <v>0.05</v>
          </cell>
          <cell r="EP52">
            <v>0.05</v>
          </cell>
          <cell r="EQ52">
            <v>0.05</v>
          </cell>
          <cell r="ER52">
            <v>0.05</v>
          </cell>
          <cell r="ES52">
            <v>0.05</v>
          </cell>
          <cell r="EU52">
            <v>0.1</v>
          </cell>
          <cell r="EV52">
            <v>0.1</v>
          </cell>
          <cell r="EW52">
            <v>0.1</v>
          </cell>
          <cell r="EX52">
            <v>0.1</v>
          </cell>
          <cell r="EY52">
            <v>0.1</v>
          </cell>
          <cell r="EZ52">
            <v>0.1</v>
          </cell>
          <cell r="FA52">
            <v>0.1</v>
          </cell>
          <cell r="FB52">
            <v>0.1</v>
          </cell>
          <cell r="FC52">
            <v>0.1</v>
          </cell>
          <cell r="FD52">
            <v>0.1</v>
          </cell>
          <cell r="FE52">
            <v>0.1</v>
          </cell>
          <cell r="FF52">
            <v>0.1</v>
          </cell>
          <cell r="FG52">
            <v>0.1</v>
          </cell>
        </row>
        <row r="53">
          <cell r="C53" t="str">
            <v>JEEP COMMANDER MCA BLACKHAWK 2.0T AT9 4X4</v>
          </cell>
          <cell r="D53" t="str">
            <v>COMMANDER BACKHAWK 2.0T AT 4X4</v>
          </cell>
          <cell r="G53">
            <v>0.05</v>
          </cell>
          <cell r="H53">
            <v>0.05</v>
          </cell>
          <cell r="I53">
            <v>0.05</v>
          </cell>
          <cell r="J53">
            <v>0.05</v>
          </cell>
          <cell r="K53">
            <v>0.05</v>
          </cell>
          <cell r="L53">
            <v>0.05</v>
          </cell>
          <cell r="M53">
            <v>0.05</v>
          </cell>
          <cell r="N53">
            <v>0.05</v>
          </cell>
          <cell r="O53">
            <v>0.05</v>
          </cell>
          <cell r="P53">
            <v>0.05</v>
          </cell>
          <cell r="Q53">
            <v>0.05</v>
          </cell>
          <cell r="R53">
            <v>0.05</v>
          </cell>
          <cell r="U53">
            <v>0.5</v>
          </cell>
          <cell r="V53">
            <v>0</v>
          </cell>
          <cell r="W53">
            <v>0.5</v>
          </cell>
          <cell r="X53">
            <v>0.5</v>
          </cell>
          <cell r="Y53">
            <v>0</v>
          </cell>
          <cell r="Z53">
            <v>0.5</v>
          </cell>
          <cell r="AA53">
            <v>0.5</v>
          </cell>
          <cell r="AB53">
            <v>0</v>
          </cell>
          <cell r="AC53">
            <v>0.5</v>
          </cell>
          <cell r="AD53">
            <v>0.5</v>
          </cell>
          <cell r="AE53">
            <v>0</v>
          </cell>
          <cell r="AF53">
            <v>0.5</v>
          </cell>
          <cell r="AG53">
            <v>0.5</v>
          </cell>
          <cell r="AH53">
            <v>0</v>
          </cell>
          <cell r="AI53">
            <v>0.5</v>
          </cell>
          <cell r="AJ53">
            <v>0.5</v>
          </cell>
          <cell r="AK53">
            <v>0</v>
          </cell>
          <cell r="AL53">
            <v>0.5</v>
          </cell>
          <cell r="AM53">
            <v>0.5</v>
          </cell>
          <cell r="AN53">
            <v>0</v>
          </cell>
          <cell r="AO53">
            <v>0.5</v>
          </cell>
          <cell r="AP53">
            <v>0.5</v>
          </cell>
          <cell r="AQ53">
            <v>0</v>
          </cell>
          <cell r="AR53">
            <v>0.5</v>
          </cell>
          <cell r="AS53">
            <v>0.5</v>
          </cell>
          <cell r="AT53">
            <v>0</v>
          </cell>
          <cell r="AU53">
            <v>0.5</v>
          </cell>
          <cell r="AV53">
            <v>0.5</v>
          </cell>
          <cell r="AW53">
            <v>0</v>
          </cell>
          <cell r="AX53">
            <v>0.5</v>
          </cell>
          <cell r="AY53">
            <v>0.5</v>
          </cell>
          <cell r="AZ53">
            <v>0</v>
          </cell>
          <cell r="BA53">
            <v>0.5</v>
          </cell>
          <cell r="BB53">
            <v>0.5</v>
          </cell>
          <cell r="BC53">
            <v>0</v>
          </cell>
          <cell r="BD53">
            <v>0.5</v>
          </cell>
          <cell r="BG53">
            <v>0.08</v>
          </cell>
          <cell r="BH53">
            <v>0.1</v>
          </cell>
          <cell r="BI53">
            <v>0.12</v>
          </cell>
          <cell r="BJ53">
            <v>0.08</v>
          </cell>
          <cell r="BK53">
            <v>0.1</v>
          </cell>
          <cell r="BL53">
            <v>0.12</v>
          </cell>
          <cell r="BM53">
            <v>0.08</v>
          </cell>
          <cell r="BN53">
            <v>0.1</v>
          </cell>
          <cell r="BO53">
            <v>0.12</v>
          </cell>
          <cell r="BP53">
            <v>0.08</v>
          </cell>
          <cell r="BQ53">
            <v>0.1</v>
          </cell>
          <cell r="BR53">
            <v>0.12</v>
          </cell>
          <cell r="BS53">
            <v>0.08</v>
          </cell>
          <cell r="BT53">
            <v>0.1</v>
          </cell>
          <cell r="BU53">
            <v>0.12</v>
          </cell>
          <cell r="BV53">
            <v>0.08</v>
          </cell>
          <cell r="BW53">
            <v>0.1</v>
          </cell>
          <cell r="BX53">
            <v>0.12</v>
          </cell>
          <cell r="BY53">
            <v>0.08</v>
          </cell>
          <cell r="BZ53">
            <v>0.1</v>
          </cell>
          <cell r="CA53">
            <v>0.12</v>
          </cell>
          <cell r="CB53">
            <v>0.08</v>
          </cell>
          <cell r="CC53">
            <v>0.1</v>
          </cell>
          <cell r="CD53">
            <v>0.12</v>
          </cell>
          <cell r="CE53">
            <v>0.08</v>
          </cell>
          <cell r="CF53">
            <v>0.1</v>
          </cell>
          <cell r="CG53">
            <v>0.12</v>
          </cell>
          <cell r="CH53">
            <v>0.08</v>
          </cell>
          <cell r="CI53">
            <v>0.1</v>
          </cell>
          <cell r="CJ53">
            <v>0.12</v>
          </cell>
          <cell r="CK53">
            <v>0.08</v>
          </cell>
          <cell r="CL53">
            <v>0.1</v>
          </cell>
          <cell r="CM53">
            <v>0.12</v>
          </cell>
          <cell r="CN53">
            <v>0.08</v>
          </cell>
          <cell r="CO53">
            <v>0.1</v>
          </cell>
          <cell r="CP53">
            <v>0.12</v>
          </cell>
          <cell r="CQ53">
            <v>0.08</v>
          </cell>
          <cell r="CR53">
            <v>0.1</v>
          </cell>
          <cell r="CS53">
            <v>0.12</v>
          </cell>
          <cell r="CV53">
            <v>0.06</v>
          </cell>
          <cell r="CW53">
            <v>0.05</v>
          </cell>
          <cell r="CX53">
            <v>0.04</v>
          </cell>
          <cell r="CY53">
            <v>0.06</v>
          </cell>
          <cell r="CZ53">
            <v>0.05</v>
          </cell>
          <cell r="DA53">
            <v>0.04</v>
          </cell>
          <cell r="DB53">
            <v>0.06</v>
          </cell>
          <cell r="DC53">
            <v>0.05</v>
          </cell>
          <cell r="DD53">
            <v>0.04</v>
          </cell>
          <cell r="DE53">
            <v>0.06</v>
          </cell>
          <cell r="DF53">
            <v>0.05</v>
          </cell>
          <cell r="DG53">
            <v>0.04</v>
          </cell>
          <cell r="DH53">
            <v>0.06</v>
          </cell>
          <cell r="DI53">
            <v>0.05</v>
          </cell>
          <cell r="DJ53">
            <v>0.04</v>
          </cell>
          <cell r="DK53">
            <v>0.06</v>
          </cell>
          <cell r="DL53">
            <v>0.05</v>
          </cell>
          <cell r="DM53">
            <v>0.04</v>
          </cell>
          <cell r="DN53">
            <v>0.06</v>
          </cell>
          <cell r="DO53">
            <v>0.05</v>
          </cell>
          <cell r="DP53">
            <v>0.04</v>
          </cell>
          <cell r="DQ53">
            <v>0.06</v>
          </cell>
          <cell r="DR53">
            <v>0.05</v>
          </cell>
          <cell r="DS53">
            <v>0.04</v>
          </cell>
          <cell r="DT53">
            <v>0.06</v>
          </cell>
          <cell r="DU53">
            <v>0.05</v>
          </cell>
          <cell r="DV53">
            <v>0.04</v>
          </cell>
          <cell r="DW53">
            <v>0.06</v>
          </cell>
          <cell r="DX53">
            <v>0.05</v>
          </cell>
          <cell r="DY53">
            <v>0.04</v>
          </cell>
          <cell r="DZ53">
            <v>0.06</v>
          </cell>
          <cell r="EA53">
            <v>0.05</v>
          </cell>
          <cell r="EB53">
            <v>0.04</v>
          </cell>
          <cell r="EC53">
            <v>0.06</v>
          </cell>
          <cell r="ED53">
            <v>0.05</v>
          </cell>
          <cell r="EE53">
            <v>0.04</v>
          </cell>
          <cell r="EG53">
            <v>0.05</v>
          </cell>
          <cell r="EH53">
            <v>0.05</v>
          </cell>
          <cell r="EI53">
            <v>0.05</v>
          </cell>
          <cell r="EJ53">
            <v>0.05</v>
          </cell>
          <cell r="EK53">
            <v>0.05</v>
          </cell>
          <cell r="EL53">
            <v>0.05</v>
          </cell>
          <cell r="EM53">
            <v>0.05</v>
          </cell>
          <cell r="EN53">
            <v>0.05</v>
          </cell>
          <cell r="EO53">
            <v>0.05</v>
          </cell>
          <cell r="EP53">
            <v>0.05</v>
          </cell>
          <cell r="EQ53">
            <v>0.05</v>
          </cell>
          <cell r="ER53">
            <v>0.05</v>
          </cell>
          <cell r="ES53">
            <v>0.05</v>
          </cell>
          <cell r="EU53">
            <v>0.1</v>
          </cell>
          <cell r="EV53">
            <v>0.1</v>
          </cell>
          <cell r="EW53">
            <v>0.1</v>
          </cell>
          <cell r="EX53">
            <v>0.1</v>
          </cell>
          <cell r="EY53">
            <v>0.1</v>
          </cell>
          <cell r="EZ53">
            <v>0.1</v>
          </cell>
          <cell r="FA53">
            <v>0.1</v>
          </cell>
          <cell r="FB53">
            <v>0.1</v>
          </cell>
          <cell r="FC53">
            <v>0.1</v>
          </cell>
          <cell r="FD53">
            <v>0.1</v>
          </cell>
          <cell r="FE53">
            <v>0.1</v>
          </cell>
          <cell r="FF53">
            <v>0.1</v>
          </cell>
          <cell r="FG53">
            <v>0.1</v>
          </cell>
        </row>
        <row r="54">
          <cell r="C54"/>
          <cell r="D54" t="str">
            <v/>
          </cell>
          <cell r="G54">
            <v>0.05</v>
          </cell>
          <cell r="H54">
            <v>0.05</v>
          </cell>
          <cell r="I54">
            <v>0.05</v>
          </cell>
          <cell r="J54">
            <v>0.05</v>
          </cell>
          <cell r="K54">
            <v>0.05</v>
          </cell>
          <cell r="L54">
            <v>0.05</v>
          </cell>
          <cell r="M54">
            <v>0.05</v>
          </cell>
          <cell r="N54">
            <v>0.05</v>
          </cell>
          <cell r="O54">
            <v>0.05</v>
          </cell>
          <cell r="P54">
            <v>0.05</v>
          </cell>
          <cell r="Q54">
            <v>0.05</v>
          </cell>
          <cell r="R54">
            <v>0.05</v>
          </cell>
          <cell r="U54">
            <v>0.5</v>
          </cell>
          <cell r="V54">
            <v>0</v>
          </cell>
          <cell r="W54">
            <v>0.5</v>
          </cell>
          <cell r="X54">
            <v>0.5</v>
          </cell>
          <cell r="Y54">
            <v>0</v>
          </cell>
          <cell r="Z54">
            <v>0.5</v>
          </cell>
          <cell r="AA54">
            <v>0.5</v>
          </cell>
          <cell r="AB54">
            <v>0</v>
          </cell>
          <cell r="AC54">
            <v>0.5</v>
          </cell>
          <cell r="AD54">
            <v>0.5</v>
          </cell>
          <cell r="AE54">
            <v>0</v>
          </cell>
          <cell r="AF54">
            <v>0.5</v>
          </cell>
          <cell r="AG54">
            <v>0.5</v>
          </cell>
          <cell r="AH54">
            <v>0</v>
          </cell>
          <cell r="AI54">
            <v>0.5</v>
          </cell>
          <cell r="AJ54">
            <v>0.5</v>
          </cell>
          <cell r="AK54">
            <v>0</v>
          </cell>
          <cell r="AL54">
            <v>0.5</v>
          </cell>
          <cell r="AM54">
            <v>0.5</v>
          </cell>
          <cell r="AN54">
            <v>0</v>
          </cell>
          <cell r="AO54">
            <v>0.5</v>
          </cell>
          <cell r="AP54">
            <v>0.5</v>
          </cell>
          <cell r="AQ54">
            <v>0</v>
          </cell>
          <cell r="AR54">
            <v>0.5</v>
          </cell>
          <cell r="AS54">
            <v>0.5</v>
          </cell>
          <cell r="AT54">
            <v>0</v>
          </cell>
          <cell r="AU54">
            <v>0.5</v>
          </cell>
          <cell r="AV54">
            <v>0.5</v>
          </cell>
          <cell r="AW54">
            <v>0</v>
          </cell>
          <cell r="AX54">
            <v>0.5</v>
          </cell>
          <cell r="AY54">
            <v>0.5</v>
          </cell>
          <cell r="AZ54">
            <v>0</v>
          </cell>
          <cell r="BA54">
            <v>0.5</v>
          </cell>
          <cell r="BB54">
            <v>0.5</v>
          </cell>
          <cell r="BC54">
            <v>0</v>
          </cell>
          <cell r="BD54">
            <v>0.5</v>
          </cell>
          <cell r="BG54">
            <v>0.08</v>
          </cell>
          <cell r="BH54">
            <v>0.1</v>
          </cell>
          <cell r="BI54">
            <v>0.12</v>
          </cell>
          <cell r="BJ54">
            <v>0.08</v>
          </cell>
          <cell r="BK54">
            <v>0.1</v>
          </cell>
          <cell r="BL54">
            <v>0.12</v>
          </cell>
          <cell r="BM54">
            <v>0.08</v>
          </cell>
          <cell r="BN54">
            <v>0.1</v>
          </cell>
          <cell r="BO54">
            <v>0.12</v>
          </cell>
          <cell r="BP54">
            <v>0.08</v>
          </cell>
          <cell r="BQ54">
            <v>0.1</v>
          </cell>
          <cell r="BR54">
            <v>0.12</v>
          </cell>
          <cell r="BS54">
            <v>0.08</v>
          </cell>
          <cell r="BT54">
            <v>0.1</v>
          </cell>
          <cell r="BU54">
            <v>0.12</v>
          </cell>
          <cell r="BV54">
            <v>0.08</v>
          </cell>
          <cell r="BW54">
            <v>0.1</v>
          </cell>
          <cell r="BX54">
            <v>0.12</v>
          </cell>
          <cell r="BY54">
            <v>0.08</v>
          </cell>
          <cell r="BZ54">
            <v>0.1</v>
          </cell>
          <cell r="CA54">
            <v>0.12</v>
          </cell>
          <cell r="CB54">
            <v>0.08</v>
          </cell>
          <cell r="CC54">
            <v>0.1</v>
          </cell>
          <cell r="CD54">
            <v>0.12</v>
          </cell>
          <cell r="CE54">
            <v>0.08</v>
          </cell>
          <cell r="CF54">
            <v>0.1</v>
          </cell>
          <cell r="CG54">
            <v>0.12</v>
          </cell>
          <cell r="CH54">
            <v>0.08</v>
          </cell>
          <cell r="CI54">
            <v>0.1</v>
          </cell>
          <cell r="CJ54">
            <v>0.12</v>
          </cell>
          <cell r="CK54">
            <v>0.08</v>
          </cell>
          <cell r="CL54">
            <v>0.1</v>
          </cell>
          <cell r="CM54">
            <v>0.12</v>
          </cell>
          <cell r="CN54">
            <v>0.08</v>
          </cell>
          <cell r="CO54">
            <v>0.1</v>
          </cell>
          <cell r="CP54">
            <v>0.12</v>
          </cell>
          <cell r="CQ54">
            <v>0.08</v>
          </cell>
          <cell r="CR54">
            <v>0.1</v>
          </cell>
          <cell r="CS54">
            <v>0.12</v>
          </cell>
          <cell r="CV54">
            <v>0.06</v>
          </cell>
          <cell r="CW54">
            <v>0.05</v>
          </cell>
          <cell r="CX54">
            <v>0.04</v>
          </cell>
          <cell r="CY54">
            <v>0.06</v>
          </cell>
          <cell r="CZ54">
            <v>0.05</v>
          </cell>
          <cell r="DA54">
            <v>0.04</v>
          </cell>
          <cell r="DB54">
            <v>0.06</v>
          </cell>
          <cell r="DC54">
            <v>0.05</v>
          </cell>
          <cell r="DD54">
            <v>0.04</v>
          </cell>
          <cell r="DE54">
            <v>0.06</v>
          </cell>
          <cell r="DF54">
            <v>0.05</v>
          </cell>
          <cell r="DG54">
            <v>0.04</v>
          </cell>
          <cell r="DH54">
            <v>0.06</v>
          </cell>
          <cell r="DI54">
            <v>0.05</v>
          </cell>
          <cell r="DJ54">
            <v>0.04</v>
          </cell>
          <cell r="DK54">
            <v>0.06</v>
          </cell>
          <cell r="DL54">
            <v>0.05</v>
          </cell>
          <cell r="DM54">
            <v>0.04</v>
          </cell>
          <cell r="DN54">
            <v>0.06</v>
          </cell>
          <cell r="DO54">
            <v>0.05</v>
          </cell>
          <cell r="DP54">
            <v>0.04</v>
          </cell>
          <cell r="DQ54">
            <v>0.06</v>
          </cell>
          <cell r="DR54">
            <v>0.05</v>
          </cell>
          <cell r="DS54">
            <v>0.04</v>
          </cell>
          <cell r="DT54">
            <v>0.06</v>
          </cell>
          <cell r="DU54">
            <v>0.05</v>
          </cell>
          <cell r="DV54">
            <v>0.04</v>
          </cell>
          <cell r="DW54">
            <v>0.06</v>
          </cell>
          <cell r="DX54">
            <v>0.05</v>
          </cell>
          <cell r="DY54">
            <v>0.04</v>
          </cell>
          <cell r="DZ54">
            <v>0.06</v>
          </cell>
          <cell r="EA54">
            <v>0.05</v>
          </cell>
          <cell r="EB54">
            <v>0.04</v>
          </cell>
          <cell r="EC54">
            <v>0.06</v>
          </cell>
          <cell r="ED54">
            <v>0.05</v>
          </cell>
          <cell r="EE54">
            <v>0.04</v>
          </cell>
          <cell r="EG54">
            <v>0.05</v>
          </cell>
          <cell r="EH54">
            <v>0.05</v>
          </cell>
          <cell r="EI54">
            <v>0.05</v>
          </cell>
          <cell r="EJ54">
            <v>0.05</v>
          </cell>
          <cell r="EK54">
            <v>0.05</v>
          </cell>
          <cell r="EL54">
            <v>0.05</v>
          </cell>
          <cell r="EM54">
            <v>0.05</v>
          </cell>
          <cell r="EN54">
            <v>0.05</v>
          </cell>
          <cell r="EO54">
            <v>0.05</v>
          </cell>
          <cell r="EP54">
            <v>0.05</v>
          </cell>
          <cell r="EQ54">
            <v>0.05</v>
          </cell>
          <cell r="ER54">
            <v>0.05</v>
          </cell>
          <cell r="ES54">
            <v>0.05</v>
          </cell>
          <cell r="EU54">
            <v>0.1</v>
          </cell>
          <cell r="EV54">
            <v>0.1</v>
          </cell>
          <cell r="EW54">
            <v>0.1</v>
          </cell>
          <cell r="EX54">
            <v>0.1</v>
          </cell>
          <cell r="EY54">
            <v>0.1</v>
          </cell>
          <cell r="EZ54">
            <v>0.1</v>
          </cell>
          <cell r="FA54">
            <v>0.1</v>
          </cell>
          <cell r="FB54">
            <v>0.1</v>
          </cell>
          <cell r="FC54">
            <v>0.1</v>
          </cell>
          <cell r="FD54">
            <v>0.1</v>
          </cell>
          <cell r="FE54">
            <v>0.1</v>
          </cell>
          <cell r="FF54">
            <v>0.1</v>
          </cell>
          <cell r="FG54">
            <v>0.1</v>
          </cell>
        </row>
        <row r="55">
          <cell r="C55" t="str">
            <v>JEEP Cherokee Limited HEV 1.6T AWD</v>
          </cell>
          <cell r="D55" t="str">
            <v>JEEP Cherokee Limited HEV 1.6T AWD</v>
          </cell>
          <cell r="G55">
            <v>0.05</v>
          </cell>
          <cell r="H55">
            <v>0.05</v>
          </cell>
          <cell r="I55">
            <v>0.05</v>
          </cell>
          <cell r="J55">
            <v>0.05</v>
          </cell>
          <cell r="K55">
            <v>0.05</v>
          </cell>
          <cell r="L55">
            <v>0.05</v>
          </cell>
          <cell r="M55">
            <v>0.05</v>
          </cell>
          <cell r="N55">
            <v>0.05</v>
          </cell>
          <cell r="O55">
            <v>0.05</v>
          </cell>
          <cell r="P55">
            <v>0.05</v>
          </cell>
          <cell r="Q55">
            <v>0.05</v>
          </cell>
          <cell r="R55">
            <v>0.05</v>
          </cell>
          <cell r="U55">
            <v>0.5</v>
          </cell>
          <cell r="V55">
            <v>0</v>
          </cell>
          <cell r="W55">
            <v>0.5</v>
          </cell>
          <cell r="X55">
            <v>0.5</v>
          </cell>
          <cell r="Y55">
            <v>0</v>
          </cell>
          <cell r="Z55">
            <v>0.5</v>
          </cell>
          <cell r="AA55">
            <v>0.5</v>
          </cell>
          <cell r="AB55">
            <v>0</v>
          </cell>
          <cell r="AC55">
            <v>0.5</v>
          </cell>
          <cell r="AD55">
            <v>0.5</v>
          </cell>
          <cell r="AE55">
            <v>0</v>
          </cell>
          <cell r="AF55">
            <v>0.5</v>
          </cell>
          <cell r="AG55">
            <v>0.5</v>
          </cell>
          <cell r="AH55">
            <v>0</v>
          </cell>
          <cell r="AI55">
            <v>0.5</v>
          </cell>
          <cell r="AJ55">
            <v>0.5</v>
          </cell>
          <cell r="AK55">
            <v>0</v>
          </cell>
          <cell r="AL55">
            <v>0.5</v>
          </cell>
          <cell r="AM55">
            <v>0.5</v>
          </cell>
          <cell r="AN55">
            <v>0</v>
          </cell>
          <cell r="AO55">
            <v>0.5</v>
          </cell>
          <cell r="AP55">
            <v>0.5</v>
          </cell>
          <cell r="AQ55">
            <v>0</v>
          </cell>
          <cell r="AR55">
            <v>0.5</v>
          </cell>
          <cell r="AS55">
            <v>0.5</v>
          </cell>
          <cell r="AT55">
            <v>0</v>
          </cell>
          <cell r="AU55">
            <v>0.5</v>
          </cell>
          <cell r="AV55">
            <v>0.5</v>
          </cell>
          <cell r="AW55">
            <v>0</v>
          </cell>
          <cell r="AX55">
            <v>0.5</v>
          </cell>
          <cell r="AY55">
            <v>0.5</v>
          </cell>
          <cell r="AZ55">
            <v>0</v>
          </cell>
          <cell r="BA55">
            <v>0.5</v>
          </cell>
          <cell r="BB55">
            <v>0.5</v>
          </cell>
          <cell r="BC55">
            <v>0</v>
          </cell>
          <cell r="BD55">
            <v>0.5</v>
          </cell>
          <cell r="BG55">
            <v>0.08</v>
          </cell>
          <cell r="BH55">
            <v>0.1</v>
          </cell>
          <cell r="BI55">
            <v>0.12</v>
          </cell>
          <cell r="BJ55">
            <v>0.08</v>
          </cell>
          <cell r="BK55">
            <v>0.1</v>
          </cell>
          <cell r="BL55">
            <v>0.12</v>
          </cell>
          <cell r="BM55">
            <v>0.08</v>
          </cell>
          <cell r="BN55">
            <v>0.1</v>
          </cell>
          <cell r="BO55">
            <v>0.12</v>
          </cell>
          <cell r="BP55">
            <v>0.08</v>
          </cell>
          <cell r="BQ55">
            <v>0.1</v>
          </cell>
          <cell r="BR55">
            <v>0.12</v>
          </cell>
          <cell r="BS55">
            <v>0.08</v>
          </cell>
          <cell r="BT55">
            <v>0.1</v>
          </cell>
          <cell r="BU55">
            <v>0.12</v>
          </cell>
          <cell r="BV55">
            <v>0.08</v>
          </cell>
          <cell r="BW55">
            <v>0.1</v>
          </cell>
          <cell r="BX55">
            <v>0.12</v>
          </cell>
          <cell r="BY55">
            <v>0.08</v>
          </cell>
          <cell r="BZ55">
            <v>0.1</v>
          </cell>
          <cell r="CA55">
            <v>0.12</v>
          </cell>
          <cell r="CB55">
            <v>0.08</v>
          </cell>
          <cell r="CC55">
            <v>0.1</v>
          </cell>
          <cell r="CD55">
            <v>0.12</v>
          </cell>
          <cell r="CE55">
            <v>0.08</v>
          </cell>
          <cell r="CF55">
            <v>0.1</v>
          </cell>
          <cell r="CG55">
            <v>0.12</v>
          </cell>
          <cell r="CH55">
            <v>0.08</v>
          </cell>
          <cell r="CI55">
            <v>0.1</v>
          </cell>
          <cell r="CJ55">
            <v>0.12</v>
          </cell>
          <cell r="CK55">
            <v>0.08</v>
          </cell>
          <cell r="CL55">
            <v>0.1</v>
          </cell>
          <cell r="CM55">
            <v>0.12</v>
          </cell>
          <cell r="CN55">
            <v>0.08</v>
          </cell>
          <cell r="CO55">
            <v>0.1</v>
          </cell>
          <cell r="CP55">
            <v>0.12</v>
          </cell>
          <cell r="CQ55">
            <v>0.08</v>
          </cell>
          <cell r="CR55">
            <v>0.1</v>
          </cell>
          <cell r="CS55">
            <v>0.12</v>
          </cell>
          <cell r="CV55">
            <v>5.5E-2</v>
          </cell>
          <cell r="CW55">
            <v>4.4999999999999998E-2</v>
          </cell>
          <cell r="CX55">
            <v>0.03</v>
          </cell>
          <cell r="CY55">
            <v>5.5E-2</v>
          </cell>
          <cell r="CZ55">
            <v>4.4999999999999998E-2</v>
          </cell>
          <cell r="DA55">
            <v>0.03</v>
          </cell>
          <cell r="DB55">
            <v>5.5E-2</v>
          </cell>
          <cell r="DC55">
            <v>4.4999999999999998E-2</v>
          </cell>
          <cell r="DD55">
            <v>0.03</v>
          </cell>
          <cell r="DE55">
            <v>5.5E-2</v>
          </cell>
          <cell r="DF55">
            <v>4.4999999999999998E-2</v>
          </cell>
          <cell r="DG55">
            <v>0.03</v>
          </cell>
          <cell r="DH55">
            <v>5.5E-2</v>
          </cell>
          <cell r="DI55">
            <v>4.4999999999999998E-2</v>
          </cell>
          <cell r="DJ55">
            <v>0.03</v>
          </cell>
          <cell r="DK55">
            <v>5.5E-2</v>
          </cell>
          <cell r="DL55">
            <v>4.4999999999999998E-2</v>
          </cell>
          <cell r="DM55">
            <v>0.03</v>
          </cell>
          <cell r="DN55">
            <v>5.5E-2</v>
          </cell>
          <cell r="DO55">
            <v>4.4999999999999998E-2</v>
          </cell>
          <cell r="DP55">
            <v>0.03</v>
          </cell>
          <cell r="DQ55">
            <v>5.5E-2</v>
          </cell>
          <cell r="DR55">
            <v>4.4999999999999998E-2</v>
          </cell>
          <cell r="DS55">
            <v>0.03</v>
          </cell>
          <cell r="DT55">
            <v>5.5E-2</v>
          </cell>
          <cell r="DU55">
            <v>4.4999999999999998E-2</v>
          </cell>
          <cell r="DV55">
            <v>0.03</v>
          </cell>
          <cell r="DW55">
            <v>5.5E-2</v>
          </cell>
          <cell r="DX55">
            <v>4.4999999999999998E-2</v>
          </cell>
          <cell r="DY55">
            <v>0.03</v>
          </cell>
          <cell r="DZ55">
            <v>5.5E-2</v>
          </cell>
          <cell r="EA55">
            <v>4.4999999999999998E-2</v>
          </cell>
          <cell r="EB55">
            <v>0.03</v>
          </cell>
          <cell r="EC55">
            <v>5.5E-2</v>
          </cell>
          <cell r="ED55">
            <v>4.4999999999999998E-2</v>
          </cell>
          <cell r="EE55">
            <v>0.03</v>
          </cell>
          <cell r="EG55">
            <v>4.2499999999999996E-2</v>
          </cell>
          <cell r="EH55">
            <v>4.2499999999999996E-2</v>
          </cell>
          <cell r="EI55">
            <v>4.2499999999999996E-2</v>
          </cell>
          <cell r="EJ55">
            <v>4.2499999999999996E-2</v>
          </cell>
          <cell r="EK55">
            <v>4.2499999999999996E-2</v>
          </cell>
          <cell r="EL55">
            <v>4.2499999999999996E-2</v>
          </cell>
          <cell r="EM55">
            <v>4.2499999999999996E-2</v>
          </cell>
          <cell r="EN55">
            <v>4.2499999999999996E-2</v>
          </cell>
          <cell r="EO55">
            <v>4.2499999999999996E-2</v>
          </cell>
          <cell r="EP55">
            <v>4.2499999999999996E-2</v>
          </cell>
          <cell r="EQ55">
            <v>4.2499999999999996E-2</v>
          </cell>
          <cell r="ER55">
            <v>4.2499999999999996E-2</v>
          </cell>
          <cell r="ES55">
            <v>4.2499999999999996E-2</v>
          </cell>
          <cell r="EU55">
            <v>0.1</v>
          </cell>
          <cell r="EV55">
            <v>0.1</v>
          </cell>
          <cell r="EW55">
            <v>0.1</v>
          </cell>
          <cell r="EX55">
            <v>0.1</v>
          </cell>
          <cell r="EY55">
            <v>0.1</v>
          </cell>
          <cell r="EZ55">
            <v>0.1</v>
          </cell>
          <cell r="FA55">
            <v>0.1</v>
          </cell>
          <cell r="FB55">
            <v>0.1</v>
          </cell>
          <cell r="FC55">
            <v>0.1</v>
          </cell>
          <cell r="FD55">
            <v>0.1</v>
          </cell>
          <cell r="FE55">
            <v>0.1</v>
          </cell>
          <cell r="FF55">
            <v>0.1</v>
          </cell>
          <cell r="FG55">
            <v>0.1</v>
          </cell>
        </row>
        <row r="56">
          <cell r="C56" t="str">
            <v>JEEP Cherokee Overland HEV 1.6T AWD</v>
          </cell>
          <cell r="D56" t="str">
            <v>JEEP Cherokee Overland HEV 1.6T AWD</v>
          </cell>
          <cell r="G56">
            <v>0.05</v>
          </cell>
          <cell r="H56">
            <v>0.05</v>
          </cell>
          <cell r="I56">
            <v>0.05</v>
          </cell>
          <cell r="J56">
            <v>0.05</v>
          </cell>
          <cell r="K56">
            <v>0.05</v>
          </cell>
          <cell r="L56">
            <v>0.05</v>
          </cell>
          <cell r="M56">
            <v>0.05</v>
          </cell>
          <cell r="N56">
            <v>0.05</v>
          </cell>
          <cell r="O56">
            <v>0.05</v>
          </cell>
          <cell r="P56">
            <v>0.05</v>
          </cell>
          <cell r="Q56">
            <v>0.05</v>
          </cell>
          <cell r="R56">
            <v>0.05</v>
          </cell>
          <cell r="U56">
            <v>0.5</v>
          </cell>
          <cell r="V56">
            <v>0</v>
          </cell>
          <cell r="W56">
            <v>0.5</v>
          </cell>
          <cell r="X56">
            <v>0.5</v>
          </cell>
          <cell r="Y56">
            <v>0</v>
          </cell>
          <cell r="Z56">
            <v>0.5</v>
          </cell>
          <cell r="AA56">
            <v>0.5</v>
          </cell>
          <cell r="AB56">
            <v>0</v>
          </cell>
          <cell r="AC56">
            <v>0.5</v>
          </cell>
          <cell r="AD56">
            <v>0.5</v>
          </cell>
          <cell r="AE56">
            <v>0</v>
          </cell>
          <cell r="AF56">
            <v>0.5</v>
          </cell>
          <cell r="AG56">
            <v>0.5</v>
          </cell>
          <cell r="AH56">
            <v>0</v>
          </cell>
          <cell r="AI56">
            <v>0.5</v>
          </cell>
          <cell r="AJ56">
            <v>0.5</v>
          </cell>
          <cell r="AK56">
            <v>0</v>
          </cell>
          <cell r="AL56">
            <v>0.5</v>
          </cell>
          <cell r="AM56">
            <v>0.5</v>
          </cell>
          <cell r="AN56">
            <v>0</v>
          </cell>
          <cell r="AO56">
            <v>0.5</v>
          </cell>
          <cell r="AP56">
            <v>0.5</v>
          </cell>
          <cell r="AQ56">
            <v>0</v>
          </cell>
          <cell r="AR56">
            <v>0.5</v>
          </cell>
          <cell r="AS56">
            <v>0.5</v>
          </cell>
          <cell r="AT56">
            <v>0</v>
          </cell>
          <cell r="AU56">
            <v>0.5</v>
          </cell>
          <cell r="AV56">
            <v>0.5</v>
          </cell>
          <cell r="AW56">
            <v>0</v>
          </cell>
          <cell r="AX56">
            <v>0.5</v>
          </cell>
          <cell r="AY56">
            <v>0.5</v>
          </cell>
          <cell r="AZ56">
            <v>0</v>
          </cell>
          <cell r="BA56">
            <v>0.5</v>
          </cell>
          <cell r="BB56">
            <v>0.5</v>
          </cell>
          <cell r="BC56">
            <v>0</v>
          </cell>
          <cell r="BD56">
            <v>0.5</v>
          </cell>
          <cell r="BG56">
            <v>0.08</v>
          </cell>
          <cell r="BH56">
            <v>0.1</v>
          </cell>
          <cell r="BI56">
            <v>0.12</v>
          </cell>
          <cell r="BJ56">
            <v>0.08</v>
          </cell>
          <cell r="BK56">
            <v>0.1</v>
          </cell>
          <cell r="BL56">
            <v>0.12</v>
          </cell>
          <cell r="BM56">
            <v>0.08</v>
          </cell>
          <cell r="BN56">
            <v>0.1</v>
          </cell>
          <cell r="BO56">
            <v>0.12</v>
          </cell>
          <cell r="BP56">
            <v>0.08</v>
          </cell>
          <cell r="BQ56">
            <v>0.1</v>
          </cell>
          <cell r="BR56">
            <v>0.12</v>
          </cell>
          <cell r="BS56">
            <v>0.08</v>
          </cell>
          <cell r="BT56">
            <v>0.1</v>
          </cell>
          <cell r="BU56">
            <v>0.12</v>
          </cell>
          <cell r="BV56">
            <v>0.08</v>
          </cell>
          <cell r="BW56">
            <v>0.1</v>
          </cell>
          <cell r="BX56">
            <v>0.12</v>
          </cell>
          <cell r="BY56">
            <v>0.08</v>
          </cell>
          <cell r="BZ56">
            <v>0.1</v>
          </cell>
          <cell r="CA56">
            <v>0.12</v>
          </cell>
          <cell r="CB56">
            <v>0.08</v>
          </cell>
          <cell r="CC56">
            <v>0.1</v>
          </cell>
          <cell r="CD56">
            <v>0.12</v>
          </cell>
          <cell r="CE56">
            <v>0.08</v>
          </cell>
          <cell r="CF56">
            <v>0.1</v>
          </cell>
          <cell r="CG56">
            <v>0.12</v>
          </cell>
          <cell r="CH56">
            <v>0.08</v>
          </cell>
          <cell r="CI56">
            <v>0.1</v>
          </cell>
          <cell r="CJ56">
            <v>0.12</v>
          </cell>
          <cell r="CK56">
            <v>0.08</v>
          </cell>
          <cell r="CL56">
            <v>0.1</v>
          </cell>
          <cell r="CM56">
            <v>0.12</v>
          </cell>
          <cell r="CN56">
            <v>0.08</v>
          </cell>
          <cell r="CO56">
            <v>0.1</v>
          </cell>
          <cell r="CP56">
            <v>0.12</v>
          </cell>
          <cell r="CQ56">
            <v>0.08</v>
          </cell>
          <cell r="CR56">
            <v>0.1</v>
          </cell>
          <cell r="CS56">
            <v>0.12</v>
          </cell>
          <cell r="CV56">
            <v>5.5E-2</v>
          </cell>
          <cell r="CW56">
            <v>4.4999999999999998E-2</v>
          </cell>
          <cell r="CX56">
            <v>0.03</v>
          </cell>
          <cell r="CY56">
            <v>5.5E-2</v>
          </cell>
          <cell r="CZ56">
            <v>4.4999999999999998E-2</v>
          </cell>
          <cell r="DA56">
            <v>0.03</v>
          </cell>
          <cell r="DB56">
            <v>5.5E-2</v>
          </cell>
          <cell r="DC56">
            <v>4.4999999999999998E-2</v>
          </cell>
          <cell r="DD56">
            <v>0.03</v>
          </cell>
          <cell r="DE56">
            <v>5.5E-2</v>
          </cell>
          <cell r="DF56">
            <v>4.4999999999999998E-2</v>
          </cell>
          <cell r="DG56">
            <v>0.03</v>
          </cell>
          <cell r="DH56">
            <v>5.5E-2</v>
          </cell>
          <cell r="DI56">
            <v>4.4999999999999998E-2</v>
          </cell>
          <cell r="DJ56">
            <v>0.03</v>
          </cell>
          <cell r="DK56">
            <v>5.5E-2</v>
          </cell>
          <cell r="DL56">
            <v>4.4999999999999998E-2</v>
          </cell>
          <cell r="DM56">
            <v>0.03</v>
          </cell>
          <cell r="DN56">
            <v>5.5E-2</v>
          </cell>
          <cell r="DO56">
            <v>4.4999999999999998E-2</v>
          </cell>
          <cell r="DP56">
            <v>0.03</v>
          </cell>
          <cell r="DQ56">
            <v>5.5E-2</v>
          </cell>
          <cell r="DR56">
            <v>4.4999999999999998E-2</v>
          </cell>
          <cell r="DS56">
            <v>0.03</v>
          </cell>
          <cell r="DT56">
            <v>5.5E-2</v>
          </cell>
          <cell r="DU56">
            <v>4.4999999999999998E-2</v>
          </cell>
          <cell r="DV56">
            <v>0.03</v>
          </cell>
          <cell r="DW56">
            <v>5.5E-2</v>
          </cell>
          <cell r="DX56">
            <v>4.4999999999999998E-2</v>
          </cell>
          <cell r="DY56">
            <v>0.03</v>
          </cell>
          <cell r="DZ56">
            <v>5.5E-2</v>
          </cell>
          <cell r="EA56">
            <v>4.4999999999999998E-2</v>
          </cell>
          <cell r="EB56">
            <v>0.03</v>
          </cell>
          <cell r="EC56">
            <v>5.5E-2</v>
          </cell>
          <cell r="ED56">
            <v>4.4999999999999998E-2</v>
          </cell>
          <cell r="EE56">
            <v>0.03</v>
          </cell>
          <cell r="EG56">
            <v>4.2499999999999996E-2</v>
          </cell>
          <cell r="EH56">
            <v>4.2499999999999996E-2</v>
          </cell>
          <cell r="EI56">
            <v>4.2499999999999996E-2</v>
          </cell>
          <cell r="EJ56">
            <v>4.2499999999999996E-2</v>
          </cell>
          <cell r="EK56">
            <v>4.2499999999999996E-2</v>
          </cell>
          <cell r="EL56">
            <v>4.2499999999999996E-2</v>
          </cell>
          <cell r="EM56">
            <v>4.2499999999999996E-2</v>
          </cell>
          <cell r="EN56">
            <v>4.2499999999999996E-2</v>
          </cell>
          <cell r="EO56">
            <v>4.2499999999999996E-2</v>
          </cell>
          <cell r="EP56">
            <v>4.2499999999999996E-2</v>
          </cell>
          <cell r="EQ56">
            <v>4.2499999999999996E-2</v>
          </cell>
          <cell r="ER56">
            <v>4.2499999999999996E-2</v>
          </cell>
          <cell r="ES56">
            <v>4.2499999999999996E-2</v>
          </cell>
          <cell r="EU56">
            <v>0.1</v>
          </cell>
          <cell r="EV56">
            <v>0.1</v>
          </cell>
          <cell r="EW56">
            <v>0.1</v>
          </cell>
          <cell r="EX56">
            <v>0.1</v>
          </cell>
          <cell r="EY56">
            <v>0.1</v>
          </cell>
          <cell r="EZ56">
            <v>0.1</v>
          </cell>
          <cell r="FA56">
            <v>0.1</v>
          </cell>
          <cell r="FB56">
            <v>0.1</v>
          </cell>
          <cell r="FC56">
            <v>0.1</v>
          </cell>
          <cell r="FD56">
            <v>0.1</v>
          </cell>
          <cell r="FE56">
            <v>0.1</v>
          </cell>
          <cell r="FF56">
            <v>0.1</v>
          </cell>
          <cell r="FG56">
            <v>0.1</v>
          </cell>
        </row>
        <row r="57">
          <cell r="C57"/>
          <cell r="D57" t="str">
            <v/>
          </cell>
          <cell r="G57">
            <v>0.05</v>
          </cell>
          <cell r="H57">
            <v>0.05</v>
          </cell>
          <cell r="I57">
            <v>0.05</v>
          </cell>
          <cell r="J57">
            <v>0.05</v>
          </cell>
          <cell r="K57">
            <v>0.05</v>
          </cell>
          <cell r="L57">
            <v>0.05</v>
          </cell>
          <cell r="M57">
            <v>0.05</v>
          </cell>
          <cell r="N57">
            <v>0.05</v>
          </cell>
          <cell r="O57">
            <v>0.05</v>
          </cell>
          <cell r="P57">
            <v>0.05</v>
          </cell>
          <cell r="Q57">
            <v>0.05</v>
          </cell>
          <cell r="R57">
            <v>0.05</v>
          </cell>
          <cell r="U57">
            <v>0.5</v>
          </cell>
          <cell r="V57">
            <v>0</v>
          </cell>
          <cell r="W57">
            <v>0.5</v>
          </cell>
          <cell r="X57">
            <v>0.5</v>
          </cell>
          <cell r="Y57">
            <v>0</v>
          </cell>
          <cell r="Z57">
            <v>0.5</v>
          </cell>
          <cell r="AA57">
            <v>0.5</v>
          </cell>
          <cell r="AB57">
            <v>0</v>
          </cell>
          <cell r="AC57">
            <v>0.5</v>
          </cell>
          <cell r="AD57">
            <v>0.5</v>
          </cell>
          <cell r="AE57">
            <v>0</v>
          </cell>
          <cell r="AF57">
            <v>0.5</v>
          </cell>
          <cell r="AG57">
            <v>0.5</v>
          </cell>
          <cell r="AH57">
            <v>0</v>
          </cell>
          <cell r="AI57">
            <v>0.5</v>
          </cell>
          <cell r="AJ57">
            <v>0.5</v>
          </cell>
          <cell r="AK57">
            <v>0</v>
          </cell>
          <cell r="AL57">
            <v>0.5</v>
          </cell>
          <cell r="AM57">
            <v>0.5</v>
          </cell>
          <cell r="AN57">
            <v>0</v>
          </cell>
          <cell r="AO57">
            <v>0.5</v>
          </cell>
          <cell r="AP57">
            <v>0.5</v>
          </cell>
          <cell r="AQ57">
            <v>0</v>
          </cell>
          <cell r="AR57">
            <v>0.5</v>
          </cell>
          <cell r="AS57">
            <v>0.5</v>
          </cell>
          <cell r="AT57">
            <v>0</v>
          </cell>
          <cell r="AU57">
            <v>0.5</v>
          </cell>
          <cell r="AV57">
            <v>0.5</v>
          </cell>
          <cell r="AW57">
            <v>0</v>
          </cell>
          <cell r="AX57">
            <v>0.5</v>
          </cell>
          <cell r="AY57">
            <v>0.5</v>
          </cell>
          <cell r="AZ57">
            <v>0</v>
          </cell>
          <cell r="BA57">
            <v>0.5</v>
          </cell>
          <cell r="BB57">
            <v>0.5</v>
          </cell>
          <cell r="BC57">
            <v>0</v>
          </cell>
          <cell r="BD57">
            <v>0.5</v>
          </cell>
          <cell r="BG57">
            <v>0.08</v>
          </cell>
          <cell r="BH57">
            <v>0.1</v>
          </cell>
          <cell r="BI57">
            <v>0.12</v>
          </cell>
          <cell r="BJ57">
            <v>0.08</v>
          </cell>
          <cell r="BK57">
            <v>0.1</v>
          </cell>
          <cell r="BL57">
            <v>0.12</v>
          </cell>
          <cell r="BM57">
            <v>0.08</v>
          </cell>
          <cell r="BN57">
            <v>0.1</v>
          </cell>
          <cell r="BO57">
            <v>0.12</v>
          </cell>
          <cell r="BP57">
            <v>0.08</v>
          </cell>
          <cell r="BQ57">
            <v>0.1</v>
          </cell>
          <cell r="BR57">
            <v>0.12</v>
          </cell>
          <cell r="BS57">
            <v>0.08</v>
          </cell>
          <cell r="BT57">
            <v>0.1</v>
          </cell>
          <cell r="BU57">
            <v>0.12</v>
          </cell>
          <cell r="BV57">
            <v>0.08</v>
          </cell>
          <cell r="BW57">
            <v>0.1</v>
          </cell>
          <cell r="BX57">
            <v>0.12</v>
          </cell>
          <cell r="BY57">
            <v>0.08</v>
          </cell>
          <cell r="BZ57">
            <v>0.1</v>
          </cell>
          <cell r="CA57">
            <v>0.12</v>
          </cell>
          <cell r="CB57">
            <v>0.08</v>
          </cell>
          <cell r="CC57">
            <v>0.1</v>
          </cell>
          <cell r="CD57">
            <v>0.12</v>
          </cell>
          <cell r="CE57">
            <v>0.08</v>
          </cell>
          <cell r="CF57">
            <v>0.1</v>
          </cell>
          <cell r="CG57">
            <v>0.12</v>
          </cell>
          <cell r="CH57">
            <v>0.08</v>
          </cell>
          <cell r="CI57">
            <v>0.1</v>
          </cell>
          <cell r="CJ57">
            <v>0.12</v>
          </cell>
          <cell r="CK57">
            <v>0.08</v>
          </cell>
          <cell r="CL57">
            <v>0.1</v>
          </cell>
          <cell r="CM57">
            <v>0.12</v>
          </cell>
          <cell r="CN57">
            <v>0.08</v>
          </cell>
          <cell r="CO57">
            <v>0.1</v>
          </cell>
          <cell r="CP57">
            <v>0.12</v>
          </cell>
          <cell r="CQ57">
            <v>0.08</v>
          </cell>
          <cell r="CR57">
            <v>0.1</v>
          </cell>
          <cell r="CS57">
            <v>0.12</v>
          </cell>
          <cell r="CV57">
            <v>5.5E-2</v>
          </cell>
          <cell r="CW57">
            <v>4.4999999999999998E-2</v>
          </cell>
          <cell r="CX57">
            <v>0.03</v>
          </cell>
          <cell r="CY57">
            <v>5.5E-2</v>
          </cell>
          <cell r="CZ57">
            <v>4.4999999999999998E-2</v>
          </cell>
          <cell r="DA57">
            <v>0.03</v>
          </cell>
          <cell r="DB57">
            <v>5.5E-2</v>
          </cell>
          <cell r="DC57">
            <v>4.4999999999999998E-2</v>
          </cell>
          <cell r="DD57">
            <v>0.03</v>
          </cell>
          <cell r="DE57">
            <v>5.5E-2</v>
          </cell>
          <cell r="DF57">
            <v>4.4999999999999998E-2</v>
          </cell>
          <cell r="DG57">
            <v>0.03</v>
          </cell>
          <cell r="DH57">
            <v>5.5E-2</v>
          </cell>
          <cell r="DI57">
            <v>4.4999999999999998E-2</v>
          </cell>
          <cell r="DJ57">
            <v>0.03</v>
          </cell>
          <cell r="DK57">
            <v>5.5E-2</v>
          </cell>
          <cell r="DL57">
            <v>4.4999999999999998E-2</v>
          </cell>
          <cell r="DM57">
            <v>0.03</v>
          </cell>
          <cell r="DN57">
            <v>5.5E-2</v>
          </cell>
          <cell r="DO57">
            <v>4.4999999999999998E-2</v>
          </cell>
          <cell r="DP57">
            <v>0.03</v>
          </cell>
          <cell r="DQ57">
            <v>5.5E-2</v>
          </cell>
          <cell r="DR57">
            <v>4.4999999999999998E-2</v>
          </cell>
          <cell r="DS57">
            <v>0.03</v>
          </cell>
          <cell r="DT57">
            <v>5.5E-2</v>
          </cell>
          <cell r="DU57">
            <v>4.4999999999999998E-2</v>
          </cell>
          <cell r="DV57">
            <v>0.03</v>
          </cell>
          <cell r="DW57">
            <v>5.5E-2</v>
          </cell>
          <cell r="DX57">
            <v>4.4999999999999998E-2</v>
          </cell>
          <cell r="DY57">
            <v>0.03</v>
          </cell>
          <cell r="DZ57">
            <v>5.5E-2</v>
          </cell>
          <cell r="EA57">
            <v>4.4999999999999998E-2</v>
          </cell>
          <cell r="EB57">
            <v>0.03</v>
          </cell>
          <cell r="EC57">
            <v>5.5E-2</v>
          </cell>
          <cell r="ED57">
            <v>4.4999999999999998E-2</v>
          </cell>
          <cell r="EE57">
            <v>0.03</v>
          </cell>
          <cell r="EG57">
            <v>4.2499999999999996E-2</v>
          </cell>
          <cell r="EH57">
            <v>4.2499999999999996E-2</v>
          </cell>
          <cell r="EI57">
            <v>4.2499999999999996E-2</v>
          </cell>
          <cell r="EJ57">
            <v>4.2499999999999996E-2</v>
          </cell>
          <cell r="EK57">
            <v>4.2499999999999996E-2</v>
          </cell>
          <cell r="EL57">
            <v>4.2499999999999996E-2</v>
          </cell>
          <cell r="EM57">
            <v>4.2499999999999996E-2</v>
          </cell>
          <cell r="EN57">
            <v>4.2499999999999996E-2</v>
          </cell>
          <cell r="EO57">
            <v>4.2499999999999996E-2</v>
          </cell>
          <cell r="EP57">
            <v>4.2499999999999996E-2</v>
          </cell>
          <cell r="EQ57">
            <v>4.2499999999999996E-2</v>
          </cell>
          <cell r="ER57">
            <v>4.2499999999999996E-2</v>
          </cell>
          <cell r="ES57">
            <v>4.2499999999999996E-2</v>
          </cell>
          <cell r="EU57">
            <v>0.1</v>
          </cell>
          <cell r="EV57">
            <v>0.1</v>
          </cell>
          <cell r="EW57">
            <v>0.1</v>
          </cell>
          <cell r="EX57">
            <v>0.1</v>
          </cell>
          <cell r="EY57">
            <v>0.1</v>
          </cell>
          <cell r="EZ57">
            <v>0.1</v>
          </cell>
          <cell r="FA57">
            <v>0.1</v>
          </cell>
          <cell r="FB57">
            <v>0.1</v>
          </cell>
          <cell r="FC57">
            <v>0.1</v>
          </cell>
          <cell r="FD57">
            <v>0.1</v>
          </cell>
          <cell r="FE57">
            <v>0.1</v>
          </cell>
          <cell r="FF57">
            <v>0.1</v>
          </cell>
          <cell r="FG57">
            <v>0.1</v>
          </cell>
        </row>
        <row r="58">
          <cell r="C58" t="str">
            <v>JEEP GRAND CHEROKEE ALTITUDE 3.6L AT8 4X4</v>
          </cell>
          <cell r="D58" t="str">
            <v>JEEP GRAND CHEROKEE ALTITUDE 3.6L AT8 4X4</v>
          </cell>
          <cell r="G58">
            <v>0.05</v>
          </cell>
          <cell r="H58">
            <v>0.05</v>
          </cell>
          <cell r="I58">
            <v>0.05</v>
          </cell>
          <cell r="J58">
            <v>0.05</v>
          </cell>
          <cell r="K58">
            <v>0.05</v>
          </cell>
          <cell r="L58">
            <v>0.05</v>
          </cell>
          <cell r="M58">
            <v>0.05</v>
          </cell>
          <cell r="N58">
            <v>0.05</v>
          </cell>
          <cell r="O58">
            <v>0.05</v>
          </cell>
          <cell r="P58">
            <v>0.05</v>
          </cell>
          <cell r="Q58">
            <v>0.05</v>
          </cell>
          <cell r="R58">
            <v>0.05</v>
          </cell>
          <cell r="U58">
            <v>0.5</v>
          </cell>
          <cell r="V58">
            <v>0</v>
          </cell>
          <cell r="W58">
            <v>0.5</v>
          </cell>
          <cell r="X58">
            <v>0.5</v>
          </cell>
          <cell r="Y58">
            <v>0</v>
          </cell>
          <cell r="Z58">
            <v>0.5</v>
          </cell>
          <cell r="AA58">
            <v>0.5</v>
          </cell>
          <cell r="AB58">
            <v>0</v>
          </cell>
          <cell r="AC58">
            <v>0.5</v>
          </cell>
          <cell r="AD58">
            <v>0.5</v>
          </cell>
          <cell r="AE58">
            <v>0</v>
          </cell>
          <cell r="AF58">
            <v>0.5</v>
          </cell>
          <cell r="AG58">
            <v>0.5</v>
          </cell>
          <cell r="AH58">
            <v>0</v>
          </cell>
          <cell r="AI58">
            <v>0.5</v>
          </cell>
          <cell r="AJ58">
            <v>0.5</v>
          </cell>
          <cell r="AK58">
            <v>0</v>
          </cell>
          <cell r="AL58">
            <v>0.5</v>
          </cell>
          <cell r="AM58">
            <v>0.5</v>
          </cell>
          <cell r="AN58">
            <v>0</v>
          </cell>
          <cell r="AO58">
            <v>0.5</v>
          </cell>
          <cell r="AP58">
            <v>0.5</v>
          </cell>
          <cell r="AQ58">
            <v>0</v>
          </cell>
          <cell r="AR58">
            <v>0.5</v>
          </cell>
          <cell r="AS58">
            <v>0.5</v>
          </cell>
          <cell r="AT58">
            <v>0</v>
          </cell>
          <cell r="AU58">
            <v>0.5</v>
          </cell>
          <cell r="AV58">
            <v>0.5</v>
          </cell>
          <cell r="AW58">
            <v>0</v>
          </cell>
          <cell r="AX58">
            <v>0.5</v>
          </cell>
          <cell r="AY58">
            <v>0.5</v>
          </cell>
          <cell r="AZ58">
            <v>0</v>
          </cell>
          <cell r="BA58">
            <v>0.5</v>
          </cell>
          <cell r="BB58">
            <v>0.5</v>
          </cell>
          <cell r="BC58">
            <v>0</v>
          </cell>
          <cell r="BD58">
            <v>0.5</v>
          </cell>
          <cell r="BG58">
            <v>0.08</v>
          </cell>
          <cell r="BH58">
            <v>0.1</v>
          </cell>
          <cell r="BI58">
            <v>0.12</v>
          </cell>
          <cell r="BJ58">
            <v>0.08</v>
          </cell>
          <cell r="BK58">
            <v>0.1</v>
          </cell>
          <cell r="BL58">
            <v>0.12</v>
          </cell>
          <cell r="BM58">
            <v>0.08</v>
          </cell>
          <cell r="BN58">
            <v>0.1</v>
          </cell>
          <cell r="BO58">
            <v>0.12</v>
          </cell>
          <cell r="BP58">
            <v>0.08</v>
          </cell>
          <cell r="BQ58">
            <v>0.1</v>
          </cell>
          <cell r="BR58">
            <v>0.12</v>
          </cell>
          <cell r="BS58">
            <v>0.08</v>
          </cell>
          <cell r="BT58">
            <v>0.1</v>
          </cell>
          <cell r="BU58">
            <v>0.12</v>
          </cell>
          <cell r="BV58">
            <v>0.08</v>
          </cell>
          <cell r="BW58">
            <v>0.1</v>
          </cell>
          <cell r="BX58">
            <v>0.12</v>
          </cell>
          <cell r="BY58">
            <v>0.08</v>
          </cell>
          <cell r="BZ58">
            <v>0.1</v>
          </cell>
          <cell r="CA58">
            <v>0.12</v>
          </cell>
          <cell r="CB58">
            <v>0.08</v>
          </cell>
          <cell r="CC58">
            <v>0.1</v>
          </cell>
          <cell r="CD58">
            <v>0.12</v>
          </cell>
          <cell r="CE58">
            <v>0.08</v>
          </cell>
          <cell r="CF58">
            <v>0.1</v>
          </cell>
          <cell r="CG58">
            <v>0.12</v>
          </cell>
          <cell r="CH58">
            <v>0.08</v>
          </cell>
          <cell r="CI58">
            <v>0.1</v>
          </cell>
          <cell r="CJ58">
            <v>0.12</v>
          </cell>
          <cell r="CK58">
            <v>0.08</v>
          </cell>
          <cell r="CL58">
            <v>0.1</v>
          </cell>
          <cell r="CM58">
            <v>0.12</v>
          </cell>
          <cell r="CN58">
            <v>0.08</v>
          </cell>
          <cell r="CO58">
            <v>0.1</v>
          </cell>
          <cell r="CP58">
            <v>0.12</v>
          </cell>
          <cell r="CQ58">
            <v>0.08</v>
          </cell>
          <cell r="CR58">
            <v>0.1</v>
          </cell>
          <cell r="CS58">
            <v>0.12</v>
          </cell>
          <cell r="CV58">
            <v>0.08</v>
          </cell>
          <cell r="CW58">
            <v>7.0000000000000007E-2</v>
          </cell>
          <cell r="CX58">
            <v>0.06</v>
          </cell>
          <cell r="CY58">
            <v>0.08</v>
          </cell>
          <cell r="CZ58">
            <v>7.0000000000000007E-2</v>
          </cell>
          <cell r="DA58">
            <v>0.06</v>
          </cell>
          <cell r="DB58">
            <v>0.08</v>
          </cell>
          <cell r="DC58">
            <v>7.0000000000000007E-2</v>
          </cell>
          <cell r="DD58">
            <v>0.06</v>
          </cell>
          <cell r="DE58">
            <v>0.08</v>
          </cell>
          <cell r="DF58">
            <v>7.0000000000000007E-2</v>
          </cell>
          <cell r="DG58">
            <v>0.06</v>
          </cell>
          <cell r="DH58">
            <v>0.08</v>
          </cell>
          <cell r="DI58">
            <v>7.0000000000000007E-2</v>
          </cell>
          <cell r="DJ58">
            <v>0.06</v>
          </cell>
          <cell r="DK58">
            <v>0.08</v>
          </cell>
          <cell r="DL58">
            <v>7.0000000000000007E-2</v>
          </cell>
          <cell r="DM58">
            <v>0.06</v>
          </cell>
          <cell r="DN58">
            <v>0.08</v>
          </cell>
          <cell r="DO58">
            <v>7.0000000000000007E-2</v>
          </cell>
          <cell r="DP58">
            <v>0.06</v>
          </cell>
          <cell r="DQ58">
            <v>0.08</v>
          </cell>
          <cell r="DR58">
            <v>7.0000000000000007E-2</v>
          </cell>
          <cell r="DS58">
            <v>0.06</v>
          </cell>
          <cell r="DT58">
            <v>0.08</v>
          </cell>
          <cell r="DU58">
            <v>7.0000000000000007E-2</v>
          </cell>
          <cell r="DV58">
            <v>0.06</v>
          </cell>
          <cell r="DW58">
            <v>0.08</v>
          </cell>
          <cell r="DX58">
            <v>7.0000000000000007E-2</v>
          </cell>
          <cell r="DY58">
            <v>0.06</v>
          </cell>
          <cell r="DZ58">
            <v>0.08</v>
          </cell>
          <cell r="EA58">
            <v>7.0000000000000007E-2</v>
          </cell>
          <cell r="EB58">
            <v>0.06</v>
          </cell>
          <cell r="EC58">
            <v>0.08</v>
          </cell>
          <cell r="ED58">
            <v>7.0000000000000007E-2</v>
          </cell>
          <cell r="EE58">
            <v>0.06</v>
          </cell>
          <cell r="EG58">
            <v>5.0000000000000017E-2</v>
          </cell>
          <cell r="EH58">
            <v>5.0000000000000017E-2</v>
          </cell>
          <cell r="EI58">
            <v>5.0000000000000017E-2</v>
          </cell>
          <cell r="EJ58">
            <v>5.0000000000000017E-2</v>
          </cell>
          <cell r="EK58">
            <v>5.0000000000000017E-2</v>
          </cell>
          <cell r="EL58">
            <v>5.0000000000000017E-2</v>
          </cell>
          <cell r="EM58">
            <v>5.0000000000000017E-2</v>
          </cell>
          <cell r="EN58">
            <v>5.0000000000000017E-2</v>
          </cell>
          <cell r="EO58">
            <v>5.0000000000000017E-2</v>
          </cell>
          <cell r="EP58">
            <v>5.0000000000000017E-2</v>
          </cell>
          <cell r="EQ58">
            <v>5.0000000000000017E-2</v>
          </cell>
          <cell r="ER58">
            <v>5.0000000000000017E-2</v>
          </cell>
          <cell r="ES58">
            <v>5.0000000000000017E-2</v>
          </cell>
          <cell r="EU58">
            <v>0.1</v>
          </cell>
          <cell r="EV58">
            <v>0.1</v>
          </cell>
          <cell r="EW58">
            <v>0.1</v>
          </cell>
          <cell r="EX58">
            <v>0.1</v>
          </cell>
          <cell r="EY58">
            <v>0.1</v>
          </cell>
          <cell r="EZ58">
            <v>0.1</v>
          </cell>
          <cell r="FA58">
            <v>0.1</v>
          </cell>
          <cell r="FB58">
            <v>0.1</v>
          </cell>
          <cell r="FC58">
            <v>0.1</v>
          </cell>
          <cell r="FD58">
            <v>0.1</v>
          </cell>
          <cell r="FE58">
            <v>0.1</v>
          </cell>
          <cell r="FF58">
            <v>0.1</v>
          </cell>
          <cell r="FG58">
            <v>0.1</v>
          </cell>
        </row>
        <row r="59">
          <cell r="C59" t="str">
            <v>JEEP GRAND CHEROKEE L LIMITED 3.6L AT8 4X4</v>
          </cell>
          <cell r="D59" t="str">
            <v>JEEP GRAND CHEROKEE L LIMITED 3.6L AT8 4X4</v>
          </cell>
          <cell r="G59">
            <v>0.05</v>
          </cell>
          <cell r="H59">
            <v>0.05</v>
          </cell>
          <cell r="I59">
            <v>0.05</v>
          </cell>
          <cell r="J59">
            <v>0.05</v>
          </cell>
          <cell r="K59">
            <v>0.05</v>
          </cell>
          <cell r="L59">
            <v>0.05</v>
          </cell>
          <cell r="M59">
            <v>0.05</v>
          </cell>
          <cell r="N59">
            <v>0.05</v>
          </cell>
          <cell r="O59">
            <v>0.05</v>
          </cell>
          <cell r="P59">
            <v>0.05</v>
          </cell>
          <cell r="Q59">
            <v>0.05</v>
          </cell>
          <cell r="R59">
            <v>0.05</v>
          </cell>
          <cell r="U59">
            <v>0.5</v>
          </cell>
          <cell r="V59">
            <v>0</v>
          </cell>
          <cell r="W59">
            <v>0.5</v>
          </cell>
          <cell r="X59">
            <v>0.5</v>
          </cell>
          <cell r="Y59">
            <v>0</v>
          </cell>
          <cell r="Z59">
            <v>0.5</v>
          </cell>
          <cell r="AA59">
            <v>0.5</v>
          </cell>
          <cell r="AB59">
            <v>0</v>
          </cell>
          <cell r="AC59">
            <v>0.5</v>
          </cell>
          <cell r="AD59">
            <v>0.5</v>
          </cell>
          <cell r="AE59">
            <v>0</v>
          </cell>
          <cell r="AF59">
            <v>0.5</v>
          </cell>
          <cell r="AG59">
            <v>0.5</v>
          </cell>
          <cell r="AH59">
            <v>0</v>
          </cell>
          <cell r="AI59">
            <v>0.5</v>
          </cell>
          <cell r="AJ59">
            <v>0.5</v>
          </cell>
          <cell r="AK59">
            <v>0</v>
          </cell>
          <cell r="AL59">
            <v>0.5</v>
          </cell>
          <cell r="AM59">
            <v>0.5</v>
          </cell>
          <cell r="AN59">
            <v>0</v>
          </cell>
          <cell r="AO59">
            <v>0.5</v>
          </cell>
          <cell r="AP59">
            <v>0.5</v>
          </cell>
          <cell r="AQ59">
            <v>0</v>
          </cell>
          <cell r="AR59">
            <v>0.5</v>
          </cell>
          <cell r="AS59">
            <v>0.5</v>
          </cell>
          <cell r="AT59">
            <v>0</v>
          </cell>
          <cell r="AU59">
            <v>0.5</v>
          </cell>
          <cell r="AV59">
            <v>0.5</v>
          </cell>
          <cell r="AW59">
            <v>0</v>
          </cell>
          <cell r="AX59">
            <v>0.5</v>
          </cell>
          <cell r="AY59">
            <v>0.5</v>
          </cell>
          <cell r="AZ59">
            <v>0</v>
          </cell>
          <cell r="BA59">
            <v>0.5</v>
          </cell>
          <cell r="BB59">
            <v>0.5</v>
          </cell>
          <cell r="BC59">
            <v>0</v>
          </cell>
          <cell r="BD59">
            <v>0.5</v>
          </cell>
          <cell r="BG59">
            <v>0.08</v>
          </cell>
          <cell r="BH59">
            <v>0.1</v>
          </cell>
          <cell r="BI59">
            <v>0.12</v>
          </cell>
          <cell r="BJ59">
            <v>0.08</v>
          </cell>
          <cell r="BK59">
            <v>0.1</v>
          </cell>
          <cell r="BL59">
            <v>0.12</v>
          </cell>
          <cell r="BM59">
            <v>0.08</v>
          </cell>
          <cell r="BN59">
            <v>0.1</v>
          </cell>
          <cell r="BO59">
            <v>0.12</v>
          </cell>
          <cell r="BP59">
            <v>0.08</v>
          </cell>
          <cell r="BQ59">
            <v>0.1</v>
          </cell>
          <cell r="BR59">
            <v>0.12</v>
          </cell>
          <cell r="BS59">
            <v>0.08</v>
          </cell>
          <cell r="BT59">
            <v>0.1</v>
          </cell>
          <cell r="BU59">
            <v>0.12</v>
          </cell>
          <cell r="BV59">
            <v>0.08</v>
          </cell>
          <cell r="BW59">
            <v>0.1</v>
          </cell>
          <cell r="BX59">
            <v>0.12</v>
          </cell>
          <cell r="BY59">
            <v>0.08</v>
          </cell>
          <cell r="BZ59">
            <v>0.1</v>
          </cell>
          <cell r="CA59">
            <v>0.12</v>
          </cell>
          <cell r="CB59">
            <v>0.08</v>
          </cell>
          <cell r="CC59">
            <v>0.1</v>
          </cell>
          <cell r="CD59">
            <v>0.12</v>
          </cell>
          <cell r="CE59">
            <v>0.08</v>
          </cell>
          <cell r="CF59">
            <v>0.1</v>
          </cell>
          <cell r="CG59">
            <v>0.12</v>
          </cell>
          <cell r="CH59">
            <v>0.08</v>
          </cell>
          <cell r="CI59">
            <v>0.1</v>
          </cell>
          <cell r="CJ59">
            <v>0.12</v>
          </cell>
          <cell r="CK59">
            <v>0.08</v>
          </cell>
          <cell r="CL59">
            <v>0.1</v>
          </cell>
          <cell r="CM59">
            <v>0.12</v>
          </cell>
          <cell r="CN59">
            <v>0.08</v>
          </cell>
          <cell r="CO59">
            <v>0.1</v>
          </cell>
          <cell r="CP59">
            <v>0.12</v>
          </cell>
          <cell r="CQ59">
            <v>0.08</v>
          </cell>
          <cell r="CR59">
            <v>0.1</v>
          </cell>
          <cell r="CS59">
            <v>0.12</v>
          </cell>
          <cell r="CV59">
            <v>0.08</v>
          </cell>
          <cell r="CW59">
            <v>7.0000000000000007E-2</v>
          </cell>
          <cell r="CX59">
            <v>0.06</v>
          </cell>
          <cell r="CY59">
            <v>0.08</v>
          </cell>
          <cell r="CZ59">
            <v>7.0000000000000007E-2</v>
          </cell>
          <cell r="DA59">
            <v>0.06</v>
          </cell>
          <cell r="DB59">
            <v>0.08</v>
          </cell>
          <cell r="DC59">
            <v>7.0000000000000007E-2</v>
          </cell>
          <cell r="DD59">
            <v>0.06</v>
          </cell>
          <cell r="DE59">
            <v>0.08</v>
          </cell>
          <cell r="DF59">
            <v>7.0000000000000007E-2</v>
          </cell>
          <cell r="DG59">
            <v>0.06</v>
          </cell>
          <cell r="DH59">
            <v>0.08</v>
          </cell>
          <cell r="DI59">
            <v>7.0000000000000007E-2</v>
          </cell>
          <cell r="DJ59">
            <v>0.06</v>
          </cell>
          <cell r="DK59">
            <v>0.08</v>
          </cell>
          <cell r="DL59">
            <v>7.0000000000000007E-2</v>
          </cell>
          <cell r="DM59">
            <v>0.06</v>
          </cell>
          <cell r="DN59">
            <v>0.08</v>
          </cell>
          <cell r="DO59">
            <v>7.0000000000000007E-2</v>
          </cell>
          <cell r="DP59">
            <v>0.06</v>
          </cell>
          <cell r="DQ59">
            <v>0.08</v>
          </cell>
          <cell r="DR59">
            <v>7.0000000000000007E-2</v>
          </cell>
          <cell r="DS59">
            <v>0.06</v>
          </cell>
          <cell r="DT59">
            <v>0.08</v>
          </cell>
          <cell r="DU59">
            <v>7.0000000000000007E-2</v>
          </cell>
          <cell r="DV59">
            <v>0.06</v>
          </cell>
          <cell r="DW59">
            <v>0.08</v>
          </cell>
          <cell r="DX59">
            <v>7.0000000000000007E-2</v>
          </cell>
          <cell r="DY59">
            <v>0.06</v>
          </cell>
          <cell r="DZ59">
            <v>0.08</v>
          </cell>
          <cell r="EA59">
            <v>7.0000000000000007E-2</v>
          </cell>
          <cell r="EB59">
            <v>0.06</v>
          </cell>
          <cell r="EC59">
            <v>0.08</v>
          </cell>
          <cell r="ED59">
            <v>7.0000000000000007E-2</v>
          </cell>
          <cell r="EE59">
            <v>0.06</v>
          </cell>
          <cell r="EG59">
            <v>5.0000000000000017E-2</v>
          </cell>
          <cell r="EH59">
            <v>5.0000000000000017E-2</v>
          </cell>
          <cell r="EI59">
            <v>5.0000000000000017E-2</v>
          </cell>
          <cell r="EJ59">
            <v>5.0000000000000017E-2</v>
          </cell>
          <cell r="EK59">
            <v>5.0000000000000017E-2</v>
          </cell>
          <cell r="EL59">
            <v>5.0000000000000017E-2</v>
          </cell>
          <cell r="EM59">
            <v>5.0000000000000017E-2</v>
          </cell>
          <cell r="EN59">
            <v>5.0000000000000017E-2</v>
          </cell>
          <cell r="EO59">
            <v>5.0000000000000017E-2</v>
          </cell>
          <cell r="EP59">
            <v>5.0000000000000017E-2</v>
          </cell>
          <cell r="EQ59">
            <v>5.0000000000000017E-2</v>
          </cell>
          <cell r="ER59">
            <v>5.0000000000000017E-2</v>
          </cell>
          <cell r="ES59">
            <v>5.0000000000000017E-2</v>
          </cell>
          <cell r="EU59">
            <v>0.1</v>
          </cell>
          <cell r="EV59">
            <v>0.1</v>
          </cell>
          <cell r="EW59">
            <v>0.1</v>
          </cell>
          <cell r="EX59">
            <v>0.1</v>
          </cell>
          <cell r="EY59">
            <v>0.1</v>
          </cell>
          <cell r="EZ59">
            <v>0.1</v>
          </cell>
          <cell r="FA59">
            <v>0.1</v>
          </cell>
          <cell r="FB59">
            <v>0.1</v>
          </cell>
          <cell r="FC59">
            <v>0.1</v>
          </cell>
          <cell r="FD59">
            <v>0.1</v>
          </cell>
          <cell r="FE59">
            <v>0.1</v>
          </cell>
          <cell r="FF59">
            <v>0.1</v>
          </cell>
          <cell r="FG59">
            <v>0.1</v>
          </cell>
        </row>
        <row r="60">
          <cell r="C60" t="str">
            <v>JEEP GRAND CHEROKEE LIMITED 3.6L AT8 4X4</v>
          </cell>
          <cell r="D60" t="str">
            <v>JEEP GRAND CHEROKEE LIMITED 3.6L AT8 4X4</v>
          </cell>
          <cell r="G60">
            <v>0.05</v>
          </cell>
          <cell r="H60">
            <v>0.05</v>
          </cell>
          <cell r="I60">
            <v>0.05</v>
          </cell>
          <cell r="J60">
            <v>0.05</v>
          </cell>
          <cell r="K60">
            <v>0.05</v>
          </cell>
          <cell r="L60">
            <v>0.05</v>
          </cell>
          <cell r="M60">
            <v>0.05</v>
          </cell>
          <cell r="N60">
            <v>0.05</v>
          </cell>
          <cell r="O60">
            <v>0.05</v>
          </cell>
          <cell r="P60">
            <v>0.05</v>
          </cell>
          <cell r="Q60">
            <v>0.05</v>
          </cell>
          <cell r="R60">
            <v>0.05</v>
          </cell>
          <cell r="U60">
            <v>0.5</v>
          </cell>
          <cell r="V60">
            <v>0</v>
          </cell>
          <cell r="W60">
            <v>0.5</v>
          </cell>
          <cell r="X60">
            <v>0.5</v>
          </cell>
          <cell r="Y60">
            <v>0</v>
          </cell>
          <cell r="Z60">
            <v>0.5</v>
          </cell>
          <cell r="AA60">
            <v>0.5</v>
          </cell>
          <cell r="AB60">
            <v>0</v>
          </cell>
          <cell r="AC60">
            <v>0.5</v>
          </cell>
          <cell r="AD60">
            <v>0.5</v>
          </cell>
          <cell r="AE60">
            <v>0</v>
          </cell>
          <cell r="AF60">
            <v>0.5</v>
          </cell>
          <cell r="AG60">
            <v>0.5</v>
          </cell>
          <cell r="AH60">
            <v>0</v>
          </cell>
          <cell r="AI60">
            <v>0.5</v>
          </cell>
          <cell r="AJ60">
            <v>0.5</v>
          </cell>
          <cell r="AK60">
            <v>0</v>
          </cell>
          <cell r="AL60">
            <v>0.5</v>
          </cell>
          <cell r="AM60">
            <v>0.5</v>
          </cell>
          <cell r="AN60">
            <v>0</v>
          </cell>
          <cell r="AO60">
            <v>0.5</v>
          </cell>
          <cell r="AP60">
            <v>0.5</v>
          </cell>
          <cell r="AQ60">
            <v>0</v>
          </cell>
          <cell r="AR60">
            <v>0.5</v>
          </cell>
          <cell r="AS60">
            <v>0.5</v>
          </cell>
          <cell r="AT60">
            <v>0</v>
          </cell>
          <cell r="AU60">
            <v>0.5</v>
          </cell>
          <cell r="AV60">
            <v>0.5</v>
          </cell>
          <cell r="AW60">
            <v>0</v>
          </cell>
          <cell r="AX60">
            <v>0.5</v>
          </cell>
          <cell r="AY60">
            <v>0.5</v>
          </cell>
          <cell r="AZ60">
            <v>0</v>
          </cell>
          <cell r="BA60">
            <v>0.5</v>
          </cell>
          <cell r="BB60">
            <v>0.5</v>
          </cell>
          <cell r="BC60">
            <v>0</v>
          </cell>
          <cell r="BD60">
            <v>0.5</v>
          </cell>
          <cell r="BG60">
            <v>0.08</v>
          </cell>
          <cell r="BH60">
            <v>0.1</v>
          </cell>
          <cell r="BI60">
            <v>0.12</v>
          </cell>
          <cell r="BJ60">
            <v>0.08</v>
          </cell>
          <cell r="BK60">
            <v>0.1</v>
          </cell>
          <cell r="BL60">
            <v>0.12</v>
          </cell>
          <cell r="BM60">
            <v>0.08</v>
          </cell>
          <cell r="BN60">
            <v>0.1</v>
          </cell>
          <cell r="BO60">
            <v>0.12</v>
          </cell>
          <cell r="BP60">
            <v>0.08</v>
          </cell>
          <cell r="BQ60">
            <v>0.1</v>
          </cell>
          <cell r="BR60">
            <v>0.12</v>
          </cell>
          <cell r="BS60">
            <v>0.08</v>
          </cell>
          <cell r="BT60">
            <v>0.1</v>
          </cell>
          <cell r="BU60">
            <v>0.12</v>
          </cell>
          <cell r="BV60">
            <v>0.08</v>
          </cell>
          <cell r="BW60">
            <v>0.1</v>
          </cell>
          <cell r="BX60">
            <v>0.12</v>
          </cell>
          <cell r="BY60">
            <v>0.08</v>
          </cell>
          <cell r="BZ60">
            <v>0.1</v>
          </cell>
          <cell r="CA60">
            <v>0.12</v>
          </cell>
          <cell r="CB60">
            <v>0.08</v>
          </cell>
          <cell r="CC60">
            <v>0.1</v>
          </cell>
          <cell r="CD60">
            <v>0.12</v>
          </cell>
          <cell r="CE60">
            <v>0.08</v>
          </cell>
          <cell r="CF60">
            <v>0.1</v>
          </cell>
          <cell r="CG60">
            <v>0.12</v>
          </cell>
          <cell r="CH60">
            <v>0.08</v>
          </cell>
          <cell r="CI60">
            <v>0.1</v>
          </cell>
          <cell r="CJ60">
            <v>0.12</v>
          </cell>
          <cell r="CK60">
            <v>0.08</v>
          </cell>
          <cell r="CL60">
            <v>0.1</v>
          </cell>
          <cell r="CM60">
            <v>0.12</v>
          </cell>
          <cell r="CN60">
            <v>0.08</v>
          </cell>
          <cell r="CO60">
            <v>0.1</v>
          </cell>
          <cell r="CP60">
            <v>0.12</v>
          </cell>
          <cell r="CQ60">
            <v>0.08</v>
          </cell>
          <cell r="CR60">
            <v>0.1</v>
          </cell>
          <cell r="CS60">
            <v>0.12</v>
          </cell>
          <cell r="CV60">
            <v>0.08</v>
          </cell>
          <cell r="CW60">
            <v>7.0000000000000007E-2</v>
          </cell>
          <cell r="CX60">
            <v>0.06</v>
          </cell>
          <cell r="CY60">
            <v>0.08</v>
          </cell>
          <cell r="CZ60">
            <v>7.0000000000000007E-2</v>
          </cell>
          <cell r="DA60">
            <v>0.06</v>
          </cell>
          <cell r="DB60">
            <v>0.08</v>
          </cell>
          <cell r="DC60">
            <v>7.0000000000000007E-2</v>
          </cell>
          <cell r="DD60">
            <v>0.06</v>
          </cell>
          <cell r="DE60">
            <v>0.08</v>
          </cell>
          <cell r="DF60">
            <v>7.0000000000000007E-2</v>
          </cell>
          <cell r="DG60">
            <v>0.06</v>
          </cell>
          <cell r="DH60">
            <v>0.08</v>
          </cell>
          <cell r="DI60">
            <v>7.0000000000000007E-2</v>
          </cell>
          <cell r="DJ60">
            <v>0.06</v>
          </cell>
          <cell r="DK60">
            <v>0.08</v>
          </cell>
          <cell r="DL60">
            <v>7.0000000000000007E-2</v>
          </cell>
          <cell r="DM60">
            <v>0.06</v>
          </cell>
          <cell r="DN60">
            <v>0.08</v>
          </cell>
          <cell r="DO60">
            <v>7.0000000000000007E-2</v>
          </cell>
          <cell r="DP60">
            <v>0.06</v>
          </cell>
          <cell r="DQ60">
            <v>0.08</v>
          </cell>
          <cell r="DR60">
            <v>7.0000000000000007E-2</v>
          </cell>
          <cell r="DS60">
            <v>0.06</v>
          </cell>
          <cell r="DT60">
            <v>0.08</v>
          </cell>
          <cell r="DU60">
            <v>7.0000000000000007E-2</v>
          </cell>
          <cell r="DV60">
            <v>0.06</v>
          </cell>
          <cell r="DW60">
            <v>0.08</v>
          </cell>
          <cell r="DX60">
            <v>7.0000000000000007E-2</v>
          </cell>
          <cell r="DY60">
            <v>0.06</v>
          </cell>
          <cell r="DZ60">
            <v>0.08</v>
          </cell>
          <cell r="EA60">
            <v>7.0000000000000007E-2</v>
          </cell>
          <cell r="EB60">
            <v>0.06</v>
          </cell>
          <cell r="EC60">
            <v>0.08</v>
          </cell>
          <cell r="ED60">
            <v>7.0000000000000007E-2</v>
          </cell>
          <cell r="EE60">
            <v>0.06</v>
          </cell>
          <cell r="EG60">
            <v>5.0000000000000017E-2</v>
          </cell>
          <cell r="EH60">
            <v>5.0000000000000017E-2</v>
          </cell>
          <cell r="EI60">
            <v>5.0000000000000017E-2</v>
          </cell>
          <cell r="EJ60">
            <v>5.0000000000000017E-2</v>
          </cell>
          <cell r="EK60">
            <v>5.0000000000000017E-2</v>
          </cell>
          <cell r="EL60">
            <v>5.0000000000000017E-2</v>
          </cell>
          <cell r="EM60">
            <v>5.0000000000000017E-2</v>
          </cell>
          <cell r="EN60">
            <v>5.0000000000000017E-2</v>
          </cell>
          <cell r="EO60">
            <v>5.0000000000000017E-2</v>
          </cell>
          <cell r="EP60">
            <v>5.0000000000000017E-2</v>
          </cell>
          <cell r="EQ60">
            <v>5.0000000000000017E-2</v>
          </cell>
          <cell r="ER60">
            <v>5.0000000000000017E-2</v>
          </cell>
          <cell r="ES60">
            <v>5.0000000000000017E-2</v>
          </cell>
          <cell r="EU60">
            <v>0.1</v>
          </cell>
          <cell r="EV60">
            <v>0.1</v>
          </cell>
          <cell r="EW60">
            <v>0.1</v>
          </cell>
          <cell r="EX60">
            <v>0.1</v>
          </cell>
          <cell r="EY60">
            <v>0.1</v>
          </cell>
          <cell r="EZ60">
            <v>0.1</v>
          </cell>
          <cell r="FA60">
            <v>0.1</v>
          </cell>
          <cell r="FB60">
            <v>0.1</v>
          </cell>
          <cell r="FC60">
            <v>0.1</v>
          </cell>
          <cell r="FD60">
            <v>0.1</v>
          </cell>
          <cell r="FE60">
            <v>0.1</v>
          </cell>
          <cell r="FF60">
            <v>0.1</v>
          </cell>
          <cell r="FG60">
            <v>0.1</v>
          </cell>
        </row>
        <row r="61">
          <cell r="C61"/>
          <cell r="D61" t="str">
            <v/>
          </cell>
          <cell r="G61">
            <v>0.05</v>
          </cell>
          <cell r="H61">
            <v>0.05</v>
          </cell>
          <cell r="I61">
            <v>0.05</v>
          </cell>
          <cell r="J61">
            <v>0.05</v>
          </cell>
          <cell r="K61">
            <v>0.05</v>
          </cell>
          <cell r="L61">
            <v>0.05</v>
          </cell>
          <cell r="M61">
            <v>0.05</v>
          </cell>
          <cell r="N61">
            <v>0.05</v>
          </cell>
          <cell r="O61">
            <v>0.05</v>
          </cell>
          <cell r="P61">
            <v>0.05</v>
          </cell>
          <cell r="Q61">
            <v>0.05</v>
          </cell>
          <cell r="R61">
            <v>0.05</v>
          </cell>
          <cell r="U61">
            <v>0.5</v>
          </cell>
          <cell r="V61">
            <v>0</v>
          </cell>
          <cell r="W61">
            <v>0.5</v>
          </cell>
          <cell r="X61">
            <v>0.5</v>
          </cell>
          <cell r="Y61">
            <v>0</v>
          </cell>
          <cell r="Z61">
            <v>0.5</v>
          </cell>
          <cell r="AA61">
            <v>0.5</v>
          </cell>
          <cell r="AB61">
            <v>0</v>
          </cell>
          <cell r="AC61">
            <v>0.5</v>
          </cell>
          <cell r="AD61">
            <v>0.5</v>
          </cell>
          <cell r="AE61">
            <v>0</v>
          </cell>
          <cell r="AF61">
            <v>0.5</v>
          </cell>
          <cell r="AG61">
            <v>0.5</v>
          </cell>
          <cell r="AH61">
            <v>0</v>
          </cell>
          <cell r="AI61">
            <v>0.5</v>
          </cell>
          <cell r="AJ61">
            <v>0.5</v>
          </cell>
          <cell r="AK61">
            <v>0</v>
          </cell>
          <cell r="AL61">
            <v>0.5</v>
          </cell>
          <cell r="AM61">
            <v>0.5</v>
          </cell>
          <cell r="AN61">
            <v>0</v>
          </cell>
          <cell r="AO61">
            <v>0.5</v>
          </cell>
          <cell r="AP61">
            <v>0.5</v>
          </cell>
          <cell r="AQ61">
            <v>0</v>
          </cell>
          <cell r="AR61">
            <v>0.5</v>
          </cell>
          <cell r="AS61">
            <v>0.5</v>
          </cell>
          <cell r="AT61">
            <v>0</v>
          </cell>
          <cell r="AU61">
            <v>0.5</v>
          </cell>
          <cell r="AV61">
            <v>0.5</v>
          </cell>
          <cell r="AW61">
            <v>0</v>
          </cell>
          <cell r="AX61">
            <v>0.5</v>
          </cell>
          <cell r="AY61">
            <v>0.5</v>
          </cell>
          <cell r="AZ61">
            <v>0</v>
          </cell>
          <cell r="BA61">
            <v>0.5</v>
          </cell>
          <cell r="BB61">
            <v>0.5</v>
          </cell>
          <cell r="BC61">
            <v>0</v>
          </cell>
          <cell r="BD61">
            <v>0.5</v>
          </cell>
          <cell r="BG61">
            <v>0.08</v>
          </cell>
          <cell r="BH61">
            <v>0.1</v>
          </cell>
          <cell r="BI61">
            <v>0.12</v>
          </cell>
          <cell r="BJ61">
            <v>0.08</v>
          </cell>
          <cell r="BK61">
            <v>0.1</v>
          </cell>
          <cell r="BL61">
            <v>0.12</v>
          </cell>
          <cell r="BM61">
            <v>0.08</v>
          </cell>
          <cell r="BN61">
            <v>0.1</v>
          </cell>
          <cell r="BO61">
            <v>0.12</v>
          </cell>
          <cell r="BP61">
            <v>0.08</v>
          </cell>
          <cell r="BQ61">
            <v>0.1</v>
          </cell>
          <cell r="BR61">
            <v>0.12</v>
          </cell>
          <cell r="BS61">
            <v>0.08</v>
          </cell>
          <cell r="BT61">
            <v>0.1</v>
          </cell>
          <cell r="BU61">
            <v>0.12</v>
          </cell>
          <cell r="BV61">
            <v>0.08</v>
          </cell>
          <cell r="BW61">
            <v>0.1</v>
          </cell>
          <cell r="BX61">
            <v>0.12</v>
          </cell>
          <cell r="BY61">
            <v>0.08</v>
          </cell>
          <cell r="BZ61">
            <v>0.1</v>
          </cell>
          <cell r="CA61">
            <v>0.12</v>
          </cell>
          <cell r="CB61">
            <v>0.08</v>
          </cell>
          <cell r="CC61">
            <v>0.1</v>
          </cell>
          <cell r="CD61">
            <v>0.12</v>
          </cell>
          <cell r="CE61">
            <v>0.08</v>
          </cell>
          <cell r="CF61">
            <v>0.1</v>
          </cell>
          <cell r="CG61">
            <v>0.12</v>
          </cell>
          <cell r="CH61">
            <v>0.08</v>
          </cell>
          <cell r="CI61">
            <v>0.1</v>
          </cell>
          <cell r="CJ61">
            <v>0.12</v>
          </cell>
          <cell r="CK61">
            <v>0.08</v>
          </cell>
          <cell r="CL61">
            <v>0.1</v>
          </cell>
          <cell r="CM61">
            <v>0.12</v>
          </cell>
          <cell r="CN61">
            <v>0.08</v>
          </cell>
          <cell r="CO61">
            <v>0.1</v>
          </cell>
          <cell r="CP61">
            <v>0.12</v>
          </cell>
          <cell r="CQ61">
            <v>0.08</v>
          </cell>
          <cell r="CR61">
            <v>0.1</v>
          </cell>
          <cell r="CS61">
            <v>0.12</v>
          </cell>
          <cell r="CV61">
            <v>0.08</v>
          </cell>
          <cell r="CW61">
            <v>7.0000000000000007E-2</v>
          </cell>
          <cell r="CX61">
            <v>0.06</v>
          </cell>
          <cell r="CY61">
            <v>0.08</v>
          </cell>
          <cell r="CZ61">
            <v>7.0000000000000007E-2</v>
          </cell>
          <cell r="DA61">
            <v>0.06</v>
          </cell>
          <cell r="DB61">
            <v>0.08</v>
          </cell>
          <cell r="DC61">
            <v>7.0000000000000007E-2</v>
          </cell>
          <cell r="DD61">
            <v>0.06</v>
          </cell>
          <cell r="DE61">
            <v>0.08</v>
          </cell>
          <cell r="DF61">
            <v>7.0000000000000007E-2</v>
          </cell>
          <cell r="DG61">
            <v>0.06</v>
          </cell>
          <cell r="DH61">
            <v>0.08</v>
          </cell>
          <cell r="DI61">
            <v>7.0000000000000007E-2</v>
          </cell>
          <cell r="DJ61">
            <v>0.06</v>
          </cell>
          <cell r="DK61">
            <v>0.08</v>
          </cell>
          <cell r="DL61">
            <v>7.0000000000000007E-2</v>
          </cell>
          <cell r="DM61">
            <v>0.06</v>
          </cell>
          <cell r="DN61">
            <v>0.08</v>
          </cell>
          <cell r="DO61">
            <v>7.0000000000000007E-2</v>
          </cell>
          <cell r="DP61">
            <v>0.06</v>
          </cell>
          <cell r="DQ61">
            <v>0.08</v>
          </cell>
          <cell r="DR61">
            <v>7.0000000000000007E-2</v>
          </cell>
          <cell r="DS61">
            <v>0.06</v>
          </cell>
          <cell r="DT61">
            <v>0.08</v>
          </cell>
          <cell r="DU61">
            <v>7.0000000000000007E-2</v>
          </cell>
          <cell r="DV61">
            <v>0.06</v>
          </cell>
          <cell r="DW61">
            <v>0.08</v>
          </cell>
          <cell r="DX61">
            <v>7.0000000000000007E-2</v>
          </cell>
          <cell r="DY61">
            <v>0.06</v>
          </cell>
          <cell r="DZ61">
            <v>0.08</v>
          </cell>
          <cell r="EA61">
            <v>7.0000000000000007E-2</v>
          </cell>
          <cell r="EB61">
            <v>0.06</v>
          </cell>
          <cell r="EC61">
            <v>0.08</v>
          </cell>
          <cell r="ED61">
            <v>7.0000000000000007E-2</v>
          </cell>
          <cell r="EE61">
            <v>0.06</v>
          </cell>
          <cell r="EG61">
            <v>5.0000000000000017E-2</v>
          </cell>
          <cell r="EH61">
            <v>5.0000000000000017E-2</v>
          </cell>
          <cell r="EI61">
            <v>5.0000000000000017E-2</v>
          </cell>
          <cell r="EJ61">
            <v>5.0000000000000017E-2</v>
          </cell>
          <cell r="EK61">
            <v>5.0000000000000017E-2</v>
          </cell>
          <cell r="EL61">
            <v>5.0000000000000017E-2</v>
          </cell>
          <cell r="EM61">
            <v>5.0000000000000017E-2</v>
          </cell>
          <cell r="EN61">
            <v>5.0000000000000017E-2</v>
          </cell>
          <cell r="EO61">
            <v>5.0000000000000017E-2</v>
          </cell>
          <cell r="EP61">
            <v>5.0000000000000017E-2</v>
          </cell>
          <cell r="EQ61">
            <v>5.0000000000000017E-2</v>
          </cell>
          <cell r="ER61">
            <v>5.0000000000000017E-2</v>
          </cell>
          <cell r="ES61">
            <v>5.0000000000000017E-2</v>
          </cell>
          <cell r="EU61">
            <v>0.1</v>
          </cell>
          <cell r="EV61">
            <v>0.1</v>
          </cell>
          <cell r="EW61">
            <v>0.1</v>
          </cell>
          <cell r="EX61">
            <v>0.1</v>
          </cell>
          <cell r="EY61">
            <v>0.1</v>
          </cell>
          <cell r="EZ61">
            <v>0.1</v>
          </cell>
          <cell r="FA61">
            <v>0.1</v>
          </cell>
          <cell r="FB61">
            <v>0.1</v>
          </cell>
          <cell r="FC61">
            <v>0.1</v>
          </cell>
          <cell r="FD61">
            <v>0.1</v>
          </cell>
          <cell r="FE61">
            <v>0.1</v>
          </cell>
          <cell r="FF61">
            <v>0.1</v>
          </cell>
          <cell r="FG61">
            <v>0.1</v>
          </cell>
        </row>
        <row r="62">
          <cell r="C62"/>
          <cell r="D62" t="str">
            <v/>
          </cell>
          <cell r="G62">
            <v>0.05</v>
          </cell>
          <cell r="H62">
            <v>0.05</v>
          </cell>
          <cell r="I62">
            <v>0.05</v>
          </cell>
          <cell r="J62">
            <v>0.05</v>
          </cell>
          <cell r="K62">
            <v>0.05</v>
          </cell>
          <cell r="L62">
            <v>0.05</v>
          </cell>
          <cell r="M62">
            <v>0.05</v>
          </cell>
          <cell r="N62">
            <v>0.05</v>
          </cell>
          <cell r="O62">
            <v>0.05</v>
          </cell>
          <cell r="P62">
            <v>0.05</v>
          </cell>
          <cell r="Q62">
            <v>0.05</v>
          </cell>
          <cell r="R62">
            <v>0.05</v>
          </cell>
          <cell r="U62">
            <v>0.5</v>
          </cell>
          <cell r="V62">
            <v>0</v>
          </cell>
          <cell r="W62">
            <v>0.5</v>
          </cell>
          <cell r="X62">
            <v>0.5</v>
          </cell>
          <cell r="Y62">
            <v>0</v>
          </cell>
          <cell r="Z62">
            <v>0.5</v>
          </cell>
          <cell r="AA62">
            <v>0.5</v>
          </cell>
          <cell r="AB62">
            <v>0</v>
          </cell>
          <cell r="AC62">
            <v>0.5</v>
          </cell>
          <cell r="AD62">
            <v>0.5</v>
          </cell>
          <cell r="AE62">
            <v>0</v>
          </cell>
          <cell r="AF62">
            <v>0.5</v>
          </cell>
          <cell r="AG62">
            <v>0.5</v>
          </cell>
          <cell r="AH62">
            <v>0</v>
          </cell>
          <cell r="AI62">
            <v>0.5</v>
          </cell>
          <cell r="AJ62">
            <v>0.5</v>
          </cell>
          <cell r="AK62">
            <v>0</v>
          </cell>
          <cell r="AL62">
            <v>0.5</v>
          </cell>
          <cell r="AM62">
            <v>0.5</v>
          </cell>
          <cell r="AN62">
            <v>0</v>
          </cell>
          <cell r="AO62">
            <v>0.5</v>
          </cell>
          <cell r="AP62">
            <v>0.5</v>
          </cell>
          <cell r="AQ62">
            <v>0</v>
          </cell>
          <cell r="AR62">
            <v>0.5</v>
          </cell>
          <cell r="AS62">
            <v>0.5</v>
          </cell>
          <cell r="AT62">
            <v>0</v>
          </cell>
          <cell r="AU62">
            <v>0.5</v>
          </cell>
          <cell r="AV62">
            <v>0.5</v>
          </cell>
          <cell r="AW62">
            <v>0</v>
          </cell>
          <cell r="AX62">
            <v>0.5</v>
          </cell>
          <cell r="AY62">
            <v>0.5</v>
          </cell>
          <cell r="AZ62">
            <v>0</v>
          </cell>
          <cell r="BA62">
            <v>0.5</v>
          </cell>
          <cell r="BB62">
            <v>0.5</v>
          </cell>
          <cell r="BC62">
            <v>0</v>
          </cell>
          <cell r="BD62">
            <v>0.5</v>
          </cell>
          <cell r="BG62">
            <v>0.08</v>
          </cell>
          <cell r="BH62">
            <v>0.1</v>
          </cell>
          <cell r="BI62">
            <v>0.12</v>
          </cell>
          <cell r="BJ62">
            <v>0.08</v>
          </cell>
          <cell r="BK62">
            <v>0.1</v>
          </cell>
          <cell r="BL62">
            <v>0.12</v>
          </cell>
          <cell r="BM62">
            <v>0.08</v>
          </cell>
          <cell r="BN62">
            <v>0.1</v>
          </cell>
          <cell r="BO62">
            <v>0.12</v>
          </cell>
          <cell r="BP62">
            <v>0.08</v>
          </cell>
          <cell r="BQ62">
            <v>0.1</v>
          </cell>
          <cell r="BR62">
            <v>0.12</v>
          </cell>
          <cell r="BS62">
            <v>0.08</v>
          </cell>
          <cell r="BT62">
            <v>0.1</v>
          </cell>
          <cell r="BU62">
            <v>0.12</v>
          </cell>
          <cell r="BV62">
            <v>0.08</v>
          </cell>
          <cell r="BW62">
            <v>0.1</v>
          </cell>
          <cell r="BX62">
            <v>0.12</v>
          </cell>
          <cell r="BY62">
            <v>0.08</v>
          </cell>
          <cell r="BZ62">
            <v>0.1</v>
          </cell>
          <cell r="CA62">
            <v>0.12</v>
          </cell>
          <cell r="CB62">
            <v>0.08</v>
          </cell>
          <cell r="CC62">
            <v>0.1</v>
          </cell>
          <cell r="CD62">
            <v>0.12</v>
          </cell>
          <cell r="CE62">
            <v>0.08</v>
          </cell>
          <cell r="CF62">
            <v>0.1</v>
          </cell>
          <cell r="CG62">
            <v>0.12</v>
          </cell>
          <cell r="CH62">
            <v>0.08</v>
          </cell>
          <cell r="CI62">
            <v>0.1</v>
          </cell>
          <cell r="CJ62">
            <v>0.12</v>
          </cell>
          <cell r="CK62">
            <v>0.08</v>
          </cell>
          <cell r="CL62">
            <v>0.1</v>
          </cell>
          <cell r="CM62">
            <v>0.12</v>
          </cell>
          <cell r="CN62">
            <v>0.08</v>
          </cell>
          <cell r="CO62">
            <v>0.1</v>
          </cell>
          <cell r="CP62">
            <v>0.12</v>
          </cell>
          <cell r="CQ62">
            <v>0.08</v>
          </cell>
          <cell r="CR62">
            <v>0.1</v>
          </cell>
          <cell r="CS62">
            <v>0.12</v>
          </cell>
          <cell r="CV62">
            <v>0.08</v>
          </cell>
          <cell r="CW62">
            <v>7.0000000000000007E-2</v>
          </cell>
          <cell r="CX62">
            <v>0.06</v>
          </cell>
          <cell r="CY62">
            <v>0.08</v>
          </cell>
          <cell r="CZ62">
            <v>7.0000000000000007E-2</v>
          </cell>
          <cell r="DA62">
            <v>0.06</v>
          </cell>
          <cell r="DB62">
            <v>0.08</v>
          </cell>
          <cell r="DC62">
            <v>7.0000000000000007E-2</v>
          </cell>
          <cell r="DD62">
            <v>0.06</v>
          </cell>
          <cell r="DE62">
            <v>0.08</v>
          </cell>
          <cell r="DF62">
            <v>7.0000000000000007E-2</v>
          </cell>
          <cell r="DG62">
            <v>0.06</v>
          </cell>
          <cell r="DH62">
            <v>0.08</v>
          </cell>
          <cell r="DI62">
            <v>7.0000000000000007E-2</v>
          </cell>
          <cell r="DJ62">
            <v>0.06</v>
          </cell>
          <cell r="DK62">
            <v>0.08</v>
          </cell>
          <cell r="DL62">
            <v>7.0000000000000007E-2</v>
          </cell>
          <cell r="DM62">
            <v>0.06</v>
          </cell>
          <cell r="DN62">
            <v>0.08</v>
          </cell>
          <cell r="DO62">
            <v>7.0000000000000007E-2</v>
          </cell>
          <cell r="DP62">
            <v>0.06</v>
          </cell>
          <cell r="DQ62">
            <v>0.08</v>
          </cell>
          <cell r="DR62">
            <v>7.0000000000000007E-2</v>
          </cell>
          <cell r="DS62">
            <v>0.06</v>
          </cell>
          <cell r="DT62">
            <v>0.08</v>
          </cell>
          <cell r="DU62">
            <v>7.0000000000000007E-2</v>
          </cell>
          <cell r="DV62">
            <v>0.06</v>
          </cell>
          <cell r="DW62">
            <v>0.08</v>
          </cell>
          <cell r="DX62">
            <v>7.0000000000000007E-2</v>
          </cell>
          <cell r="DY62">
            <v>0.06</v>
          </cell>
          <cell r="DZ62">
            <v>0.08</v>
          </cell>
          <cell r="EA62">
            <v>7.0000000000000007E-2</v>
          </cell>
          <cell r="EB62">
            <v>0.06</v>
          </cell>
          <cell r="EC62">
            <v>0.08</v>
          </cell>
          <cell r="ED62">
            <v>7.0000000000000007E-2</v>
          </cell>
          <cell r="EE62">
            <v>0.06</v>
          </cell>
          <cell r="EG62">
            <v>5.0000000000000017E-2</v>
          </cell>
          <cell r="EH62">
            <v>5.0000000000000017E-2</v>
          </cell>
          <cell r="EI62">
            <v>5.0000000000000017E-2</v>
          </cell>
          <cell r="EJ62">
            <v>5.0000000000000017E-2</v>
          </cell>
          <cell r="EK62">
            <v>5.0000000000000017E-2</v>
          </cell>
          <cell r="EL62">
            <v>5.0000000000000017E-2</v>
          </cell>
          <cell r="EM62">
            <v>5.0000000000000017E-2</v>
          </cell>
          <cell r="EN62">
            <v>5.0000000000000017E-2</v>
          </cell>
          <cell r="EO62">
            <v>5.0000000000000017E-2</v>
          </cell>
          <cell r="EP62">
            <v>5.0000000000000017E-2</v>
          </cell>
          <cell r="EQ62">
            <v>5.0000000000000017E-2</v>
          </cell>
          <cell r="ER62">
            <v>5.0000000000000017E-2</v>
          </cell>
          <cell r="ES62">
            <v>5.0000000000000017E-2</v>
          </cell>
          <cell r="EU62">
            <v>0.1</v>
          </cell>
          <cell r="EV62">
            <v>0.1</v>
          </cell>
          <cell r="EW62">
            <v>0.1</v>
          </cell>
          <cell r="EX62">
            <v>0.1</v>
          </cell>
          <cell r="EY62">
            <v>0.1</v>
          </cell>
          <cell r="EZ62">
            <v>0.1</v>
          </cell>
          <cell r="FA62">
            <v>0.1</v>
          </cell>
          <cell r="FB62">
            <v>0.1</v>
          </cell>
          <cell r="FC62">
            <v>0.1</v>
          </cell>
          <cell r="FD62">
            <v>0.1</v>
          </cell>
          <cell r="FE62">
            <v>0.1</v>
          </cell>
          <cell r="FF62">
            <v>0.1</v>
          </cell>
          <cell r="FG62">
            <v>0.1</v>
          </cell>
        </row>
        <row r="63">
          <cell r="C63" t="str">
            <v>JEEP WRANGLER SPORT 2.0T AT8 4x4</v>
          </cell>
          <cell r="D63" t="str">
            <v>WRANGLER SPORT 2.0T AT 4X4</v>
          </cell>
          <cell r="G63">
            <v>0.3</v>
          </cell>
          <cell r="H63">
            <v>0.3</v>
          </cell>
          <cell r="I63">
            <v>0.3</v>
          </cell>
          <cell r="J63">
            <v>0.3</v>
          </cell>
          <cell r="K63">
            <v>0.3</v>
          </cell>
          <cell r="L63">
            <v>0.3</v>
          </cell>
          <cell r="M63">
            <v>0.3</v>
          </cell>
          <cell r="N63">
            <v>0.3</v>
          </cell>
          <cell r="O63">
            <v>0.3</v>
          </cell>
          <cell r="P63">
            <v>0.3</v>
          </cell>
          <cell r="Q63">
            <v>0.3</v>
          </cell>
          <cell r="R63">
            <v>0.3</v>
          </cell>
          <cell r="U63">
            <v>0.5</v>
          </cell>
          <cell r="V63">
            <v>0</v>
          </cell>
          <cell r="W63">
            <v>0.5</v>
          </cell>
          <cell r="X63">
            <v>0.5</v>
          </cell>
          <cell r="Y63">
            <v>0</v>
          </cell>
          <cell r="Z63">
            <v>0.5</v>
          </cell>
          <cell r="AA63">
            <v>0.5</v>
          </cell>
          <cell r="AB63">
            <v>0</v>
          </cell>
          <cell r="AC63">
            <v>0.5</v>
          </cell>
          <cell r="AD63">
            <v>0</v>
          </cell>
          <cell r="AE63">
            <v>0</v>
          </cell>
          <cell r="AF63">
            <v>1</v>
          </cell>
          <cell r="AG63">
            <v>0.5</v>
          </cell>
          <cell r="AH63">
            <v>0</v>
          </cell>
          <cell r="AI63">
            <v>0.5</v>
          </cell>
          <cell r="AJ63">
            <v>0.5</v>
          </cell>
          <cell r="AK63">
            <v>0</v>
          </cell>
          <cell r="AL63">
            <v>0.5</v>
          </cell>
          <cell r="AM63">
            <v>0.5</v>
          </cell>
          <cell r="AN63">
            <v>0</v>
          </cell>
          <cell r="AO63">
            <v>0.5</v>
          </cell>
          <cell r="AP63">
            <v>0.5</v>
          </cell>
          <cell r="AQ63">
            <v>0</v>
          </cell>
          <cell r="AR63">
            <v>0.5</v>
          </cell>
          <cell r="AS63">
            <v>0.5</v>
          </cell>
          <cell r="AT63">
            <v>0</v>
          </cell>
          <cell r="AU63">
            <v>0.5</v>
          </cell>
          <cell r="AV63">
            <v>0.5</v>
          </cell>
          <cell r="AW63">
            <v>0</v>
          </cell>
          <cell r="AX63">
            <v>0.5</v>
          </cell>
          <cell r="AY63">
            <v>0.5</v>
          </cell>
          <cell r="AZ63">
            <v>0</v>
          </cell>
          <cell r="BA63">
            <v>0.5</v>
          </cell>
          <cell r="BB63">
            <v>0.5</v>
          </cell>
          <cell r="BC63">
            <v>0</v>
          </cell>
          <cell r="BD63">
            <v>0.5</v>
          </cell>
          <cell r="BG63">
            <v>0.1</v>
          </cell>
          <cell r="BH63">
            <v>0.14000000000000001</v>
          </cell>
          <cell r="BI63">
            <v>0.18</v>
          </cell>
          <cell r="BJ63">
            <v>0.1</v>
          </cell>
          <cell r="BK63">
            <v>0.14000000000000001</v>
          </cell>
          <cell r="BL63">
            <v>0.18</v>
          </cell>
          <cell r="BM63">
            <v>0.1</v>
          </cell>
          <cell r="BN63">
            <v>0.14000000000000001</v>
          </cell>
          <cell r="BO63">
            <v>0.18</v>
          </cell>
          <cell r="BP63">
            <v>0.1</v>
          </cell>
          <cell r="BQ63">
            <v>0.14000000000000001</v>
          </cell>
          <cell r="BR63">
            <v>0.18</v>
          </cell>
          <cell r="BS63">
            <v>0.1</v>
          </cell>
          <cell r="BT63">
            <v>0.14000000000000001</v>
          </cell>
          <cell r="BU63">
            <v>0.18</v>
          </cell>
          <cell r="BV63">
            <v>0.1</v>
          </cell>
          <cell r="BW63">
            <v>0.14000000000000001</v>
          </cell>
          <cell r="BX63">
            <v>0.18</v>
          </cell>
          <cell r="BY63">
            <v>0.1</v>
          </cell>
          <cell r="BZ63">
            <v>0.14000000000000001</v>
          </cell>
          <cell r="CA63">
            <v>0.18</v>
          </cell>
          <cell r="CB63">
            <v>0.1</v>
          </cell>
          <cell r="CC63">
            <v>0.14000000000000001</v>
          </cell>
          <cell r="CD63">
            <v>0.18</v>
          </cell>
          <cell r="CE63">
            <v>0.1</v>
          </cell>
          <cell r="CF63">
            <v>0.14000000000000001</v>
          </cell>
          <cell r="CG63">
            <v>0.18</v>
          </cell>
          <cell r="CH63">
            <v>0.1</v>
          </cell>
          <cell r="CI63">
            <v>0.14000000000000001</v>
          </cell>
          <cell r="CJ63">
            <v>0.18</v>
          </cell>
          <cell r="CK63">
            <v>0.1</v>
          </cell>
          <cell r="CL63">
            <v>0.14000000000000001</v>
          </cell>
          <cell r="CM63">
            <v>0.18</v>
          </cell>
          <cell r="CN63">
            <v>0.1</v>
          </cell>
          <cell r="CO63">
            <v>0.14000000000000001</v>
          </cell>
          <cell r="CP63">
            <v>0.18</v>
          </cell>
          <cell r="CQ63">
            <v>0.1</v>
          </cell>
          <cell r="CR63">
            <v>0.14000000000000001</v>
          </cell>
          <cell r="CS63">
            <v>0.18</v>
          </cell>
          <cell r="CV63">
            <v>5.5E-2</v>
          </cell>
          <cell r="CW63">
            <v>4.4999999999999998E-2</v>
          </cell>
          <cell r="CX63">
            <v>0.03</v>
          </cell>
          <cell r="CY63">
            <v>5.5E-2</v>
          </cell>
          <cell r="CZ63">
            <v>4.4999999999999998E-2</v>
          </cell>
          <cell r="DA63">
            <v>0.03</v>
          </cell>
          <cell r="DB63">
            <v>5.5E-2</v>
          </cell>
          <cell r="DC63">
            <v>4.4999999999999998E-2</v>
          </cell>
          <cell r="DD63">
            <v>0.03</v>
          </cell>
          <cell r="DE63">
            <v>5.5E-2</v>
          </cell>
          <cell r="DF63">
            <v>4.4999999999999998E-2</v>
          </cell>
          <cell r="DG63">
            <v>0.03</v>
          </cell>
          <cell r="DH63">
            <v>5.5E-2</v>
          </cell>
          <cell r="DI63">
            <v>4.4999999999999998E-2</v>
          </cell>
          <cell r="DJ63">
            <v>0.03</v>
          </cell>
          <cell r="DK63">
            <v>5.5E-2</v>
          </cell>
          <cell r="DL63">
            <v>4.4999999999999998E-2</v>
          </cell>
          <cell r="DM63">
            <v>0.03</v>
          </cell>
          <cell r="DN63">
            <v>5.5E-2</v>
          </cell>
          <cell r="DO63">
            <v>4.4999999999999998E-2</v>
          </cell>
          <cell r="DP63">
            <v>0.03</v>
          </cell>
          <cell r="DQ63">
            <v>5.5E-2</v>
          </cell>
          <cell r="DR63">
            <v>4.4999999999999998E-2</v>
          </cell>
          <cell r="DS63">
            <v>0.03</v>
          </cell>
          <cell r="DT63">
            <v>5.5E-2</v>
          </cell>
          <cell r="DU63">
            <v>4.4999999999999998E-2</v>
          </cell>
          <cell r="DV63">
            <v>0.03</v>
          </cell>
          <cell r="DW63">
            <v>5.5E-2</v>
          </cell>
          <cell r="DX63">
            <v>4.4999999999999998E-2</v>
          </cell>
          <cell r="DY63">
            <v>0.03</v>
          </cell>
          <cell r="DZ63">
            <v>5.5E-2</v>
          </cell>
          <cell r="EA63">
            <v>4.4999999999999998E-2</v>
          </cell>
          <cell r="EB63">
            <v>0.03</v>
          </cell>
          <cell r="EC63">
            <v>5.5E-2</v>
          </cell>
          <cell r="ED63">
            <v>4.4999999999999998E-2</v>
          </cell>
          <cell r="EE63">
            <v>0.03</v>
          </cell>
          <cell r="EG63">
            <v>8.2500000000000004E-2</v>
          </cell>
          <cell r="EH63">
            <v>8.2500000000000004E-2</v>
          </cell>
          <cell r="EI63">
            <v>8.2500000000000004E-2</v>
          </cell>
          <cell r="EJ63">
            <v>8.2500000000000004E-2</v>
          </cell>
          <cell r="EK63">
            <v>0.10999999999999999</v>
          </cell>
          <cell r="EL63">
            <v>8.2500000000000004E-2</v>
          </cell>
          <cell r="EM63">
            <v>8.2500000000000004E-2</v>
          </cell>
          <cell r="EN63">
            <v>8.2500000000000004E-2</v>
          </cell>
          <cell r="EO63">
            <v>8.2500000000000004E-2</v>
          </cell>
          <cell r="EP63">
            <v>8.2500000000000004E-2</v>
          </cell>
          <cell r="EQ63">
            <v>8.2500000000000004E-2</v>
          </cell>
          <cell r="ER63">
            <v>8.2500000000000004E-2</v>
          </cell>
          <cell r="ES63">
            <v>8.2500000000000004E-2</v>
          </cell>
          <cell r="EU63">
            <v>0.14000000000000001</v>
          </cell>
          <cell r="EV63">
            <v>0.14000000000000001</v>
          </cell>
          <cell r="EW63">
            <v>0.14000000000000001</v>
          </cell>
          <cell r="EX63">
            <v>0.14000000000000001</v>
          </cell>
          <cell r="EY63">
            <v>0.18</v>
          </cell>
          <cell r="EZ63">
            <v>0.14000000000000001</v>
          </cell>
          <cell r="FA63">
            <v>0.14000000000000001</v>
          </cell>
          <cell r="FB63">
            <v>0.14000000000000001</v>
          </cell>
          <cell r="FC63">
            <v>0.14000000000000001</v>
          </cell>
          <cell r="FD63">
            <v>0.14000000000000001</v>
          </cell>
          <cell r="FE63">
            <v>0.14000000000000001</v>
          </cell>
          <cell r="FF63">
            <v>0.14000000000000001</v>
          </cell>
          <cell r="FG63">
            <v>0.14000000000000001</v>
          </cell>
        </row>
        <row r="64">
          <cell r="C64" t="str">
            <v>JEEP WRANGLER SAHARA 2.0T AT8 4x4</v>
          </cell>
          <cell r="D64" t="str">
            <v>WRANGLER SAHARA 2.0T AT 4X4</v>
          </cell>
          <cell r="G64">
            <v>0.3</v>
          </cell>
          <cell r="H64">
            <v>0.3</v>
          </cell>
          <cell r="I64">
            <v>0.3</v>
          </cell>
          <cell r="J64">
            <v>0.3</v>
          </cell>
          <cell r="K64">
            <v>0.3</v>
          </cell>
          <cell r="L64">
            <v>0.3</v>
          </cell>
          <cell r="M64">
            <v>0.3</v>
          </cell>
          <cell r="N64">
            <v>0.3</v>
          </cell>
          <cell r="O64">
            <v>0.3</v>
          </cell>
          <cell r="P64">
            <v>0.3</v>
          </cell>
          <cell r="Q64">
            <v>0.3</v>
          </cell>
          <cell r="R64">
            <v>0.3</v>
          </cell>
          <cell r="U64">
            <v>0.5</v>
          </cell>
          <cell r="V64">
            <v>0</v>
          </cell>
          <cell r="W64">
            <v>0.5</v>
          </cell>
          <cell r="X64">
            <v>0.5</v>
          </cell>
          <cell r="Y64">
            <v>0</v>
          </cell>
          <cell r="Z64">
            <v>0.5</v>
          </cell>
          <cell r="AA64">
            <v>0.5</v>
          </cell>
          <cell r="AB64">
            <v>0</v>
          </cell>
          <cell r="AC64">
            <v>0.5</v>
          </cell>
          <cell r="AD64">
            <v>0.5</v>
          </cell>
          <cell r="AE64">
            <v>0</v>
          </cell>
          <cell r="AF64">
            <v>0.5</v>
          </cell>
          <cell r="AG64">
            <v>0.5</v>
          </cell>
          <cell r="AH64">
            <v>0</v>
          </cell>
          <cell r="AI64">
            <v>0.5</v>
          </cell>
          <cell r="AJ64">
            <v>0.5</v>
          </cell>
          <cell r="AK64">
            <v>0</v>
          </cell>
          <cell r="AL64">
            <v>0.5</v>
          </cell>
          <cell r="AM64">
            <v>0.5</v>
          </cell>
          <cell r="AN64">
            <v>0</v>
          </cell>
          <cell r="AO64">
            <v>0.5</v>
          </cell>
          <cell r="AP64">
            <v>0.5</v>
          </cell>
          <cell r="AQ64">
            <v>0</v>
          </cell>
          <cell r="AR64">
            <v>0.5</v>
          </cell>
          <cell r="AS64">
            <v>0.5</v>
          </cell>
          <cell r="AT64">
            <v>0</v>
          </cell>
          <cell r="AU64">
            <v>0.5</v>
          </cell>
          <cell r="AV64">
            <v>0.5</v>
          </cell>
          <cell r="AW64">
            <v>0</v>
          </cell>
          <cell r="AX64">
            <v>0.5</v>
          </cell>
          <cell r="AY64">
            <v>0.5</v>
          </cell>
          <cell r="AZ64">
            <v>0</v>
          </cell>
          <cell r="BA64">
            <v>0.5</v>
          </cell>
          <cell r="BB64">
            <v>0.5</v>
          </cell>
          <cell r="BC64">
            <v>0</v>
          </cell>
          <cell r="BD64">
            <v>0.5</v>
          </cell>
          <cell r="BG64">
            <v>0.1</v>
          </cell>
          <cell r="BH64">
            <v>0.14000000000000001</v>
          </cell>
          <cell r="BI64">
            <v>0.18</v>
          </cell>
          <cell r="BJ64">
            <v>0.1</v>
          </cell>
          <cell r="BK64">
            <v>0.14000000000000001</v>
          </cell>
          <cell r="BL64">
            <v>0.18</v>
          </cell>
          <cell r="BM64">
            <v>0.1</v>
          </cell>
          <cell r="BN64">
            <v>0.14000000000000001</v>
          </cell>
          <cell r="BO64">
            <v>0.18</v>
          </cell>
          <cell r="BP64">
            <v>0.1</v>
          </cell>
          <cell r="BQ64">
            <v>0.14000000000000001</v>
          </cell>
          <cell r="BR64">
            <v>0.18</v>
          </cell>
          <cell r="BS64">
            <v>0.1</v>
          </cell>
          <cell r="BT64">
            <v>0.14000000000000001</v>
          </cell>
          <cell r="BU64">
            <v>0.18</v>
          </cell>
          <cell r="BV64">
            <v>0.1</v>
          </cell>
          <cell r="BW64">
            <v>0.14000000000000001</v>
          </cell>
          <cell r="BX64">
            <v>0.18</v>
          </cell>
          <cell r="BY64">
            <v>0.1</v>
          </cell>
          <cell r="BZ64">
            <v>0.14000000000000001</v>
          </cell>
          <cell r="CA64">
            <v>0.18</v>
          </cell>
          <cell r="CB64">
            <v>0.1</v>
          </cell>
          <cell r="CC64">
            <v>0.14000000000000001</v>
          </cell>
          <cell r="CD64">
            <v>0.18</v>
          </cell>
          <cell r="CE64">
            <v>0.1</v>
          </cell>
          <cell r="CF64">
            <v>0.14000000000000001</v>
          </cell>
          <cell r="CG64">
            <v>0.18</v>
          </cell>
          <cell r="CH64">
            <v>0.1</v>
          </cell>
          <cell r="CI64">
            <v>0.14000000000000001</v>
          </cell>
          <cell r="CJ64">
            <v>0.18</v>
          </cell>
          <cell r="CK64">
            <v>0.1</v>
          </cell>
          <cell r="CL64">
            <v>0.14000000000000001</v>
          </cell>
          <cell r="CM64">
            <v>0.18</v>
          </cell>
          <cell r="CN64">
            <v>0.1</v>
          </cell>
          <cell r="CO64">
            <v>0.14000000000000001</v>
          </cell>
          <cell r="CP64">
            <v>0.18</v>
          </cell>
          <cell r="CQ64">
            <v>0.1</v>
          </cell>
          <cell r="CR64">
            <v>0.14000000000000001</v>
          </cell>
          <cell r="CS64">
            <v>0.18</v>
          </cell>
          <cell r="CV64">
            <v>5.5E-2</v>
          </cell>
          <cell r="CW64">
            <v>4.4999999999999998E-2</v>
          </cell>
          <cell r="CX64">
            <v>0.03</v>
          </cell>
          <cell r="CY64">
            <v>5.5E-2</v>
          </cell>
          <cell r="CZ64">
            <v>4.4999999999999998E-2</v>
          </cell>
          <cell r="DA64">
            <v>0.03</v>
          </cell>
          <cell r="DB64">
            <v>5.5E-2</v>
          </cell>
          <cell r="DC64">
            <v>4.4999999999999998E-2</v>
          </cell>
          <cell r="DD64">
            <v>0.03</v>
          </cell>
          <cell r="DE64">
            <v>5.5E-2</v>
          </cell>
          <cell r="DF64">
            <v>4.4999999999999998E-2</v>
          </cell>
          <cell r="DG64">
            <v>0.03</v>
          </cell>
          <cell r="DH64">
            <v>5.5E-2</v>
          </cell>
          <cell r="DI64">
            <v>4.4999999999999998E-2</v>
          </cell>
          <cell r="DJ64">
            <v>0.03</v>
          </cell>
          <cell r="DK64">
            <v>5.5E-2</v>
          </cell>
          <cell r="DL64">
            <v>4.4999999999999998E-2</v>
          </cell>
          <cell r="DM64">
            <v>0.03</v>
          </cell>
          <cell r="DN64">
            <v>5.5E-2</v>
          </cell>
          <cell r="DO64">
            <v>4.4999999999999998E-2</v>
          </cell>
          <cell r="DP64">
            <v>0.03</v>
          </cell>
          <cell r="DQ64">
            <v>5.5E-2</v>
          </cell>
          <cell r="DR64">
            <v>4.4999999999999998E-2</v>
          </cell>
          <cell r="DS64">
            <v>0.03</v>
          </cell>
          <cell r="DT64">
            <v>5.5E-2</v>
          </cell>
          <cell r="DU64">
            <v>4.4999999999999998E-2</v>
          </cell>
          <cell r="DV64">
            <v>0.03</v>
          </cell>
          <cell r="DW64">
            <v>5.5E-2</v>
          </cell>
          <cell r="DX64">
            <v>4.4999999999999998E-2</v>
          </cell>
          <cell r="DY64">
            <v>0.03</v>
          </cell>
          <cell r="DZ64">
            <v>5.5E-2</v>
          </cell>
          <cell r="EA64">
            <v>4.4999999999999998E-2</v>
          </cell>
          <cell r="EB64">
            <v>0.03</v>
          </cell>
          <cell r="EC64">
            <v>5.5E-2</v>
          </cell>
          <cell r="ED64">
            <v>4.4999999999999998E-2</v>
          </cell>
          <cell r="EE64">
            <v>0.03</v>
          </cell>
          <cell r="EG64">
            <v>8.2500000000000004E-2</v>
          </cell>
          <cell r="EH64">
            <v>8.2500000000000004E-2</v>
          </cell>
          <cell r="EI64">
            <v>8.2500000000000004E-2</v>
          </cell>
          <cell r="EJ64">
            <v>8.2500000000000004E-2</v>
          </cell>
          <cell r="EK64">
            <v>8.2500000000000004E-2</v>
          </cell>
          <cell r="EL64">
            <v>8.2500000000000004E-2</v>
          </cell>
          <cell r="EM64">
            <v>8.2500000000000004E-2</v>
          </cell>
          <cell r="EN64">
            <v>8.2500000000000004E-2</v>
          </cell>
          <cell r="EO64">
            <v>8.2500000000000004E-2</v>
          </cell>
          <cell r="EP64">
            <v>8.2500000000000004E-2</v>
          </cell>
          <cell r="EQ64">
            <v>8.2500000000000004E-2</v>
          </cell>
          <cell r="ER64">
            <v>8.2500000000000004E-2</v>
          </cell>
          <cell r="ES64">
            <v>8.2500000000000004E-2</v>
          </cell>
          <cell r="EU64">
            <v>0.14000000000000001</v>
          </cell>
          <cell r="EV64">
            <v>0.14000000000000001</v>
          </cell>
          <cell r="EW64">
            <v>0.14000000000000001</v>
          </cell>
          <cell r="EX64">
            <v>0.14000000000000001</v>
          </cell>
          <cell r="EY64">
            <v>0.14000000000000001</v>
          </cell>
          <cell r="EZ64">
            <v>0.14000000000000001</v>
          </cell>
          <cell r="FA64">
            <v>0.14000000000000001</v>
          </cell>
          <cell r="FB64">
            <v>0.14000000000000001</v>
          </cell>
          <cell r="FC64">
            <v>0.14000000000000001</v>
          </cell>
          <cell r="FD64">
            <v>0.14000000000000001</v>
          </cell>
          <cell r="FE64">
            <v>0.14000000000000001</v>
          </cell>
          <cell r="FF64">
            <v>0.14000000000000001</v>
          </cell>
          <cell r="FG64">
            <v>0.14000000000000001</v>
          </cell>
        </row>
        <row r="65">
          <cell r="C65" t="str">
            <v>JEEP WRANGLER RUBICON 2.0T AT8 4x4</v>
          </cell>
          <cell r="D65" t="str">
            <v>WRANGLER RUBICON 2.0T AT 4X4</v>
          </cell>
          <cell r="G65">
            <v>0.3</v>
          </cell>
          <cell r="H65">
            <v>0.3</v>
          </cell>
          <cell r="I65">
            <v>0.3</v>
          </cell>
          <cell r="J65">
            <v>0.3</v>
          </cell>
          <cell r="K65">
            <v>0.3</v>
          </cell>
          <cell r="L65">
            <v>0.3</v>
          </cell>
          <cell r="M65">
            <v>0.3</v>
          </cell>
          <cell r="N65">
            <v>0.3</v>
          </cell>
          <cell r="O65">
            <v>0.3</v>
          </cell>
          <cell r="P65">
            <v>0.3</v>
          </cell>
          <cell r="Q65">
            <v>0.3</v>
          </cell>
          <cell r="R65">
            <v>0.3</v>
          </cell>
          <cell r="U65">
            <v>0.5</v>
          </cell>
          <cell r="V65">
            <v>0</v>
          </cell>
          <cell r="W65">
            <v>0.5</v>
          </cell>
          <cell r="X65">
            <v>0.5</v>
          </cell>
          <cell r="Y65">
            <v>0</v>
          </cell>
          <cell r="Z65">
            <v>0.5</v>
          </cell>
          <cell r="AA65">
            <v>0.5</v>
          </cell>
          <cell r="AB65">
            <v>0</v>
          </cell>
          <cell r="AC65">
            <v>0.5</v>
          </cell>
          <cell r="AD65">
            <v>0</v>
          </cell>
          <cell r="AE65">
            <v>0</v>
          </cell>
          <cell r="AF65">
            <v>1</v>
          </cell>
          <cell r="AG65">
            <v>0.5</v>
          </cell>
          <cell r="AH65">
            <v>0</v>
          </cell>
          <cell r="AI65">
            <v>0.5</v>
          </cell>
          <cell r="AJ65">
            <v>0.5</v>
          </cell>
          <cell r="AK65">
            <v>0</v>
          </cell>
          <cell r="AL65">
            <v>0.5</v>
          </cell>
          <cell r="AM65">
            <v>0.5</v>
          </cell>
          <cell r="AN65">
            <v>0</v>
          </cell>
          <cell r="AO65">
            <v>0.5</v>
          </cell>
          <cell r="AP65">
            <v>0.5</v>
          </cell>
          <cell r="AQ65">
            <v>0</v>
          </cell>
          <cell r="AR65">
            <v>0.5</v>
          </cell>
          <cell r="AS65">
            <v>0.5</v>
          </cell>
          <cell r="AT65">
            <v>0</v>
          </cell>
          <cell r="AU65">
            <v>0.5</v>
          </cell>
          <cell r="AV65">
            <v>0.5</v>
          </cell>
          <cell r="AW65">
            <v>0</v>
          </cell>
          <cell r="AX65">
            <v>0.5</v>
          </cell>
          <cell r="AY65">
            <v>0.5</v>
          </cell>
          <cell r="AZ65">
            <v>0</v>
          </cell>
          <cell r="BA65">
            <v>0.5</v>
          </cell>
          <cell r="BB65">
            <v>0.5</v>
          </cell>
          <cell r="BC65">
            <v>0</v>
          </cell>
          <cell r="BD65">
            <v>0.5</v>
          </cell>
          <cell r="BG65">
            <v>0.1</v>
          </cell>
          <cell r="BH65">
            <v>0.14000000000000001</v>
          </cell>
          <cell r="BI65">
            <v>0.18</v>
          </cell>
          <cell r="BJ65">
            <v>0.1</v>
          </cell>
          <cell r="BK65">
            <v>0.14000000000000001</v>
          </cell>
          <cell r="BL65">
            <v>0.18</v>
          </cell>
          <cell r="BM65">
            <v>0.1</v>
          </cell>
          <cell r="BN65">
            <v>0.14000000000000001</v>
          </cell>
          <cell r="BO65">
            <v>0.18</v>
          </cell>
          <cell r="BP65">
            <v>0.1</v>
          </cell>
          <cell r="BQ65">
            <v>0.14000000000000001</v>
          </cell>
          <cell r="BR65">
            <v>0.18</v>
          </cell>
          <cell r="BS65">
            <v>0.1</v>
          </cell>
          <cell r="BT65">
            <v>0.14000000000000001</v>
          </cell>
          <cell r="BU65">
            <v>0.18</v>
          </cell>
          <cell r="BV65">
            <v>0.1</v>
          </cell>
          <cell r="BW65">
            <v>0.14000000000000001</v>
          </cell>
          <cell r="BX65">
            <v>0.18</v>
          </cell>
          <cell r="BY65">
            <v>0.1</v>
          </cell>
          <cell r="BZ65">
            <v>0.14000000000000001</v>
          </cell>
          <cell r="CA65">
            <v>0.18</v>
          </cell>
          <cell r="CB65">
            <v>0.1</v>
          </cell>
          <cell r="CC65">
            <v>0.14000000000000001</v>
          </cell>
          <cell r="CD65">
            <v>0.18</v>
          </cell>
          <cell r="CE65">
            <v>0.1</v>
          </cell>
          <cell r="CF65">
            <v>0.14000000000000001</v>
          </cell>
          <cell r="CG65">
            <v>0.18</v>
          </cell>
          <cell r="CH65">
            <v>0.1</v>
          </cell>
          <cell r="CI65">
            <v>0.14000000000000001</v>
          </cell>
          <cell r="CJ65">
            <v>0.18</v>
          </cell>
          <cell r="CK65">
            <v>0.1</v>
          </cell>
          <cell r="CL65">
            <v>0.14000000000000001</v>
          </cell>
          <cell r="CM65">
            <v>0.18</v>
          </cell>
          <cell r="CN65">
            <v>0.1</v>
          </cell>
          <cell r="CO65">
            <v>0.14000000000000001</v>
          </cell>
          <cell r="CP65">
            <v>0.18</v>
          </cell>
          <cell r="CQ65">
            <v>0.1</v>
          </cell>
          <cell r="CR65">
            <v>0.14000000000000001</v>
          </cell>
          <cell r="CS65">
            <v>0.18</v>
          </cell>
          <cell r="CV65">
            <v>5.5E-2</v>
          </cell>
          <cell r="CW65">
            <v>4.4999999999999998E-2</v>
          </cell>
          <cell r="CX65">
            <v>0.03</v>
          </cell>
          <cell r="CY65">
            <v>5.5E-2</v>
          </cell>
          <cell r="CZ65">
            <v>4.4999999999999998E-2</v>
          </cell>
          <cell r="DA65">
            <v>0.03</v>
          </cell>
          <cell r="DB65">
            <v>5.5E-2</v>
          </cell>
          <cell r="DC65">
            <v>4.4999999999999998E-2</v>
          </cell>
          <cell r="DD65">
            <v>0.03</v>
          </cell>
          <cell r="DE65">
            <v>5.5E-2</v>
          </cell>
          <cell r="DF65">
            <v>4.4999999999999998E-2</v>
          </cell>
          <cell r="DG65">
            <v>0.03</v>
          </cell>
          <cell r="DH65">
            <v>5.5E-2</v>
          </cell>
          <cell r="DI65">
            <v>4.4999999999999998E-2</v>
          </cell>
          <cell r="DJ65">
            <v>0.03</v>
          </cell>
          <cell r="DK65">
            <v>5.5E-2</v>
          </cell>
          <cell r="DL65">
            <v>4.4999999999999998E-2</v>
          </cell>
          <cell r="DM65">
            <v>0.03</v>
          </cell>
          <cell r="DN65">
            <v>5.5E-2</v>
          </cell>
          <cell r="DO65">
            <v>4.4999999999999998E-2</v>
          </cell>
          <cell r="DP65">
            <v>0.03</v>
          </cell>
          <cell r="DQ65">
            <v>5.5E-2</v>
          </cell>
          <cell r="DR65">
            <v>4.4999999999999998E-2</v>
          </cell>
          <cell r="DS65">
            <v>0.03</v>
          </cell>
          <cell r="DT65">
            <v>5.5E-2</v>
          </cell>
          <cell r="DU65">
            <v>4.4999999999999998E-2</v>
          </cell>
          <cell r="DV65">
            <v>0.03</v>
          </cell>
          <cell r="DW65">
            <v>5.5E-2</v>
          </cell>
          <cell r="DX65">
            <v>4.4999999999999998E-2</v>
          </cell>
          <cell r="DY65">
            <v>0.03</v>
          </cell>
          <cell r="DZ65">
            <v>5.5E-2</v>
          </cell>
          <cell r="EA65">
            <v>4.4999999999999998E-2</v>
          </cell>
          <cell r="EB65">
            <v>0.03</v>
          </cell>
          <cell r="EC65">
            <v>5.5E-2</v>
          </cell>
          <cell r="ED65">
            <v>4.4999999999999998E-2</v>
          </cell>
          <cell r="EE65">
            <v>0.03</v>
          </cell>
          <cell r="EG65">
            <v>8.2500000000000004E-2</v>
          </cell>
          <cell r="EH65">
            <v>8.2500000000000004E-2</v>
          </cell>
          <cell r="EI65">
            <v>8.2500000000000004E-2</v>
          </cell>
          <cell r="EJ65">
            <v>8.2500000000000004E-2</v>
          </cell>
          <cell r="EK65">
            <v>0.10999999999999999</v>
          </cell>
          <cell r="EL65">
            <v>8.2500000000000004E-2</v>
          </cell>
          <cell r="EM65">
            <v>8.2500000000000004E-2</v>
          </cell>
          <cell r="EN65">
            <v>8.2500000000000004E-2</v>
          </cell>
          <cell r="EO65">
            <v>8.2500000000000004E-2</v>
          </cell>
          <cell r="EP65">
            <v>8.2500000000000004E-2</v>
          </cell>
          <cell r="EQ65">
            <v>8.2500000000000004E-2</v>
          </cell>
          <cell r="ER65">
            <v>8.2500000000000004E-2</v>
          </cell>
          <cell r="ES65">
            <v>8.2500000000000004E-2</v>
          </cell>
          <cell r="EU65">
            <v>0.14000000000000001</v>
          </cell>
          <cell r="EV65">
            <v>0.14000000000000001</v>
          </cell>
          <cell r="EW65">
            <v>0.14000000000000001</v>
          </cell>
          <cell r="EX65">
            <v>0.14000000000000001</v>
          </cell>
          <cell r="EY65">
            <v>0.18</v>
          </cell>
          <cell r="EZ65">
            <v>0.14000000000000001</v>
          </cell>
          <cell r="FA65">
            <v>0.14000000000000001</v>
          </cell>
          <cell r="FB65">
            <v>0.14000000000000001</v>
          </cell>
          <cell r="FC65">
            <v>0.14000000000000001</v>
          </cell>
          <cell r="FD65">
            <v>0.14000000000000001</v>
          </cell>
          <cell r="FE65">
            <v>0.14000000000000001</v>
          </cell>
          <cell r="FF65">
            <v>0.14000000000000001</v>
          </cell>
          <cell r="FG65">
            <v>0.14000000000000001</v>
          </cell>
        </row>
        <row r="66">
          <cell r="C66"/>
          <cell r="D66" t="str">
            <v/>
          </cell>
          <cell r="G66">
            <v>0.3</v>
          </cell>
          <cell r="H66">
            <v>0.3</v>
          </cell>
          <cell r="I66">
            <v>0.3</v>
          </cell>
          <cell r="J66">
            <v>0.3</v>
          </cell>
          <cell r="K66">
            <v>0.3</v>
          </cell>
          <cell r="L66">
            <v>0.3</v>
          </cell>
          <cell r="M66">
            <v>0.3</v>
          </cell>
          <cell r="N66">
            <v>0.3</v>
          </cell>
          <cell r="O66">
            <v>0.3</v>
          </cell>
          <cell r="P66">
            <v>0.3</v>
          </cell>
          <cell r="Q66">
            <v>0.3</v>
          </cell>
          <cell r="R66">
            <v>0.3</v>
          </cell>
          <cell r="U66">
            <v>0.5</v>
          </cell>
          <cell r="V66">
            <v>0</v>
          </cell>
          <cell r="W66">
            <v>0.5</v>
          </cell>
          <cell r="X66">
            <v>0.5</v>
          </cell>
          <cell r="Y66">
            <v>0</v>
          </cell>
          <cell r="Z66">
            <v>0.5</v>
          </cell>
          <cell r="AA66">
            <v>0.5</v>
          </cell>
          <cell r="AB66">
            <v>0</v>
          </cell>
          <cell r="AC66">
            <v>0.5</v>
          </cell>
          <cell r="AD66">
            <v>0.5</v>
          </cell>
          <cell r="AE66">
            <v>0</v>
          </cell>
          <cell r="AF66">
            <v>0.5</v>
          </cell>
          <cell r="AG66">
            <v>0.5</v>
          </cell>
          <cell r="AH66">
            <v>0</v>
          </cell>
          <cell r="AI66">
            <v>0.5</v>
          </cell>
          <cell r="AJ66">
            <v>0.5</v>
          </cell>
          <cell r="AK66">
            <v>0</v>
          </cell>
          <cell r="AL66">
            <v>0.5</v>
          </cell>
          <cell r="AM66">
            <v>0.5</v>
          </cell>
          <cell r="AN66">
            <v>0</v>
          </cell>
          <cell r="AO66">
            <v>0.5</v>
          </cell>
          <cell r="AP66">
            <v>0.5</v>
          </cell>
          <cell r="AQ66">
            <v>0</v>
          </cell>
          <cell r="AR66">
            <v>0.5</v>
          </cell>
          <cell r="AS66">
            <v>0.5</v>
          </cell>
          <cell r="AT66">
            <v>0</v>
          </cell>
          <cell r="AU66">
            <v>0.5</v>
          </cell>
          <cell r="AV66">
            <v>0.5</v>
          </cell>
          <cell r="AW66">
            <v>0</v>
          </cell>
          <cell r="AX66">
            <v>0.5</v>
          </cell>
          <cell r="AY66">
            <v>0.5</v>
          </cell>
          <cell r="AZ66">
            <v>0</v>
          </cell>
          <cell r="BA66">
            <v>0.5</v>
          </cell>
          <cell r="BB66">
            <v>0.5</v>
          </cell>
          <cell r="BC66">
            <v>0</v>
          </cell>
          <cell r="BD66">
            <v>0.5</v>
          </cell>
          <cell r="BG66">
            <v>0.1</v>
          </cell>
          <cell r="BH66">
            <v>0.14000000000000001</v>
          </cell>
          <cell r="BI66">
            <v>0.18</v>
          </cell>
          <cell r="BJ66">
            <v>0.1</v>
          </cell>
          <cell r="BK66">
            <v>0.14000000000000001</v>
          </cell>
          <cell r="BL66">
            <v>0.18</v>
          </cell>
          <cell r="BM66">
            <v>0.1</v>
          </cell>
          <cell r="BN66">
            <v>0.14000000000000001</v>
          </cell>
          <cell r="BO66">
            <v>0.18</v>
          </cell>
          <cell r="BP66">
            <v>0.1</v>
          </cell>
          <cell r="BQ66">
            <v>0.14000000000000001</v>
          </cell>
          <cell r="BR66">
            <v>0.18</v>
          </cell>
          <cell r="BS66">
            <v>0.1</v>
          </cell>
          <cell r="BT66">
            <v>0.14000000000000001</v>
          </cell>
          <cell r="BU66">
            <v>0.18</v>
          </cell>
          <cell r="BV66">
            <v>0.1</v>
          </cell>
          <cell r="BW66">
            <v>0.14000000000000001</v>
          </cell>
          <cell r="BX66">
            <v>0.18</v>
          </cell>
          <cell r="BY66">
            <v>0.1</v>
          </cell>
          <cell r="BZ66">
            <v>0.14000000000000001</v>
          </cell>
          <cell r="CA66">
            <v>0.18</v>
          </cell>
          <cell r="CB66">
            <v>0.1</v>
          </cell>
          <cell r="CC66">
            <v>0.14000000000000001</v>
          </cell>
          <cell r="CD66">
            <v>0.18</v>
          </cell>
          <cell r="CE66">
            <v>0.1</v>
          </cell>
          <cell r="CF66">
            <v>0.14000000000000001</v>
          </cell>
          <cell r="CG66">
            <v>0.18</v>
          </cell>
          <cell r="CH66">
            <v>0.1</v>
          </cell>
          <cell r="CI66">
            <v>0.14000000000000001</v>
          </cell>
          <cell r="CJ66">
            <v>0.18</v>
          </cell>
          <cell r="CK66">
            <v>0.1</v>
          </cell>
          <cell r="CL66">
            <v>0.14000000000000001</v>
          </cell>
          <cell r="CM66">
            <v>0.18</v>
          </cell>
          <cell r="CN66">
            <v>0.1</v>
          </cell>
          <cell r="CO66">
            <v>0.14000000000000001</v>
          </cell>
          <cell r="CP66">
            <v>0.18</v>
          </cell>
          <cell r="CQ66">
            <v>0.1</v>
          </cell>
          <cell r="CR66">
            <v>0.14000000000000001</v>
          </cell>
          <cell r="CS66">
            <v>0.18</v>
          </cell>
          <cell r="CV66">
            <v>5.5E-2</v>
          </cell>
          <cell r="CW66">
            <v>4.4999999999999998E-2</v>
          </cell>
          <cell r="CX66">
            <v>0.03</v>
          </cell>
          <cell r="CY66">
            <v>5.5E-2</v>
          </cell>
          <cell r="CZ66">
            <v>4.4999999999999998E-2</v>
          </cell>
          <cell r="DA66">
            <v>0.03</v>
          </cell>
          <cell r="DB66">
            <v>5.5E-2</v>
          </cell>
          <cell r="DC66">
            <v>4.4999999999999998E-2</v>
          </cell>
          <cell r="DD66">
            <v>0.03</v>
          </cell>
          <cell r="DE66">
            <v>5.5E-2</v>
          </cell>
          <cell r="DF66">
            <v>4.4999999999999998E-2</v>
          </cell>
          <cell r="DG66">
            <v>0.03</v>
          </cell>
          <cell r="DH66">
            <v>5.5E-2</v>
          </cell>
          <cell r="DI66">
            <v>4.4999999999999998E-2</v>
          </cell>
          <cell r="DJ66">
            <v>0.03</v>
          </cell>
          <cell r="DK66">
            <v>5.5E-2</v>
          </cell>
          <cell r="DL66">
            <v>4.4999999999999998E-2</v>
          </cell>
          <cell r="DM66">
            <v>0.03</v>
          </cell>
          <cell r="DN66">
            <v>5.5E-2</v>
          </cell>
          <cell r="DO66">
            <v>4.4999999999999998E-2</v>
          </cell>
          <cell r="DP66">
            <v>0.03</v>
          </cell>
          <cell r="DQ66">
            <v>5.5E-2</v>
          </cell>
          <cell r="DR66">
            <v>4.4999999999999998E-2</v>
          </cell>
          <cell r="DS66">
            <v>0.03</v>
          </cell>
          <cell r="DT66">
            <v>5.5E-2</v>
          </cell>
          <cell r="DU66">
            <v>4.4999999999999998E-2</v>
          </cell>
          <cell r="DV66">
            <v>0.03</v>
          </cell>
          <cell r="DW66">
            <v>5.5E-2</v>
          </cell>
          <cell r="DX66">
            <v>4.4999999999999998E-2</v>
          </cell>
          <cell r="DY66">
            <v>0.03</v>
          </cell>
          <cell r="DZ66">
            <v>5.5E-2</v>
          </cell>
          <cell r="EA66">
            <v>4.4999999999999998E-2</v>
          </cell>
          <cell r="EB66">
            <v>0.03</v>
          </cell>
          <cell r="EC66">
            <v>5.5E-2</v>
          </cell>
          <cell r="ED66">
            <v>4.4999999999999998E-2</v>
          </cell>
          <cell r="EE66">
            <v>0.03</v>
          </cell>
          <cell r="EG66">
            <v>8.2500000000000004E-2</v>
          </cell>
          <cell r="EH66">
            <v>8.2500000000000004E-2</v>
          </cell>
          <cell r="EI66">
            <v>8.2500000000000004E-2</v>
          </cell>
          <cell r="EJ66">
            <v>8.2500000000000004E-2</v>
          </cell>
          <cell r="EK66">
            <v>8.2500000000000004E-2</v>
          </cell>
          <cell r="EL66">
            <v>8.2500000000000004E-2</v>
          </cell>
          <cell r="EM66">
            <v>8.2500000000000004E-2</v>
          </cell>
          <cell r="EN66">
            <v>8.2500000000000004E-2</v>
          </cell>
          <cell r="EO66">
            <v>8.2500000000000004E-2</v>
          </cell>
          <cell r="EP66">
            <v>8.2500000000000004E-2</v>
          </cell>
          <cell r="EQ66">
            <v>8.2500000000000004E-2</v>
          </cell>
          <cell r="ER66">
            <v>8.2500000000000004E-2</v>
          </cell>
          <cell r="ES66">
            <v>8.2500000000000004E-2</v>
          </cell>
          <cell r="EU66">
            <v>0.14000000000000001</v>
          </cell>
          <cell r="EV66">
            <v>0.14000000000000001</v>
          </cell>
          <cell r="EW66">
            <v>0.14000000000000001</v>
          </cell>
          <cell r="EX66">
            <v>0.14000000000000001</v>
          </cell>
          <cell r="EY66">
            <v>0.14000000000000001</v>
          </cell>
          <cell r="EZ66">
            <v>0.14000000000000001</v>
          </cell>
          <cell r="FA66">
            <v>0.14000000000000001</v>
          </cell>
          <cell r="FB66">
            <v>0.14000000000000001</v>
          </cell>
          <cell r="FC66">
            <v>0.14000000000000001</v>
          </cell>
          <cell r="FD66">
            <v>0.14000000000000001</v>
          </cell>
          <cell r="FE66">
            <v>0.14000000000000001</v>
          </cell>
          <cell r="FF66">
            <v>0.14000000000000001</v>
          </cell>
          <cell r="FG66">
            <v>0.14000000000000001</v>
          </cell>
        </row>
        <row r="67">
          <cell r="C67" t="str">
            <v>G.Cherokee Altitude 2.0T AT 4x4</v>
          </cell>
          <cell r="D67" t="str">
            <v>Grand Cherokee Altitude 3.6L 4x4</v>
          </cell>
          <cell r="G67">
            <v>0.05</v>
          </cell>
          <cell r="H67">
            <v>0.05</v>
          </cell>
          <cell r="I67">
            <v>0.05</v>
          </cell>
          <cell r="J67">
            <v>0.05</v>
          </cell>
          <cell r="K67">
            <v>0.05</v>
          </cell>
          <cell r="L67">
            <v>0.05</v>
          </cell>
          <cell r="M67">
            <v>0.05</v>
          </cell>
          <cell r="N67">
            <v>0.05</v>
          </cell>
          <cell r="O67">
            <v>0.05</v>
          </cell>
          <cell r="P67">
            <v>0.05</v>
          </cell>
          <cell r="Q67">
            <v>0.05</v>
          </cell>
          <cell r="R67">
            <v>0.05</v>
          </cell>
          <cell r="U67">
            <v>0.5</v>
          </cell>
          <cell r="V67">
            <v>0</v>
          </cell>
          <cell r="W67">
            <v>0.5</v>
          </cell>
          <cell r="X67">
            <v>0.5</v>
          </cell>
          <cell r="Y67">
            <v>0</v>
          </cell>
          <cell r="Z67">
            <v>0.5</v>
          </cell>
          <cell r="AA67">
            <v>0.5</v>
          </cell>
          <cell r="AB67">
            <v>0</v>
          </cell>
          <cell r="AC67">
            <v>0.5</v>
          </cell>
          <cell r="AD67">
            <v>0.5</v>
          </cell>
          <cell r="AE67">
            <v>0</v>
          </cell>
          <cell r="AF67">
            <v>0.5</v>
          </cell>
          <cell r="AG67">
            <v>0.5</v>
          </cell>
          <cell r="AH67">
            <v>0</v>
          </cell>
          <cell r="AI67">
            <v>0.5</v>
          </cell>
          <cell r="AJ67">
            <v>0.5</v>
          </cell>
          <cell r="AK67">
            <v>0</v>
          </cell>
          <cell r="AL67">
            <v>0.5</v>
          </cell>
          <cell r="AM67">
            <v>0.5</v>
          </cell>
          <cell r="AN67">
            <v>0</v>
          </cell>
          <cell r="AO67">
            <v>0.5</v>
          </cell>
          <cell r="AP67">
            <v>0.5</v>
          </cell>
          <cell r="AQ67">
            <v>0</v>
          </cell>
          <cell r="AR67">
            <v>0.5</v>
          </cell>
          <cell r="AS67">
            <v>0.5</v>
          </cell>
          <cell r="AT67">
            <v>0</v>
          </cell>
          <cell r="AU67">
            <v>0.5</v>
          </cell>
          <cell r="AV67">
            <v>0.5</v>
          </cell>
          <cell r="AW67">
            <v>0</v>
          </cell>
          <cell r="AX67">
            <v>0.5</v>
          </cell>
          <cell r="AY67">
            <v>0.5</v>
          </cell>
          <cell r="AZ67">
            <v>0</v>
          </cell>
          <cell r="BA67">
            <v>0.5</v>
          </cell>
          <cell r="BB67">
            <v>0.5</v>
          </cell>
          <cell r="BC67">
            <v>0</v>
          </cell>
          <cell r="BD67">
            <v>0.5</v>
          </cell>
          <cell r="BG67">
            <v>0.08</v>
          </cell>
          <cell r="BH67">
            <v>0.1</v>
          </cell>
          <cell r="BI67">
            <v>0.12</v>
          </cell>
          <cell r="BJ67">
            <v>0.08</v>
          </cell>
          <cell r="BK67">
            <v>0.1</v>
          </cell>
          <cell r="BL67">
            <v>0.12</v>
          </cell>
          <cell r="BM67">
            <v>0.08</v>
          </cell>
          <cell r="BN67">
            <v>0.1</v>
          </cell>
          <cell r="BO67">
            <v>0.12</v>
          </cell>
          <cell r="BP67">
            <v>0.08</v>
          </cell>
          <cell r="BQ67">
            <v>0.1</v>
          </cell>
          <cell r="BR67">
            <v>0.12</v>
          </cell>
          <cell r="BS67">
            <v>0.08</v>
          </cell>
          <cell r="BT67">
            <v>0.1</v>
          </cell>
          <cell r="BU67">
            <v>0.12</v>
          </cell>
          <cell r="BV67">
            <v>0.08</v>
          </cell>
          <cell r="BW67">
            <v>0.1</v>
          </cell>
          <cell r="BX67">
            <v>0.12</v>
          </cell>
          <cell r="BY67">
            <v>0.08</v>
          </cell>
          <cell r="BZ67">
            <v>0.1</v>
          </cell>
          <cell r="CA67">
            <v>0.12</v>
          </cell>
          <cell r="CB67">
            <v>0.08</v>
          </cell>
          <cell r="CC67">
            <v>0.1</v>
          </cell>
          <cell r="CD67">
            <v>0.12</v>
          </cell>
          <cell r="CE67">
            <v>0.08</v>
          </cell>
          <cell r="CF67">
            <v>0.1</v>
          </cell>
          <cell r="CG67">
            <v>0.12</v>
          </cell>
          <cell r="CH67">
            <v>0.08</v>
          </cell>
          <cell r="CI67">
            <v>0.1</v>
          </cell>
          <cell r="CJ67">
            <v>0.12</v>
          </cell>
          <cell r="CK67">
            <v>0.08</v>
          </cell>
          <cell r="CL67">
            <v>0.1</v>
          </cell>
          <cell r="CM67">
            <v>0.12</v>
          </cell>
          <cell r="CN67">
            <v>0.08</v>
          </cell>
          <cell r="CO67">
            <v>0.1</v>
          </cell>
          <cell r="CP67">
            <v>0.12</v>
          </cell>
          <cell r="CQ67">
            <v>0.08</v>
          </cell>
          <cell r="CR67">
            <v>0.1</v>
          </cell>
          <cell r="CS67">
            <v>0.12</v>
          </cell>
          <cell r="CV67">
            <v>5.5E-2</v>
          </cell>
          <cell r="CW67">
            <v>4.4999999999999998E-2</v>
          </cell>
          <cell r="CX67">
            <v>0.03</v>
          </cell>
          <cell r="CY67">
            <v>5.5E-2</v>
          </cell>
          <cell r="CZ67">
            <v>4.4999999999999998E-2</v>
          </cell>
          <cell r="DA67">
            <v>0.03</v>
          </cell>
          <cell r="DB67">
            <v>0.06</v>
          </cell>
          <cell r="DC67">
            <v>0.05</v>
          </cell>
          <cell r="DD67">
            <v>0.04</v>
          </cell>
          <cell r="DE67">
            <v>0.06</v>
          </cell>
          <cell r="DF67">
            <v>0.05</v>
          </cell>
          <cell r="DG67">
            <v>0.04</v>
          </cell>
          <cell r="DH67">
            <v>0.06</v>
          </cell>
          <cell r="DI67">
            <v>0.05</v>
          </cell>
          <cell r="DJ67">
            <v>0.04</v>
          </cell>
          <cell r="DK67">
            <v>0.06</v>
          </cell>
          <cell r="DL67">
            <v>0.05</v>
          </cell>
          <cell r="DM67">
            <v>0.04</v>
          </cell>
          <cell r="DN67">
            <v>0.06</v>
          </cell>
          <cell r="DO67">
            <v>0.05</v>
          </cell>
          <cell r="DP67">
            <v>0.04</v>
          </cell>
          <cell r="DQ67">
            <v>0.06</v>
          </cell>
          <cell r="DR67">
            <v>0.05</v>
          </cell>
          <cell r="DS67">
            <v>0.04</v>
          </cell>
          <cell r="DT67">
            <v>0.06</v>
          </cell>
          <cell r="DU67">
            <v>0.05</v>
          </cell>
          <cell r="DV67">
            <v>0.04</v>
          </cell>
          <cell r="DW67">
            <v>0.06</v>
          </cell>
          <cell r="DX67">
            <v>0.05</v>
          </cell>
          <cell r="DY67">
            <v>0.04</v>
          </cell>
          <cell r="DZ67">
            <v>0.06</v>
          </cell>
          <cell r="EA67">
            <v>0.05</v>
          </cell>
          <cell r="EB67">
            <v>0.04</v>
          </cell>
          <cell r="EC67">
            <v>0.06</v>
          </cell>
          <cell r="ED67">
            <v>0.05</v>
          </cell>
          <cell r="EE67">
            <v>0.04</v>
          </cell>
          <cell r="EG67">
            <v>4.2499999999999996E-2</v>
          </cell>
          <cell r="EH67">
            <v>4.2499999999999996E-2</v>
          </cell>
          <cell r="EI67">
            <v>4.2499999999999996E-2</v>
          </cell>
          <cell r="EJ67">
            <v>0.05</v>
          </cell>
          <cell r="EK67">
            <v>0.05</v>
          </cell>
          <cell r="EL67">
            <v>0.05</v>
          </cell>
          <cell r="EM67">
            <v>0.05</v>
          </cell>
          <cell r="EN67">
            <v>0.05</v>
          </cell>
          <cell r="EO67">
            <v>0.05</v>
          </cell>
          <cell r="EP67">
            <v>0.05</v>
          </cell>
          <cell r="EQ67">
            <v>0.05</v>
          </cell>
          <cell r="ER67">
            <v>0.05</v>
          </cell>
          <cell r="ES67">
            <v>0.05</v>
          </cell>
          <cell r="EU67">
            <v>0.1</v>
          </cell>
          <cell r="EV67">
            <v>0.1</v>
          </cell>
          <cell r="EW67">
            <v>0.1</v>
          </cell>
          <cell r="EX67">
            <v>0.1</v>
          </cell>
          <cell r="EY67">
            <v>0.1</v>
          </cell>
          <cell r="EZ67">
            <v>0.1</v>
          </cell>
          <cell r="FA67">
            <v>0.1</v>
          </cell>
          <cell r="FB67">
            <v>0.1</v>
          </cell>
          <cell r="FC67">
            <v>0.1</v>
          </cell>
          <cell r="FD67">
            <v>0.1</v>
          </cell>
          <cell r="FE67">
            <v>0.1</v>
          </cell>
          <cell r="FF67">
            <v>0.1</v>
          </cell>
          <cell r="FG67">
            <v>0.1</v>
          </cell>
        </row>
        <row r="68">
          <cell r="C68" t="str">
            <v>G.Cherokee Limited 2.0T AT 4x4</v>
          </cell>
          <cell r="D68" t="str">
            <v>Grand Cherokee Limited 3.6L 4x4</v>
          </cell>
          <cell r="G68">
            <v>0.05</v>
          </cell>
          <cell r="H68">
            <v>0.05</v>
          </cell>
          <cell r="I68">
            <v>0.05</v>
          </cell>
          <cell r="J68">
            <v>0.05</v>
          </cell>
          <cell r="K68">
            <v>0.05</v>
          </cell>
          <cell r="L68">
            <v>0.05</v>
          </cell>
          <cell r="M68">
            <v>0.05</v>
          </cell>
          <cell r="N68">
            <v>0.05</v>
          </cell>
          <cell r="O68">
            <v>0.05</v>
          </cell>
          <cell r="P68">
            <v>0.05</v>
          </cell>
          <cell r="Q68">
            <v>0.05</v>
          </cell>
          <cell r="R68">
            <v>0.05</v>
          </cell>
          <cell r="U68">
            <v>0.5</v>
          </cell>
          <cell r="V68">
            <v>0</v>
          </cell>
          <cell r="W68">
            <v>0.5</v>
          </cell>
          <cell r="X68">
            <v>0.5</v>
          </cell>
          <cell r="Y68">
            <v>0</v>
          </cell>
          <cell r="Z68">
            <v>0.5</v>
          </cell>
          <cell r="AA68">
            <v>0.5</v>
          </cell>
          <cell r="AB68">
            <v>0</v>
          </cell>
          <cell r="AC68">
            <v>0.5</v>
          </cell>
          <cell r="AD68">
            <v>0.5</v>
          </cell>
          <cell r="AE68">
            <v>0</v>
          </cell>
          <cell r="AF68">
            <v>0.5</v>
          </cell>
          <cell r="AG68">
            <v>0.5</v>
          </cell>
          <cell r="AH68">
            <v>0</v>
          </cell>
          <cell r="AI68">
            <v>0.5</v>
          </cell>
          <cell r="AJ68">
            <v>0.5</v>
          </cell>
          <cell r="AK68">
            <v>0</v>
          </cell>
          <cell r="AL68">
            <v>0.5</v>
          </cell>
          <cell r="AM68">
            <v>0.5</v>
          </cell>
          <cell r="AN68">
            <v>0</v>
          </cell>
          <cell r="AO68">
            <v>0.5</v>
          </cell>
          <cell r="AP68">
            <v>0.5</v>
          </cell>
          <cell r="AQ68">
            <v>0</v>
          </cell>
          <cell r="AR68">
            <v>0.5</v>
          </cell>
          <cell r="AS68">
            <v>0.5</v>
          </cell>
          <cell r="AT68">
            <v>0</v>
          </cell>
          <cell r="AU68">
            <v>0.5</v>
          </cell>
          <cell r="AV68">
            <v>0.5</v>
          </cell>
          <cell r="AW68">
            <v>0</v>
          </cell>
          <cell r="AX68">
            <v>0.5</v>
          </cell>
          <cell r="AY68">
            <v>0.5</v>
          </cell>
          <cell r="AZ68">
            <v>0</v>
          </cell>
          <cell r="BA68">
            <v>0.5</v>
          </cell>
          <cell r="BB68">
            <v>0.5</v>
          </cell>
          <cell r="BC68">
            <v>0</v>
          </cell>
          <cell r="BD68">
            <v>0.5</v>
          </cell>
          <cell r="BG68">
            <v>0.08</v>
          </cell>
          <cell r="BH68">
            <v>0.1</v>
          </cell>
          <cell r="BI68">
            <v>0.12</v>
          </cell>
          <cell r="BJ68">
            <v>0.08</v>
          </cell>
          <cell r="BK68">
            <v>0.1</v>
          </cell>
          <cell r="BL68">
            <v>0.12</v>
          </cell>
          <cell r="BM68">
            <v>0.08</v>
          </cell>
          <cell r="BN68">
            <v>0.1</v>
          </cell>
          <cell r="BO68">
            <v>0.12</v>
          </cell>
          <cell r="BP68">
            <v>0.08</v>
          </cell>
          <cell r="BQ68">
            <v>0.1</v>
          </cell>
          <cell r="BR68">
            <v>0.12</v>
          </cell>
          <cell r="BS68">
            <v>0.08</v>
          </cell>
          <cell r="BT68">
            <v>0.1</v>
          </cell>
          <cell r="BU68">
            <v>0.12</v>
          </cell>
          <cell r="BV68">
            <v>0.08</v>
          </cell>
          <cell r="BW68">
            <v>0.1</v>
          </cell>
          <cell r="BX68">
            <v>0.12</v>
          </cell>
          <cell r="BY68">
            <v>0.08</v>
          </cell>
          <cell r="BZ68">
            <v>0.1</v>
          </cell>
          <cell r="CA68">
            <v>0.12</v>
          </cell>
          <cell r="CB68">
            <v>0.08</v>
          </cell>
          <cell r="CC68">
            <v>0.1</v>
          </cell>
          <cell r="CD68">
            <v>0.12</v>
          </cell>
          <cell r="CE68">
            <v>0.08</v>
          </cell>
          <cell r="CF68">
            <v>0.1</v>
          </cell>
          <cell r="CG68">
            <v>0.12</v>
          </cell>
          <cell r="CH68">
            <v>0.08</v>
          </cell>
          <cell r="CI68">
            <v>0.1</v>
          </cell>
          <cell r="CJ68">
            <v>0.12</v>
          </cell>
          <cell r="CK68">
            <v>0.08</v>
          </cell>
          <cell r="CL68">
            <v>0.1</v>
          </cell>
          <cell r="CM68">
            <v>0.12</v>
          </cell>
          <cell r="CN68">
            <v>0.08</v>
          </cell>
          <cell r="CO68">
            <v>0.1</v>
          </cell>
          <cell r="CP68">
            <v>0.12</v>
          </cell>
          <cell r="CQ68">
            <v>0.08</v>
          </cell>
          <cell r="CR68">
            <v>0.1</v>
          </cell>
          <cell r="CS68">
            <v>0.12</v>
          </cell>
          <cell r="CV68">
            <v>5.5E-2</v>
          </cell>
          <cell r="CW68">
            <v>4.4999999999999998E-2</v>
          </cell>
          <cell r="CX68">
            <v>0.03</v>
          </cell>
          <cell r="CY68">
            <v>5.5E-2</v>
          </cell>
          <cell r="CZ68">
            <v>4.4999999999999998E-2</v>
          </cell>
          <cell r="DA68">
            <v>0.03</v>
          </cell>
          <cell r="DB68">
            <v>0.06</v>
          </cell>
          <cell r="DC68">
            <v>0.05</v>
          </cell>
          <cell r="DD68">
            <v>0.04</v>
          </cell>
          <cell r="DE68">
            <v>0.06</v>
          </cell>
          <cell r="DF68">
            <v>0.05</v>
          </cell>
          <cell r="DG68">
            <v>0.04</v>
          </cell>
          <cell r="DH68">
            <v>0.06</v>
          </cell>
          <cell r="DI68">
            <v>0.05</v>
          </cell>
          <cell r="DJ68">
            <v>0.04</v>
          </cell>
          <cell r="DK68">
            <v>0.06</v>
          </cell>
          <cell r="DL68">
            <v>0.05</v>
          </cell>
          <cell r="DM68">
            <v>0.04</v>
          </cell>
          <cell r="DN68">
            <v>0.06</v>
          </cell>
          <cell r="DO68">
            <v>0.05</v>
          </cell>
          <cell r="DP68">
            <v>0.04</v>
          </cell>
          <cell r="DQ68">
            <v>0.06</v>
          </cell>
          <cell r="DR68">
            <v>0.05</v>
          </cell>
          <cell r="DS68">
            <v>0.04</v>
          </cell>
          <cell r="DT68">
            <v>0.06</v>
          </cell>
          <cell r="DU68">
            <v>0.05</v>
          </cell>
          <cell r="DV68">
            <v>0.04</v>
          </cell>
          <cell r="DW68">
            <v>0.06</v>
          </cell>
          <cell r="DX68">
            <v>0.05</v>
          </cell>
          <cell r="DY68">
            <v>0.04</v>
          </cell>
          <cell r="DZ68">
            <v>0.06</v>
          </cell>
          <cell r="EA68">
            <v>0.05</v>
          </cell>
          <cell r="EB68">
            <v>0.04</v>
          </cell>
          <cell r="EC68">
            <v>0.06</v>
          </cell>
          <cell r="ED68">
            <v>0.05</v>
          </cell>
          <cell r="EE68">
            <v>0.04</v>
          </cell>
          <cell r="EG68">
            <v>4.2499999999999996E-2</v>
          </cell>
          <cell r="EH68">
            <v>4.2499999999999996E-2</v>
          </cell>
          <cell r="EI68">
            <v>4.2499999999999996E-2</v>
          </cell>
          <cell r="EJ68">
            <v>0.05</v>
          </cell>
          <cell r="EK68">
            <v>0.05</v>
          </cell>
          <cell r="EL68">
            <v>0.05</v>
          </cell>
          <cell r="EM68">
            <v>0.05</v>
          </cell>
          <cell r="EN68">
            <v>0.05</v>
          </cell>
          <cell r="EO68">
            <v>0.05</v>
          </cell>
          <cell r="EP68">
            <v>0.05</v>
          </cell>
          <cell r="EQ68">
            <v>0.05</v>
          </cell>
          <cell r="ER68">
            <v>0.05</v>
          </cell>
          <cell r="ES68">
            <v>0.05</v>
          </cell>
          <cell r="EU68">
            <v>0.1</v>
          </cell>
          <cell r="EV68">
            <v>0.1</v>
          </cell>
          <cell r="EW68">
            <v>0.1</v>
          </cell>
          <cell r="EX68">
            <v>0.1</v>
          </cell>
          <cell r="EY68">
            <v>0.1</v>
          </cell>
          <cell r="EZ68">
            <v>0.1</v>
          </cell>
          <cell r="FA68">
            <v>0.1</v>
          </cell>
          <cell r="FB68">
            <v>0.1</v>
          </cell>
          <cell r="FC68">
            <v>0.1</v>
          </cell>
          <cell r="FD68">
            <v>0.1</v>
          </cell>
          <cell r="FE68">
            <v>0.1</v>
          </cell>
          <cell r="FF68">
            <v>0.1</v>
          </cell>
          <cell r="FG68">
            <v>0.1</v>
          </cell>
        </row>
        <row r="69">
          <cell r="C69" t="str">
            <v>JEEP RENEGADE SPORT 1.3T AT6 FWD</v>
          </cell>
          <cell r="D69" t="str">
            <v>JEEP RENEGADE SPORT 1.3T AT6 FWD</v>
          </cell>
          <cell r="G69">
            <v>0.05</v>
          </cell>
          <cell r="H69">
            <v>0.05</v>
          </cell>
          <cell r="I69">
            <v>0.05</v>
          </cell>
          <cell r="J69">
            <v>0.05</v>
          </cell>
          <cell r="K69">
            <v>0.05</v>
          </cell>
          <cell r="L69">
            <v>0.05</v>
          </cell>
          <cell r="M69">
            <v>0.05</v>
          </cell>
          <cell r="N69">
            <v>0.05</v>
          </cell>
          <cell r="O69">
            <v>0.05</v>
          </cell>
          <cell r="P69">
            <v>0.05</v>
          </cell>
          <cell r="Q69">
            <v>0.05</v>
          </cell>
          <cell r="R69">
            <v>0.05</v>
          </cell>
          <cell r="U69">
            <v>0.5</v>
          </cell>
          <cell r="V69">
            <v>0</v>
          </cell>
          <cell r="W69">
            <v>0.5</v>
          </cell>
          <cell r="X69">
            <v>0.5</v>
          </cell>
          <cell r="Y69">
            <v>0</v>
          </cell>
          <cell r="Z69">
            <v>0.5</v>
          </cell>
          <cell r="AA69">
            <v>0.5</v>
          </cell>
          <cell r="AB69">
            <v>0</v>
          </cell>
          <cell r="AC69">
            <v>0.5</v>
          </cell>
          <cell r="AD69">
            <v>0.5</v>
          </cell>
          <cell r="AE69">
            <v>0</v>
          </cell>
          <cell r="AF69">
            <v>0.5</v>
          </cell>
          <cell r="AG69">
            <v>0.5</v>
          </cell>
          <cell r="AH69">
            <v>0</v>
          </cell>
          <cell r="AI69">
            <v>0.5</v>
          </cell>
          <cell r="AJ69">
            <v>0.5</v>
          </cell>
          <cell r="AK69">
            <v>0</v>
          </cell>
          <cell r="AL69">
            <v>0.5</v>
          </cell>
          <cell r="AM69">
            <v>0.5</v>
          </cell>
          <cell r="AN69">
            <v>0</v>
          </cell>
          <cell r="AO69">
            <v>0.5</v>
          </cell>
          <cell r="AP69">
            <v>0.5</v>
          </cell>
          <cell r="AQ69">
            <v>0</v>
          </cell>
          <cell r="AR69">
            <v>0.5</v>
          </cell>
          <cell r="AS69">
            <v>0.5</v>
          </cell>
          <cell r="AT69">
            <v>0</v>
          </cell>
          <cell r="AU69">
            <v>0.5</v>
          </cell>
          <cell r="AV69">
            <v>0.5</v>
          </cell>
          <cell r="AW69">
            <v>0</v>
          </cell>
          <cell r="AX69">
            <v>0.5</v>
          </cell>
          <cell r="AY69">
            <v>0.5</v>
          </cell>
          <cell r="AZ69">
            <v>0</v>
          </cell>
          <cell r="BA69">
            <v>0.5</v>
          </cell>
          <cell r="BB69">
            <v>0.5</v>
          </cell>
          <cell r="BC69">
            <v>0</v>
          </cell>
          <cell r="BD69">
            <v>0.5</v>
          </cell>
          <cell r="BG69">
            <v>0.08</v>
          </cell>
          <cell r="BH69">
            <v>0.1</v>
          </cell>
          <cell r="BI69">
            <v>0.12</v>
          </cell>
          <cell r="BJ69">
            <v>0.08</v>
          </cell>
          <cell r="BK69">
            <v>0.1</v>
          </cell>
          <cell r="BL69">
            <v>0.12</v>
          </cell>
          <cell r="BM69">
            <v>0.08</v>
          </cell>
          <cell r="BN69">
            <v>0.1</v>
          </cell>
          <cell r="BO69">
            <v>0.12</v>
          </cell>
          <cell r="BP69">
            <v>0.08</v>
          </cell>
          <cell r="BQ69">
            <v>0.1</v>
          </cell>
          <cell r="BR69">
            <v>0.12</v>
          </cell>
          <cell r="BS69">
            <v>0.08</v>
          </cell>
          <cell r="BT69">
            <v>0.1</v>
          </cell>
          <cell r="BU69">
            <v>0.12</v>
          </cell>
          <cell r="BV69">
            <v>0.08</v>
          </cell>
          <cell r="BW69">
            <v>0.1</v>
          </cell>
          <cell r="BX69">
            <v>0.12</v>
          </cell>
          <cell r="BY69">
            <v>0.08</v>
          </cell>
          <cell r="BZ69">
            <v>0.1</v>
          </cell>
          <cell r="CA69">
            <v>0.12</v>
          </cell>
          <cell r="CB69">
            <v>0.08</v>
          </cell>
          <cell r="CC69">
            <v>0.1</v>
          </cell>
          <cell r="CD69">
            <v>0.12</v>
          </cell>
          <cell r="CE69">
            <v>0.08</v>
          </cell>
          <cell r="CF69">
            <v>0.1</v>
          </cell>
          <cell r="CG69">
            <v>0.12</v>
          </cell>
          <cell r="CH69">
            <v>0.08</v>
          </cell>
          <cell r="CI69">
            <v>0.1</v>
          </cell>
          <cell r="CJ69">
            <v>0.12</v>
          </cell>
          <cell r="CK69">
            <v>0.08</v>
          </cell>
          <cell r="CL69">
            <v>0.1</v>
          </cell>
          <cell r="CM69">
            <v>0.12</v>
          </cell>
          <cell r="CN69">
            <v>0.08</v>
          </cell>
          <cell r="CO69">
            <v>0.1</v>
          </cell>
          <cell r="CP69">
            <v>0.12</v>
          </cell>
          <cell r="CQ69">
            <v>0.08</v>
          </cell>
          <cell r="CR69">
            <v>0.1</v>
          </cell>
          <cell r="CS69">
            <v>0.12</v>
          </cell>
          <cell r="CV69">
            <v>5.5E-2</v>
          </cell>
          <cell r="CW69">
            <v>4.4999999999999998E-2</v>
          </cell>
          <cell r="CX69">
            <v>0.03</v>
          </cell>
          <cell r="CY69">
            <v>5.5E-2</v>
          </cell>
          <cell r="CZ69">
            <v>4.4999999999999998E-2</v>
          </cell>
          <cell r="DA69">
            <v>0.03</v>
          </cell>
          <cell r="DB69">
            <v>5.5E-2</v>
          </cell>
          <cell r="DC69">
            <v>4.4999999999999998E-2</v>
          </cell>
          <cell r="DD69">
            <v>0.03</v>
          </cell>
          <cell r="DE69">
            <v>5.5E-2</v>
          </cell>
          <cell r="DF69">
            <v>4.4999999999999998E-2</v>
          </cell>
          <cell r="DG69">
            <v>0.03</v>
          </cell>
          <cell r="DH69">
            <v>5.5E-2</v>
          </cell>
          <cell r="DI69">
            <v>4.4999999999999998E-2</v>
          </cell>
          <cell r="DJ69">
            <v>0.03</v>
          </cell>
          <cell r="DK69">
            <v>5.5E-2</v>
          </cell>
          <cell r="DL69">
            <v>4.4999999999999998E-2</v>
          </cell>
          <cell r="DM69">
            <v>0.03</v>
          </cell>
          <cell r="DN69">
            <v>5.5E-2</v>
          </cell>
          <cell r="DO69">
            <v>4.4999999999999998E-2</v>
          </cell>
          <cell r="DP69">
            <v>0.03</v>
          </cell>
          <cell r="DQ69">
            <v>5.5E-2</v>
          </cell>
          <cell r="DR69">
            <v>4.4999999999999998E-2</v>
          </cell>
          <cell r="DS69">
            <v>0.03</v>
          </cell>
          <cell r="DT69">
            <v>5.5E-2</v>
          </cell>
          <cell r="DU69">
            <v>4.4999999999999998E-2</v>
          </cell>
          <cell r="DV69">
            <v>0.03</v>
          </cell>
          <cell r="DW69">
            <v>5.5E-2</v>
          </cell>
          <cell r="DX69">
            <v>4.4999999999999998E-2</v>
          </cell>
          <cell r="DY69">
            <v>0.03</v>
          </cell>
          <cell r="DZ69">
            <v>5.5E-2</v>
          </cell>
          <cell r="EA69">
            <v>4.4999999999999998E-2</v>
          </cell>
          <cell r="EB69">
            <v>0.03</v>
          </cell>
          <cell r="EC69">
            <v>5.5E-2</v>
          </cell>
          <cell r="ED69">
            <v>4.4999999999999998E-2</v>
          </cell>
          <cell r="EE69">
            <v>0.03</v>
          </cell>
          <cell r="EG69">
            <v>5.2500000000000005E-2</v>
          </cell>
          <cell r="EH69">
            <v>5.2500000000000005E-2</v>
          </cell>
          <cell r="EI69">
            <v>5.2500000000000005E-2</v>
          </cell>
          <cell r="EJ69">
            <v>5.2500000000000005E-2</v>
          </cell>
          <cell r="EK69">
            <v>5.2500000000000005E-2</v>
          </cell>
          <cell r="EL69">
            <v>5.2500000000000005E-2</v>
          </cell>
          <cell r="EM69">
            <v>5.2500000000000005E-2</v>
          </cell>
          <cell r="EN69">
            <v>5.2500000000000005E-2</v>
          </cell>
          <cell r="EO69">
            <v>5.2500000000000005E-2</v>
          </cell>
          <cell r="EP69">
            <v>5.2500000000000005E-2</v>
          </cell>
          <cell r="EQ69">
            <v>5.2500000000000005E-2</v>
          </cell>
          <cell r="ER69">
            <v>5.2500000000000005E-2</v>
          </cell>
          <cell r="ES69">
            <v>5.2500000000000005E-2</v>
          </cell>
          <cell r="EU69">
            <v>0.1</v>
          </cell>
          <cell r="EV69">
            <v>0.1</v>
          </cell>
          <cell r="EW69">
            <v>0.1</v>
          </cell>
          <cell r="EX69">
            <v>0.1</v>
          </cell>
          <cell r="EY69">
            <v>0.1</v>
          </cell>
          <cell r="EZ69">
            <v>0.1</v>
          </cell>
          <cell r="FA69">
            <v>0.1</v>
          </cell>
          <cell r="FB69">
            <v>0.1</v>
          </cell>
          <cell r="FC69">
            <v>0.1</v>
          </cell>
          <cell r="FD69">
            <v>0.1</v>
          </cell>
          <cell r="FE69">
            <v>0.1</v>
          </cell>
          <cell r="FF69">
            <v>0.1</v>
          </cell>
          <cell r="FG69">
            <v>0.1</v>
          </cell>
        </row>
        <row r="70">
          <cell r="C70" t="str">
            <v>JEEP RENEGADE LONGITUDE 1.3T AT6 FWD</v>
          </cell>
          <cell r="D70" t="str">
            <v>JEEP RENEGADE LONGITUDE 1.3T AT6 FWD</v>
          </cell>
          <cell r="G70">
            <v>0.05</v>
          </cell>
          <cell r="H70">
            <v>0.05</v>
          </cell>
          <cell r="I70">
            <v>0.05</v>
          </cell>
          <cell r="J70">
            <v>0.05</v>
          </cell>
          <cell r="K70">
            <v>0.05</v>
          </cell>
          <cell r="L70">
            <v>0.05</v>
          </cell>
          <cell r="M70">
            <v>0.05</v>
          </cell>
          <cell r="N70">
            <v>0.05</v>
          </cell>
          <cell r="O70">
            <v>0.05</v>
          </cell>
          <cell r="P70">
            <v>0.05</v>
          </cell>
          <cell r="Q70">
            <v>0.05</v>
          </cell>
          <cell r="R70">
            <v>0.05</v>
          </cell>
          <cell r="U70">
            <v>0.5</v>
          </cell>
          <cell r="V70">
            <v>0</v>
          </cell>
          <cell r="W70">
            <v>0.5</v>
          </cell>
          <cell r="X70">
            <v>0.5</v>
          </cell>
          <cell r="Y70">
            <v>0</v>
          </cell>
          <cell r="Z70">
            <v>0.5</v>
          </cell>
          <cell r="AA70">
            <v>0.5</v>
          </cell>
          <cell r="AB70">
            <v>0</v>
          </cell>
          <cell r="AC70">
            <v>0.5</v>
          </cell>
          <cell r="AD70">
            <v>0.5</v>
          </cell>
          <cell r="AE70">
            <v>0</v>
          </cell>
          <cell r="AF70">
            <v>0.5</v>
          </cell>
          <cell r="AG70">
            <v>0.5</v>
          </cell>
          <cell r="AH70">
            <v>0</v>
          </cell>
          <cell r="AI70">
            <v>0.5</v>
          </cell>
          <cell r="AJ70">
            <v>0.5</v>
          </cell>
          <cell r="AK70">
            <v>0</v>
          </cell>
          <cell r="AL70">
            <v>0.5</v>
          </cell>
          <cell r="AM70">
            <v>0.5</v>
          </cell>
          <cell r="AN70">
            <v>0</v>
          </cell>
          <cell r="AO70">
            <v>0.5</v>
          </cell>
          <cell r="AP70">
            <v>0.5</v>
          </cell>
          <cell r="AQ70">
            <v>0</v>
          </cell>
          <cell r="AR70">
            <v>0.5</v>
          </cell>
          <cell r="AS70">
            <v>0.5</v>
          </cell>
          <cell r="AT70">
            <v>0</v>
          </cell>
          <cell r="AU70">
            <v>0.5</v>
          </cell>
          <cell r="AV70">
            <v>0.5</v>
          </cell>
          <cell r="AW70">
            <v>0</v>
          </cell>
          <cell r="AX70">
            <v>0.5</v>
          </cell>
          <cell r="AY70">
            <v>0.5</v>
          </cell>
          <cell r="AZ70">
            <v>0</v>
          </cell>
          <cell r="BA70">
            <v>0.5</v>
          </cell>
          <cell r="BB70">
            <v>0.5</v>
          </cell>
          <cell r="BC70">
            <v>0</v>
          </cell>
          <cell r="BD70">
            <v>0.5</v>
          </cell>
          <cell r="BG70">
            <v>0.08</v>
          </cell>
          <cell r="BH70">
            <v>0.1</v>
          </cell>
          <cell r="BI70">
            <v>0.12</v>
          </cell>
          <cell r="BJ70">
            <v>0.08</v>
          </cell>
          <cell r="BK70">
            <v>0.1</v>
          </cell>
          <cell r="BL70">
            <v>0.12</v>
          </cell>
          <cell r="BM70">
            <v>0.08</v>
          </cell>
          <cell r="BN70">
            <v>0.1</v>
          </cell>
          <cell r="BO70">
            <v>0.12</v>
          </cell>
          <cell r="BP70">
            <v>0.08</v>
          </cell>
          <cell r="BQ70">
            <v>0.1</v>
          </cell>
          <cell r="BR70">
            <v>0.12</v>
          </cell>
          <cell r="BS70">
            <v>0.08</v>
          </cell>
          <cell r="BT70">
            <v>0.1</v>
          </cell>
          <cell r="BU70">
            <v>0.12</v>
          </cell>
          <cell r="BV70">
            <v>0.08</v>
          </cell>
          <cell r="BW70">
            <v>0.1</v>
          </cell>
          <cell r="BX70">
            <v>0.12</v>
          </cell>
          <cell r="BY70">
            <v>0.08</v>
          </cell>
          <cell r="BZ70">
            <v>0.1</v>
          </cell>
          <cell r="CA70">
            <v>0.12</v>
          </cell>
          <cell r="CB70">
            <v>0.08</v>
          </cell>
          <cell r="CC70">
            <v>0.1</v>
          </cell>
          <cell r="CD70">
            <v>0.12</v>
          </cell>
          <cell r="CE70">
            <v>0.08</v>
          </cell>
          <cell r="CF70">
            <v>0.1</v>
          </cell>
          <cell r="CG70">
            <v>0.12</v>
          </cell>
          <cell r="CH70">
            <v>0.08</v>
          </cell>
          <cell r="CI70">
            <v>0.1</v>
          </cell>
          <cell r="CJ70">
            <v>0.12</v>
          </cell>
          <cell r="CK70">
            <v>0.08</v>
          </cell>
          <cell r="CL70">
            <v>0.1</v>
          </cell>
          <cell r="CM70">
            <v>0.12</v>
          </cell>
          <cell r="CN70">
            <v>0.08</v>
          </cell>
          <cell r="CO70">
            <v>0.1</v>
          </cell>
          <cell r="CP70">
            <v>0.12</v>
          </cell>
          <cell r="CQ70">
            <v>0.08</v>
          </cell>
          <cell r="CR70">
            <v>0.1</v>
          </cell>
          <cell r="CS70">
            <v>0.12</v>
          </cell>
          <cell r="CV70">
            <v>5.5E-2</v>
          </cell>
          <cell r="CW70">
            <v>4.4999999999999998E-2</v>
          </cell>
          <cell r="CX70">
            <v>0.03</v>
          </cell>
          <cell r="CY70">
            <v>5.5E-2</v>
          </cell>
          <cell r="CZ70">
            <v>4.4999999999999998E-2</v>
          </cell>
          <cell r="DA70">
            <v>0.03</v>
          </cell>
          <cell r="DB70">
            <v>5.5E-2</v>
          </cell>
          <cell r="DC70">
            <v>4.4999999999999998E-2</v>
          </cell>
          <cell r="DD70">
            <v>0.03</v>
          </cell>
          <cell r="DE70">
            <v>5.5E-2</v>
          </cell>
          <cell r="DF70">
            <v>4.4999999999999998E-2</v>
          </cell>
          <cell r="DG70">
            <v>0.03</v>
          </cell>
          <cell r="DH70">
            <v>5.5E-2</v>
          </cell>
          <cell r="DI70">
            <v>4.4999999999999998E-2</v>
          </cell>
          <cell r="DJ70">
            <v>0.03</v>
          </cell>
          <cell r="DK70">
            <v>5.5E-2</v>
          </cell>
          <cell r="DL70">
            <v>4.4999999999999998E-2</v>
          </cell>
          <cell r="DM70">
            <v>0.03</v>
          </cell>
          <cell r="DN70">
            <v>5.5E-2</v>
          </cell>
          <cell r="DO70">
            <v>4.4999999999999998E-2</v>
          </cell>
          <cell r="DP70">
            <v>0.03</v>
          </cell>
          <cell r="DQ70">
            <v>5.5E-2</v>
          </cell>
          <cell r="DR70">
            <v>4.4999999999999998E-2</v>
          </cell>
          <cell r="DS70">
            <v>0.03</v>
          </cell>
          <cell r="DT70">
            <v>5.5E-2</v>
          </cell>
          <cell r="DU70">
            <v>4.4999999999999998E-2</v>
          </cell>
          <cell r="DV70">
            <v>0.03</v>
          </cell>
          <cell r="DW70">
            <v>5.5E-2</v>
          </cell>
          <cell r="DX70">
            <v>4.4999999999999998E-2</v>
          </cell>
          <cell r="DY70">
            <v>0.03</v>
          </cell>
          <cell r="DZ70">
            <v>5.5E-2</v>
          </cell>
          <cell r="EA70">
            <v>4.4999999999999998E-2</v>
          </cell>
          <cell r="EB70">
            <v>0.03</v>
          </cell>
          <cell r="EC70">
            <v>5.5E-2</v>
          </cell>
          <cell r="ED70">
            <v>4.4999999999999998E-2</v>
          </cell>
          <cell r="EE70">
            <v>0.03</v>
          </cell>
          <cell r="EG70">
            <v>5.2500000000000005E-2</v>
          </cell>
          <cell r="EH70">
            <v>5.2500000000000005E-2</v>
          </cell>
          <cell r="EI70">
            <v>5.2500000000000005E-2</v>
          </cell>
          <cell r="EJ70">
            <v>5.2500000000000005E-2</v>
          </cell>
          <cell r="EK70">
            <v>5.2500000000000005E-2</v>
          </cell>
          <cell r="EL70">
            <v>5.2500000000000005E-2</v>
          </cell>
          <cell r="EM70">
            <v>5.2500000000000005E-2</v>
          </cell>
          <cell r="EN70">
            <v>5.2500000000000005E-2</v>
          </cell>
          <cell r="EO70">
            <v>5.2500000000000005E-2</v>
          </cell>
          <cell r="EP70">
            <v>5.2500000000000005E-2</v>
          </cell>
          <cell r="EQ70">
            <v>5.2500000000000005E-2</v>
          </cell>
          <cell r="ER70">
            <v>5.2500000000000005E-2</v>
          </cell>
          <cell r="ES70">
            <v>5.2500000000000005E-2</v>
          </cell>
          <cell r="EU70">
            <v>0.1</v>
          </cell>
          <cell r="EV70">
            <v>0.1</v>
          </cell>
          <cell r="EW70">
            <v>0.1</v>
          </cell>
          <cell r="EX70">
            <v>0.1</v>
          </cell>
          <cell r="EY70">
            <v>0.1</v>
          </cell>
          <cell r="EZ70">
            <v>0.1</v>
          </cell>
          <cell r="FA70">
            <v>0.1</v>
          </cell>
          <cell r="FB70">
            <v>0.1</v>
          </cell>
          <cell r="FC70">
            <v>0.1</v>
          </cell>
          <cell r="FD70">
            <v>0.1</v>
          </cell>
          <cell r="FE70">
            <v>0.1</v>
          </cell>
          <cell r="FF70">
            <v>0.1</v>
          </cell>
          <cell r="FG70">
            <v>0.1</v>
          </cell>
        </row>
        <row r="71">
          <cell r="C71" t="str">
            <v>JEEP GLADIATOR RUBICON 3.6L AT8 4x4</v>
          </cell>
          <cell r="D71" t="str">
            <v>GLADIATOR RUBICON</v>
          </cell>
          <cell r="G71">
            <v>0.7</v>
          </cell>
          <cell r="H71">
            <v>0.7</v>
          </cell>
          <cell r="I71">
            <v>0.7</v>
          </cell>
          <cell r="J71">
            <v>0.7</v>
          </cell>
          <cell r="K71">
            <v>0.7</v>
          </cell>
          <cell r="L71">
            <v>0.7</v>
          </cell>
          <cell r="M71">
            <v>0.7</v>
          </cell>
          <cell r="N71">
            <v>0.7</v>
          </cell>
          <cell r="O71">
            <v>0.7</v>
          </cell>
          <cell r="P71">
            <v>0.7</v>
          </cell>
          <cell r="Q71">
            <v>0.7</v>
          </cell>
          <cell r="R71">
            <v>0.7</v>
          </cell>
          <cell r="U71">
            <v>0.6</v>
          </cell>
          <cell r="V71">
            <v>0.3</v>
          </cell>
          <cell r="W71">
            <v>0.1</v>
          </cell>
          <cell r="X71">
            <v>0.6</v>
          </cell>
          <cell r="Y71">
            <v>0.3</v>
          </cell>
          <cell r="Z71">
            <v>0.1</v>
          </cell>
          <cell r="AA71">
            <v>0.5</v>
          </cell>
          <cell r="AB71">
            <v>0.2</v>
          </cell>
          <cell r="AC71">
            <v>0.3</v>
          </cell>
          <cell r="AD71">
            <v>0</v>
          </cell>
          <cell r="AE71">
            <v>0</v>
          </cell>
          <cell r="AF71">
            <v>1</v>
          </cell>
          <cell r="AG71">
            <v>0.6</v>
          </cell>
          <cell r="AH71">
            <v>0.3</v>
          </cell>
          <cell r="AI71">
            <v>0.1</v>
          </cell>
          <cell r="AJ71">
            <v>0.6</v>
          </cell>
          <cell r="AK71">
            <v>0.3</v>
          </cell>
          <cell r="AL71">
            <v>0.1</v>
          </cell>
          <cell r="AM71">
            <v>0.6</v>
          </cell>
          <cell r="AN71">
            <v>0.3</v>
          </cell>
          <cell r="AO71">
            <v>0.1</v>
          </cell>
          <cell r="AP71">
            <v>0.6</v>
          </cell>
          <cell r="AQ71">
            <v>0.3</v>
          </cell>
          <cell r="AR71">
            <v>0.1</v>
          </cell>
          <cell r="AS71">
            <v>0.6</v>
          </cell>
          <cell r="AT71">
            <v>0.3</v>
          </cell>
          <cell r="AU71">
            <v>0.1</v>
          </cell>
          <cell r="AV71">
            <v>0.6</v>
          </cell>
          <cell r="AW71">
            <v>0.3</v>
          </cell>
          <cell r="AX71">
            <v>0.1</v>
          </cell>
          <cell r="AY71">
            <v>0.6</v>
          </cell>
          <cell r="AZ71">
            <v>0.3</v>
          </cell>
          <cell r="BA71">
            <v>0.1</v>
          </cell>
          <cell r="BB71">
            <v>0.6</v>
          </cell>
          <cell r="BC71">
            <v>0.3</v>
          </cell>
          <cell r="BD71">
            <v>0.1</v>
          </cell>
          <cell r="BG71">
            <v>0.1</v>
          </cell>
          <cell r="BH71">
            <v>0.14000000000000001</v>
          </cell>
          <cell r="BI71">
            <v>0.18</v>
          </cell>
          <cell r="BJ71">
            <v>0.1</v>
          </cell>
          <cell r="BK71">
            <v>0.14000000000000001</v>
          </cell>
          <cell r="BL71">
            <v>0.18</v>
          </cell>
          <cell r="BM71">
            <v>0.1</v>
          </cell>
          <cell r="BN71">
            <v>0.14000000000000001</v>
          </cell>
          <cell r="BO71">
            <v>0.18</v>
          </cell>
          <cell r="BP71">
            <v>0.12</v>
          </cell>
          <cell r="BQ71">
            <v>0.16</v>
          </cell>
          <cell r="BR71">
            <v>0.2</v>
          </cell>
          <cell r="BS71">
            <v>0.12</v>
          </cell>
          <cell r="BT71">
            <v>0.16</v>
          </cell>
          <cell r="BU71">
            <v>0.2</v>
          </cell>
          <cell r="BV71">
            <v>0.12</v>
          </cell>
          <cell r="BW71">
            <v>0.16</v>
          </cell>
          <cell r="BX71">
            <v>0.2</v>
          </cell>
          <cell r="BY71">
            <v>0.12</v>
          </cell>
          <cell r="BZ71">
            <v>0.16</v>
          </cell>
          <cell r="CA71">
            <v>0.2</v>
          </cell>
          <cell r="CB71">
            <v>0.12</v>
          </cell>
          <cell r="CC71">
            <v>0.16</v>
          </cell>
          <cell r="CD71">
            <v>0.2</v>
          </cell>
          <cell r="CE71">
            <v>0.12</v>
          </cell>
          <cell r="CF71">
            <v>0.16</v>
          </cell>
          <cell r="CG71">
            <v>0.2</v>
          </cell>
          <cell r="CH71">
            <v>0.12</v>
          </cell>
          <cell r="CI71">
            <v>0.16</v>
          </cell>
          <cell r="CJ71">
            <v>0.2</v>
          </cell>
          <cell r="CK71">
            <v>0.12</v>
          </cell>
          <cell r="CL71">
            <v>0.16</v>
          </cell>
          <cell r="CM71">
            <v>0.2</v>
          </cell>
          <cell r="CN71">
            <v>0.12</v>
          </cell>
          <cell r="CO71">
            <v>0.16</v>
          </cell>
          <cell r="CP71">
            <v>0.2</v>
          </cell>
          <cell r="CQ71">
            <v>0.12</v>
          </cell>
          <cell r="CR71">
            <v>0.16</v>
          </cell>
          <cell r="CS71">
            <v>0.2</v>
          </cell>
          <cell r="CV71">
            <v>5.5E-2</v>
          </cell>
          <cell r="CW71">
            <v>4.4999999999999998E-2</v>
          </cell>
          <cell r="CX71">
            <v>0.03</v>
          </cell>
          <cell r="CY71">
            <v>5.5E-2</v>
          </cell>
          <cell r="CZ71">
            <v>4.4999999999999998E-2</v>
          </cell>
          <cell r="DA71">
            <v>0.03</v>
          </cell>
          <cell r="DB71">
            <v>5.5E-2</v>
          </cell>
          <cell r="DC71">
            <v>4.4999999999999998E-2</v>
          </cell>
          <cell r="DD71">
            <v>0.03</v>
          </cell>
          <cell r="DE71">
            <v>5.5E-2</v>
          </cell>
          <cell r="DF71">
            <v>4.4999999999999998E-2</v>
          </cell>
          <cell r="DG71">
            <v>0.03</v>
          </cell>
          <cell r="DH71">
            <v>5.5E-2</v>
          </cell>
          <cell r="DI71">
            <v>4.4999999999999998E-2</v>
          </cell>
          <cell r="DJ71">
            <v>0.03</v>
          </cell>
          <cell r="DK71">
            <v>5.5E-2</v>
          </cell>
          <cell r="DL71">
            <v>4.4999999999999998E-2</v>
          </cell>
          <cell r="DM71">
            <v>0.03</v>
          </cell>
          <cell r="DN71">
            <v>5.5E-2</v>
          </cell>
          <cell r="DO71">
            <v>4.4999999999999998E-2</v>
          </cell>
          <cell r="DP71">
            <v>0.03</v>
          </cell>
          <cell r="DQ71">
            <v>5.5E-2</v>
          </cell>
          <cell r="DR71">
            <v>4.4999999999999998E-2</v>
          </cell>
          <cell r="DS71">
            <v>0.03</v>
          </cell>
          <cell r="DT71">
            <v>5.5E-2</v>
          </cell>
          <cell r="DU71">
            <v>4.4999999999999998E-2</v>
          </cell>
          <cell r="DV71">
            <v>0.03</v>
          </cell>
          <cell r="DW71">
            <v>5.5E-2</v>
          </cell>
          <cell r="DX71">
            <v>4.4999999999999998E-2</v>
          </cell>
          <cell r="DY71">
            <v>0.03</v>
          </cell>
          <cell r="DZ71">
            <v>5.5E-2</v>
          </cell>
          <cell r="EA71">
            <v>4.4999999999999998E-2</v>
          </cell>
          <cell r="EB71">
            <v>0.03</v>
          </cell>
          <cell r="EC71">
            <v>5.5E-2</v>
          </cell>
          <cell r="ED71">
            <v>4.4999999999999998E-2</v>
          </cell>
          <cell r="EE71">
            <v>0.03</v>
          </cell>
          <cell r="EG71">
            <v>6.9500000000000006E-2</v>
          </cell>
          <cell r="EH71">
            <v>6.9500000000000006E-2</v>
          </cell>
          <cell r="EI71">
            <v>6.9500000000000006E-2</v>
          </cell>
          <cell r="EJ71">
            <v>9.7499999999999989E-2</v>
          </cell>
          <cell r="EK71">
            <v>0.13</v>
          </cell>
          <cell r="EL71">
            <v>8.950000000000001E-2</v>
          </cell>
          <cell r="EM71">
            <v>8.950000000000001E-2</v>
          </cell>
          <cell r="EN71">
            <v>8.950000000000001E-2</v>
          </cell>
          <cell r="EO71">
            <v>8.950000000000001E-2</v>
          </cell>
          <cell r="EP71">
            <v>8.950000000000001E-2</v>
          </cell>
          <cell r="EQ71">
            <v>8.950000000000001E-2</v>
          </cell>
          <cell r="ER71">
            <v>8.950000000000001E-2</v>
          </cell>
          <cell r="ES71">
            <v>8.950000000000001E-2</v>
          </cell>
          <cell r="EU71">
            <v>0.12000000000000001</v>
          </cell>
          <cell r="EV71">
            <v>0.12000000000000001</v>
          </cell>
          <cell r="EW71">
            <v>0.12000000000000001</v>
          </cell>
          <cell r="EX71">
            <v>0.152</v>
          </cell>
          <cell r="EY71">
            <v>0.2</v>
          </cell>
          <cell r="EZ71">
            <v>0.14000000000000001</v>
          </cell>
          <cell r="FA71">
            <v>0.14000000000000001</v>
          </cell>
          <cell r="FB71">
            <v>0.14000000000000001</v>
          </cell>
          <cell r="FC71">
            <v>0.14000000000000001</v>
          </cell>
          <cell r="FD71">
            <v>0.14000000000000001</v>
          </cell>
          <cell r="FE71">
            <v>0.14000000000000001</v>
          </cell>
          <cell r="FF71">
            <v>0.14000000000000001</v>
          </cell>
          <cell r="FG71">
            <v>0.14000000000000001</v>
          </cell>
        </row>
        <row r="72">
          <cell r="C72"/>
          <cell r="D72" t="str">
            <v/>
          </cell>
          <cell r="G72">
            <v>0.7</v>
          </cell>
          <cell r="H72">
            <v>0.7</v>
          </cell>
          <cell r="I72">
            <v>0.7</v>
          </cell>
          <cell r="J72">
            <v>0.7</v>
          </cell>
          <cell r="K72">
            <v>0.7</v>
          </cell>
          <cell r="L72">
            <v>0.7</v>
          </cell>
          <cell r="M72">
            <v>0.7</v>
          </cell>
          <cell r="N72">
            <v>0.7</v>
          </cell>
          <cell r="O72">
            <v>0.7</v>
          </cell>
          <cell r="P72">
            <v>0.7</v>
          </cell>
          <cell r="Q72">
            <v>0.7</v>
          </cell>
          <cell r="R72">
            <v>0.7</v>
          </cell>
          <cell r="U72">
            <v>0.6</v>
          </cell>
          <cell r="V72">
            <v>0.3</v>
          </cell>
          <cell r="W72">
            <v>0.1</v>
          </cell>
          <cell r="X72">
            <v>0.6</v>
          </cell>
          <cell r="Y72">
            <v>0.3</v>
          </cell>
          <cell r="Z72">
            <v>0.1</v>
          </cell>
          <cell r="AA72">
            <v>0.5</v>
          </cell>
          <cell r="AB72">
            <v>0.2</v>
          </cell>
          <cell r="AC72">
            <v>0.3</v>
          </cell>
          <cell r="AD72">
            <v>0.2</v>
          </cell>
          <cell r="AE72">
            <v>0.15</v>
          </cell>
          <cell r="AF72">
            <v>0.65</v>
          </cell>
          <cell r="AG72">
            <v>0.6</v>
          </cell>
          <cell r="AH72">
            <v>0.3</v>
          </cell>
          <cell r="AI72">
            <v>0.1</v>
          </cell>
          <cell r="AJ72">
            <v>0.6</v>
          </cell>
          <cell r="AK72">
            <v>0.3</v>
          </cell>
          <cell r="AL72">
            <v>0.1</v>
          </cell>
          <cell r="AM72">
            <v>0.6</v>
          </cell>
          <cell r="AN72">
            <v>0.3</v>
          </cell>
          <cell r="AO72">
            <v>0.1</v>
          </cell>
          <cell r="AP72">
            <v>0.6</v>
          </cell>
          <cell r="AQ72">
            <v>0.3</v>
          </cell>
          <cell r="AR72">
            <v>0.1</v>
          </cell>
          <cell r="AS72">
            <v>0.6</v>
          </cell>
          <cell r="AT72">
            <v>0.3</v>
          </cell>
          <cell r="AU72">
            <v>0.1</v>
          </cell>
          <cell r="AV72">
            <v>0.6</v>
          </cell>
          <cell r="AW72">
            <v>0.3</v>
          </cell>
          <cell r="AX72">
            <v>0.1</v>
          </cell>
          <cell r="AY72">
            <v>0.6</v>
          </cell>
          <cell r="AZ72">
            <v>0.3</v>
          </cell>
          <cell r="BA72">
            <v>0.1</v>
          </cell>
          <cell r="BB72">
            <v>0.6</v>
          </cell>
          <cell r="BC72">
            <v>0.3</v>
          </cell>
          <cell r="BD72">
            <v>0.1</v>
          </cell>
          <cell r="BG72">
            <v>0.1</v>
          </cell>
          <cell r="BH72">
            <v>0.14000000000000001</v>
          </cell>
          <cell r="BI72">
            <v>0.18</v>
          </cell>
          <cell r="BJ72">
            <v>0.1</v>
          </cell>
          <cell r="BK72">
            <v>0.14000000000000001</v>
          </cell>
          <cell r="BL72">
            <v>0.18</v>
          </cell>
          <cell r="BM72">
            <v>0.1</v>
          </cell>
          <cell r="BN72">
            <v>0.14000000000000001</v>
          </cell>
          <cell r="BO72">
            <v>0.18</v>
          </cell>
          <cell r="BP72">
            <v>0.12</v>
          </cell>
          <cell r="BQ72">
            <v>0.16</v>
          </cell>
          <cell r="BR72">
            <v>0.2</v>
          </cell>
          <cell r="BS72">
            <v>0.12</v>
          </cell>
          <cell r="BT72">
            <v>0.16</v>
          </cell>
          <cell r="BU72">
            <v>0.2</v>
          </cell>
          <cell r="BV72">
            <v>0.12</v>
          </cell>
          <cell r="BW72">
            <v>0.16</v>
          </cell>
          <cell r="BX72">
            <v>0.2</v>
          </cell>
          <cell r="BY72">
            <v>0.12</v>
          </cell>
          <cell r="BZ72">
            <v>0.16</v>
          </cell>
          <cell r="CA72">
            <v>0.2</v>
          </cell>
          <cell r="CB72">
            <v>0.12</v>
          </cell>
          <cell r="CC72">
            <v>0.16</v>
          </cell>
          <cell r="CD72">
            <v>0.2</v>
          </cell>
          <cell r="CE72">
            <v>0.12</v>
          </cell>
          <cell r="CF72">
            <v>0.16</v>
          </cell>
          <cell r="CG72">
            <v>0.2</v>
          </cell>
          <cell r="CH72">
            <v>0.12</v>
          </cell>
          <cell r="CI72">
            <v>0.16</v>
          </cell>
          <cell r="CJ72">
            <v>0.2</v>
          </cell>
          <cell r="CK72">
            <v>0.12</v>
          </cell>
          <cell r="CL72">
            <v>0.16</v>
          </cell>
          <cell r="CM72">
            <v>0.2</v>
          </cell>
          <cell r="CN72">
            <v>0.12</v>
          </cell>
          <cell r="CO72">
            <v>0.16</v>
          </cell>
          <cell r="CP72">
            <v>0.2</v>
          </cell>
          <cell r="CQ72">
            <v>0.12</v>
          </cell>
          <cell r="CR72">
            <v>0.16</v>
          </cell>
          <cell r="CS72">
            <v>0.2</v>
          </cell>
          <cell r="CV72">
            <v>5.5E-2</v>
          </cell>
          <cell r="CW72">
            <v>4.4999999999999998E-2</v>
          </cell>
          <cell r="CX72">
            <v>0.03</v>
          </cell>
          <cell r="CY72">
            <v>5.5E-2</v>
          </cell>
          <cell r="CZ72">
            <v>4.4999999999999998E-2</v>
          </cell>
          <cell r="DA72">
            <v>0.03</v>
          </cell>
          <cell r="DB72">
            <v>5.5E-2</v>
          </cell>
          <cell r="DC72">
            <v>4.4999999999999998E-2</v>
          </cell>
          <cell r="DD72">
            <v>0.03</v>
          </cell>
          <cell r="DE72">
            <v>5.5E-2</v>
          </cell>
          <cell r="DF72">
            <v>4.4999999999999998E-2</v>
          </cell>
          <cell r="DG72">
            <v>0.03</v>
          </cell>
          <cell r="DH72">
            <v>5.5E-2</v>
          </cell>
          <cell r="DI72">
            <v>4.4999999999999998E-2</v>
          </cell>
          <cell r="DJ72">
            <v>0.03</v>
          </cell>
          <cell r="DK72">
            <v>5.5E-2</v>
          </cell>
          <cell r="DL72">
            <v>4.4999999999999998E-2</v>
          </cell>
          <cell r="DM72">
            <v>0.03</v>
          </cell>
          <cell r="DN72">
            <v>5.5E-2</v>
          </cell>
          <cell r="DO72">
            <v>4.4999999999999998E-2</v>
          </cell>
          <cell r="DP72">
            <v>0.03</v>
          </cell>
          <cell r="DQ72">
            <v>5.5E-2</v>
          </cell>
          <cell r="DR72">
            <v>4.4999999999999998E-2</v>
          </cell>
          <cell r="DS72">
            <v>0.03</v>
          </cell>
          <cell r="DT72">
            <v>5.5E-2</v>
          </cell>
          <cell r="DU72">
            <v>4.4999999999999998E-2</v>
          </cell>
          <cell r="DV72">
            <v>0.03</v>
          </cell>
          <cell r="DW72">
            <v>5.5E-2</v>
          </cell>
          <cell r="DX72">
            <v>4.4999999999999998E-2</v>
          </cell>
          <cell r="DY72">
            <v>0.03</v>
          </cell>
          <cell r="DZ72">
            <v>5.5E-2</v>
          </cell>
          <cell r="EA72">
            <v>4.4999999999999998E-2</v>
          </cell>
          <cell r="EB72">
            <v>0.03</v>
          </cell>
          <cell r="EC72">
            <v>5.5E-2</v>
          </cell>
          <cell r="ED72">
            <v>4.4999999999999998E-2</v>
          </cell>
          <cell r="EE72">
            <v>0.03</v>
          </cell>
          <cell r="EG72">
            <v>6.9500000000000006E-2</v>
          </cell>
          <cell r="EH72">
            <v>6.9500000000000006E-2</v>
          </cell>
          <cell r="EI72">
            <v>6.9500000000000006E-2</v>
          </cell>
          <cell r="EJ72">
            <v>9.7499999999999989E-2</v>
          </cell>
          <cell r="EK72">
            <v>0.11524999999999999</v>
          </cell>
          <cell r="EL72">
            <v>8.950000000000001E-2</v>
          </cell>
          <cell r="EM72">
            <v>8.950000000000001E-2</v>
          </cell>
          <cell r="EN72">
            <v>8.950000000000001E-2</v>
          </cell>
          <cell r="EO72">
            <v>8.950000000000001E-2</v>
          </cell>
          <cell r="EP72">
            <v>8.950000000000001E-2</v>
          </cell>
          <cell r="EQ72">
            <v>8.950000000000001E-2</v>
          </cell>
          <cell r="ER72">
            <v>8.950000000000001E-2</v>
          </cell>
          <cell r="ES72">
            <v>8.950000000000001E-2</v>
          </cell>
          <cell r="EU72">
            <v>0.12000000000000001</v>
          </cell>
          <cell r="EV72">
            <v>0.12000000000000001</v>
          </cell>
          <cell r="EW72">
            <v>0.12000000000000001</v>
          </cell>
          <cell r="EX72">
            <v>0.152</v>
          </cell>
          <cell r="EY72">
            <v>0.17799999999999999</v>
          </cell>
          <cell r="EZ72">
            <v>0.14000000000000001</v>
          </cell>
          <cell r="FA72">
            <v>0.14000000000000001</v>
          </cell>
          <cell r="FB72">
            <v>0.14000000000000001</v>
          </cell>
          <cell r="FC72">
            <v>0.14000000000000001</v>
          </cell>
          <cell r="FD72">
            <v>0.14000000000000001</v>
          </cell>
          <cell r="FE72">
            <v>0.14000000000000001</v>
          </cell>
          <cell r="FF72">
            <v>0.14000000000000001</v>
          </cell>
          <cell r="FG72">
            <v>0.14000000000000001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inculos"/>
      <sheetName val="Resumen"/>
      <sheetName val="Gestión (2)"/>
      <sheetName val="Gestión"/>
      <sheetName val="GCR"/>
      <sheetName val="Hoja1"/>
      <sheetName val="Verif. negativos"/>
      <sheetName val="Vol. Facturas"/>
      <sheetName val="Vol. Inmat"/>
      <sheetName val="Precios"/>
      <sheetName val="Color Especial"/>
      <sheetName val="Bonos"/>
      <sheetName val="Precio Promo"/>
      <sheetName val="Efecto Price"/>
      <sheetName val="B2B Directo"/>
      <sheetName val="Internos"/>
      <sheetName val="B2B Red"/>
      <sheetName val="Test Car"/>
      <sheetName val="Ayuda Zonales"/>
      <sheetName val="Acciones Tácticas B2C"/>
      <sheetName val="Acciones Tácticas B2B"/>
      <sheetName val="Floor Plan"/>
      <sheetName val="Prima Perfo"/>
      <sheetName val="Professional"/>
      <sheetName val="Relación Cliente"/>
      <sheetName val="Quality"/>
      <sheetName val="Provisión Financiera"/>
      <sheetName val="Fondo Coparticipado"/>
      <sheetName val="Otras Provisiones"/>
      <sheetName val="Ajustes"/>
      <sheetName val="Cierre Bonificación"/>
      <sheetName val="NPS"/>
      <sheetName val="Cumplimiento AC"/>
      <sheetName val="Cumplimiento FT"/>
    </sheetNames>
    <sheetDataSet>
      <sheetData sheetId="0">
        <row r="148">
          <cell r="B148" t="str">
            <v>ENERO</v>
          </cell>
        </row>
      </sheetData>
      <sheetData sheetId="1" refreshError="1"/>
      <sheetData sheetId="2" refreshError="1"/>
      <sheetData sheetId="3">
        <row r="2">
          <cell r="J2" t="str">
            <v>ENERO</v>
          </cell>
        </row>
        <row r="7">
          <cell r="D7" t="str">
            <v>EDS</v>
          </cell>
          <cell r="E7" t="str">
            <v>CD</v>
          </cell>
          <cell r="F7" t="str">
            <v>CÓDIGO GESTIÓN</v>
          </cell>
          <cell r="G7" t="str">
            <v>SOURCING</v>
          </cell>
          <cell r="H7" t="str">
            <v>MG FIJO</v>
          </cell>
        </row>
        <row r="8">
          <cell r="D8" t="str">
            <v>C3 Puretech 82 Live Pack</v>
          </cell>
          <cell r="E8" t="str">
            <v>C3 PureTech 82 Live Pack</v>
          </cell>
          <cell r="F8" t="str">
            <v>1CSBSUDMY5N0A0B3</v>
          </cell>
          <cell r="G8" t="str">
            <v>Mercosur</v>
          </cell>
          <cell r="H8">
            <v>0.09</v>
          </cell>
        </row>
        <row r="9">
          <cell r="D9" t="str">
            <v>C3 Live Pack Gasolina 96HP MT</v>
          </cell>
          <cell r="E9" t="str">
            <v>C3 Live Pack Gasolina 99HP MT</v>
          </cell>
          <cell r="F9" t="str">
            <v>1CSBSUD425J0A0B7</v>
          </cell>
          <cell r="G9" t="str">
            <v>Mercosur</v>
          </cell>
          <cell r="H9">
            <v>0.09</v>
          </cell>
        </row>
        <row r="10">
          <cell r="D10" t="str">
            <v>C3 Puretech 82 Feel</v>
          </cell>
          <cell r="E10" t="str">
            <v>C3 PureTech 82 Feel</v>
          </cell>
          <cell r="F10" t="str">
            <v>1CSBSUDMY5N0A0B3-1</v>
          </cell>
          <cell r="G10" t="str">
            <v>Mercosur</v>
          </cell>
          <cell r="H10">
            <v>0.09</v>
          </cell>
        </row>
        <row r="11">
          <cell r="D11" t="str">
            <v>C3 Feel Gasolina 96HP MT</v>
          </cell>
          <cell r="E11" t="str">
            <v>C3 Feel Gasolina 99HP MT</v>
          </cell>
          <cell r="F11" t="str">
            <v>1CSBSUD425J0A0B7-1</v>
          </cell>
          <cell r="G11" t="str">
            <v>Mercosur</v>
          </cell>
          <cell r="H11">
            <v>0.09</v>
          </cell>
        </row>
        <row r="12">
          <cell r="D12" t="str">
            <v>C3 Max Gasolina 100HP MT</v>
          </cell>
          <cell r="E12" t="str">
            <v>C3 Max Gasolina 100HP MT</v>
          </cell>
          <cell r="F12" t="str">
            <v>1CSB-VALOR1</v>
          </cell>
          <cell r="G12" t="str">
            <v>Mercosur</v>
          </cell>
          <cell r="H12">
            <v>0.09</v>
          </cell>
        </row>
        <row r="13">
          <cell r="D13" t="str">
            <v>C3 Turbo 125 CVT You</v>
          </cell>
          <cell r="E13" t="str">
            <v>C3 Turbo 125 CVT You</v>
          </cell>
          <cell r="F13" t="str">
            <v>1CSBSUHV2ZNXB4B3</v>
          </cell>
          <cell r="G13" t="str">
            <v>Mercosur</v>
          </cell>
          <cell r="H13">
            <v>0.09</v>
          </cell>
        </row>
        <row r="14">
          <cell r="D14" t="str">
            <v>C3 Aircross VTi 115 Feel Pack 5P</v>
          </cell>
          <cell r="E14" t="str">
            <v>C3 Aircross VTi 115 Feel Pack 5P</v>
          </cell>
          <cell r="F14" t="str">
            <v>1CSLSUEEF5J0A0B2</v>
          </cell>
          <cell r="G14" t="str">
            <v>Vigo</v>
          </cell>
          <cell r="H14">
            <v>0.09</v>
          </cell>
        </row>
        <row r="15">
          <cell r="D15" t="str">
            <v>C3 Aircross Feel Pack 5P Gasolina 96HP MT</v>
          </cell>
          <cell r="E15" t="str">
            <v>C3 Aircross Feel Pack 5P Gasolina 96HP MT</v>
          </cell>
          <cell r="F15" t="str">
            <v>1CSLSUE425J0A0B5</v>
          </cell>
          <cell r="G15" t="str">
            <v>Vigo</v>
          </cell>
          <cell r="H15">
            <v>0.09</v>
          </cell>
        </row>
        <row r="16">
          <cell r="D16" t="str">
            <v>C3 Aircross VTi 115 Feel Pack 7P</v>
          </cell>
          <cell r="E16" t="str">
            <v>C3 Aircross VTi 115 Feel Pack 7P</v>
          </cell>
          <cell r="F16" t="str">
            <v>1CSLSUEEF5J0A0B2-7P</v>
          </cell>
          <cell r="G16" t="str">
            <v>Vigo</v>
          </cell>
          <cell r="H16">
            <v>0.09</v>
          </cell>
        </row>
        <row r="17">
          <cell r="D17" t="str">
            <v>C3 Aircross VTi 115 Shine 5P</v>
          </cell>
          <cell r="E17" t="str">
            <v>C3 Aircross VTi 115 Shine 5P</v>
          </cell>
          <cell r="F17" t="str">
            <v>1CSLSUHEF5J0A0B2</v>
          </cell>
          <cell r="G17" t="str">
            <v>Vigo</v>
          </cell>
          <cell r="H17">
            <v>0.09</v>
          </cell>
        </row>
        <row r="18">
          <cell r="D18" t="str">
            <v>C3 Aircross Shine 5P Gasolina 96HP MT</v>
          </cell>
          <cell r="E18" t="str">
            <v>C3 Aircross Shine 5P Gasolina 96HP MT</v>
          </cell>
          <cell r="F18" t="str">
            <v>1CSLSUH425J0A0B5</v>
          </cell>
          <cell r="G18" t="str">
            <v>Vigo</v>
          </cell>
          <cell r="H18">
            <v>0.09</v>
          </cell>
        </row>
        <row r="19">
          <cell r="D19" t="str">
            <v>C3 Aircross Turbo 125 CVT Shine 5P</v>
          </cell>
          <cell r="E19" t="str">
            <v>C3 Aircross Turbo 125 CVT Shine 5P</v>
          </cell>
          <cell r="F19" t="str">
            <v>1CSLSUHV2ZNXA0B2</v>
          </cell>
          <cell r="G19" t="str">
            <v>Vigo</v>
          </cell>
          <cell r="H19">
            <v>0.09</v>
          </cell>
        </row>
        <row r="20">
          <cell r="D20" t="str">
            <v>C3 Aircross Turbo 125 CVT Shine 7P</v>
          </cell>
          <cell r="E20" t="str">
            <v>C3 Aircross Turbo 125 CVT Shine 7P</v>
          </cell>
          <cell r="F20" t="str">
            <v>1CSLSUHV2ZNXA0B2-7P</v>
          </cell>
          <cell r="G20" t="str">
            <v>Vigo</v>
          </cell>
          <cell r="H20">
            <v>0.09</v>
          </cell>
        </row>
        <row r="21">
          <cell r="D21" t="str">
            <v>C3 Aircross Max Gasolina 100HP MT</v>
          </cell>
          <cell r="E21" t="str">
            <v>C3 Aircross Max Gasolina 100HP MT</v>
          </cell>
          <cell r="F21" t="str">
            <v>1CSLSUHV2ZNXA0B2-7P</v>
          </cell>
          <cell r="G21" t="str">
            <v>Vigo</v>
          </cell>
          <cell r="H21">
            <v>0.09</v>
          </cell>
        </row>
        <row r="22">
          <cell r="D22" t="str">
            <v>Basalt Feel Pack Gasolina 96HP MT</v>
          </cell>
          <cell r="E22" t="str">
            <v>Basalt Feel Pack Gasolina 96HP MT</v>
          </cell>
          <cell r="F22" t="str">
            <v>1CSFA5H425J0A0B2</v>
          </cell>
          <cell r="G22" t="str">
            <v>Zeebrugge</v>
          </cell>
          <cell r="H22">
            <v>0.09</v>
          </cell>
        </row>
        <row r="23">
          <cell r="D23" t="str">
            <v>Basalt Turbo 125 CVT SHINE</v>
          </cell>
          <cell r="E23" t="str">
            <v>Basalt Turbo 125 CVT SHINE</v>
          </cell>
          <cell r="F23" t="str">
            <v>1CSFA5KV2ZNXA0B0</v>
          </cell>
          <cell r="G23" t="str">
            <v>Zeebrugge</v>
          </cell>
          <cell r="H23">
            <v>0.09</v>
          </cell>
        </row>
        <row r="24">
          <cell r="E24" t="str">
            <v/>
          </cell>
          <cell r="G24" t="str">
            <v/>
          </cell>
          <cell r="H24">
            <v>0.09</v>
          </cell>
        </row>
        <row r="25">
          <cell r="D25" t="str">
            <v>C4 MCA Hybrid 136 eDCT6 Plus</v>
          </cell>
          <cell r="E25" t="str">
            <v>C4 MCA Hybrid 136 eDCT6 Plus</v>
          </cell>
          <cell r="F25" t="str">
            <v>1CLEA5KJHWJRA050</v>
          </cell>
          <cell r="G25" t="str">
            <v>Zeebrugge</v>
          </cell>
          <cell r="H25">
            <v>0.09</v>
          </cell>
        </row>
        <row r="26">
          <cell r="D26" t="str">
            <v>C4 MCA Hybrid 136 eDCT6 Max</v>
          </cell>
          <cell r="E26" t="str">
            <v>C4 MCA Hybrid 136 eDCT6 Max</v>
          </cell>
          <cell r="F26" t="str">
            <v>1CLEA5NJHWJRA050</v>
          </cell>
          <cell r="G26" t="str">
            <v>Zeebrugge</v>
          </cell>
          <cell r="H26">
            <v>0.09</v>
          </cell>
        </row>
        <row r="27">
          <cell r="D27" t="str">
            <v>C5 Aircross Plus Gasolina 180HP AT</v>
          </cell>
          <cell r="E27" t="str">
            <v>C5 Aircross Plus Gasolina 180HP AT</v>
          </cell>
          <cell r="F27" t="str">
            <v>1CRESYNSABNXA012</v>
          </cell>
          <cell r="G27" t="str">
            <v>Zeebrugge</v>
          </cell>
          <cell r="H27">
            <v>0.09</v>
          </cell>
        </row>
        <row r="28">
          <cell r="D28" t="str">
            <v>C5 Aircross Max Gasolina 180HP AT</v>
          </cell>
          <cell r="E28" t="str">
            <v>C5 Aircross Max Gasolina 180HP AT</v>
          </cell>
          <cell r="F28" t="str">
            <v>1CRESYRSABNXA010</v>
          </cell>
          <cell r="G28" t="str">
            <v>Zeebrugge</v>
          </cell>
          <cell r="H28">
            <v>0.09</v>
          </cell>
        </row>
        <row r="29">
          <cell r="E29" t="str">
            <v/>
          </cell>
          <cell r="G29" t="str">
            <v/>
          </cell>
          <cell r="H29">
            <v>0.09</v>
          </cell>
        </row>
        <row r="30">
          <cell r="D30" t="str">
            <v>Berlingo MCA Multispace XL BlueHDi 100 Feel</v>
          </cell>
          <cell r="E30" t="str">
            <v>BERLINGO MULTISPACE MCA BlueHdi 100 Plus</v>
          </cell>
          <cell r="F30" t="str">
            <v>1CK9CLSMNKJRA070</v>
          </cell>
          <cell r="G30" t="str">
            <v>Vigo</v>
          </cell>
          <cell r="H30">
            <v>0.09</v>
          </cell>
        </row>
        <row r="31">
          <cell r="D31" t="str">
            <v>Berlingo MCA Multispace XL BlueHDi 130 EAT8 Feel</v>
          </cell>
          <cell r="E31" t="str">
            <v>BERLINGO MULTISPACE MCA BlueHdi 130 EAT8 Plus</v>
          </cell>
          <cell r="F31" t="str">
            <v>1CK9CLSMK1JRA070</v>
          </cell>
          <cell r="G31" t="str">
            <v>Vigo</v>
          </cell>
          <cell r="H31">
            <v>0.09</v>
          </cell>
        </row>
        <row r="32">
          <cell r="D32" t="str">
            <v>Berlingo MCA Multispace XL BlueHDi 100 Feel 5P</v>
          </cell>
          <cell r="E32" t="str">
            <v>Berlingo MCA Multispace XL BlueHDi 100 Feel 5P</v>
          </cell>
          <cell r="F32" t="str">
            <v>1CK9CLSMK1JRA070</v>
          </cell>
          <cell r="G32" t="str">
            <v>Vigo</v>
          </cell>
          <cell r="H32">
            <v>0.09</v>
          </cell>
        </row>
        <row r="33">
          <cell r="D33" t="str">
            <v>Berlingo MCA Multispace XL BlueHDi 130 EAT8 Feel 5P</v>
          </cell>
          <cell r="E33" t="str">
            <v>Berlingo MCA Multispace XL BlueHDi 130 EAT8 Feel 5P</v>
          </cell>
          <cell r="G33" t="str">
            <v>Vigo</v>
          </cell>
          <cell r="H33">
            <v>0.09</v>
          </cell>
        </row>
        <row r="34">
          <cell r="D34" t="str">
            <v>Berlingo MCA M BlueHDi 100</v>
          </cell>
          <cell r="E34" t="str">
            <v>BERLINGO MCA M BlueHDi 100</v>
          </cell>
          <cell r="F34" t="str">
            <v>2CK91CNMNKJRA070</v>
          </cell>
          <cell r="G34" t="str">
            <v>Vigo</v>
          </cell>
          <cell r="H34">
            <v>0.1</v>
          </cell>
        </row>
        <row r="35">
          <cell r="D35" t="str">
            <v>Berlingo MCA XL BlueHDi 100</v>
          </cell>
          <cell r="E35" t="str">
            <v>BERLINGO MCA XL BlueHDi 100</v>
          </cell>
          <cell r="F35" t="str">
            <v>2CK95CNMNKJRA070</v>
          </cell>
          <cell r="G35" t="str">
            <v>Vigo</v>
          </cell>
          <cell r="H35">
            <v>0.1</v>
          </cell>
        </row>
        <row r="36">
          <cell r="D36" t="str">
            <v>Spacetourer MCA BlueHDi 180 EAT8 8P</v>
          </cell>
          <cell r="E36" t="str">
            <v>Spacetourer MCA BlueHDi 180 EAT8 8P</v>
          </cell>
          <cell r="F36" t="str">
            <v>1CK0NPQWQ1JRA0K0-1</v>
          </cell>
          <cell r="G36" t="str">
            <v>Zeebrugge</v>
          </cell>
          <cell r="H36">
            <v>0.1</v>
          </cell>
        </row>
        <row r="37">
          <cell r="D37" t="str">
            <v>Spacetourer MCA BlueHDi 180 EAT8 9P</v>
          </cell>
          <cell r="E37" t="str">
            <v>Spacetourer MCA BlueHDi 180 EAT8 9P</v>
          </cell>
          <cell r="F37" t="str">
            <v>1CK0NPQWQ1JRA0K0-2</v>
          </cell>
          <cell r="G37" t="str">
            <v>Zeebrugge</v>
          </cell>
          <cell r="H37">
            <v>0.1</v>
          </cell>
        </row>
        <row r="38">
          <cell r="E38" t="str">
            <v/>
          </cell>
          <cell r="G38" t="str">
            <v/>
          </cell>
          <cell r="H38">
            <v>0.1</v>
          </cell>
        </row>
        <row r="39">
          <cell r="D39" t="str">
            <v>JUMPY MCA Comfort XL BlueHDi 145</v>
          </cell>
          <cell r="E39" t="str">
            <v>JUMPY MCA Comfort XL BlueHDi 145</v>
          </cell>
          <cell r="F39" t="str">
            <v>2CK0F3NETFJRA0J0</v>
          </cell>
          <cell r="G39" t="str">
            <v>Zeebrugge</v>
          </cell>
          <cell r="H39">
            <v>0.1</v>
          </cell>
        </row>
        <row r="40">
          <cell r="E40" t="str">
            <v/>
          </cell>
          <cell r="G40" t="str">
            <v/>
          </cell>
          <cell r="H40">
            <v>0.1</v>
          </cell>
        </row>
        <row r="41">
          <cell r="D41" t="str">
            <v>JUMPER MCA L2H2 BlueHDi</v>
          </cell>
          <cell r="E41" t="str">
            <v>JUMPER MCA L2H2 BlueHDi</v>
          </cell>
          <cell r="F41" t="str">
            <v>2CXE3LHOK6NXA010</v>
          </cell>
          <cell r="G41" t="str">
            <v>Sevel Sud</v>
          </cell>
          <cell r="H41">
            <v>0.1</v>
          </cell>
        </row>
        <row r="42">
          <cell r="D42" t="str">
            <v>JUMPER MCA L3H2 BlueHDi</v>
          </cell>
          <cell r="E42" t="str">
            <v>JUMPER MCA L3H2 BlueHDi</v>
          </cell>
          <cell r="F42" t="str">
            <v>2CXE5LHOK6NXA010</v>
          </cell>
          <cell r="G42" t="str">
            <v>Sevel Sud</v>
          </cell>
          <cell r="H42">
            <v>0.1</v>
          </cell>
        </row>
        <row r="43">
          <cell r="D43" t="str">
            <v>JUMPER MCA L4H2 BlueHDi</v>
          </cell>
          <cell r="E43" t="str">
            <v>JUMPER MCA L4H2 BlueHDi</v>
          </cell>
          <cell r="F43" t="str">
            <v>2CXE7LHOK6NXA010</v>
          </cell>
          <cell r="G43" t="str">
            <v>Sevel Sud</v>
          </cell>
          <cell r="H43">
            <v>0.1</v>
          </cell>
        </row>
        <row r="44">
          <cell r="D44" t="str">
            <v>JUMPER MCA Cabina L3 BlueHDi</v>
          </cell>
          <cell r="E44" t="str">
            <v>JUMPER MCA Cabina L3 BlueHDi</v>
          </cell>
          <cell r="F44" t="str">
            <v>2CU95LHNH6JRA0E0-1</v>
          </cell>
          <cell r="G44" t="str">
            <v>Sevel Sud</v>
          </cell>
          <cell r="H44">
            <v>0.1</v>
          </cell>
        </row>
        <row r="45">
          <cell r="D45" t="str">
            <v>JUMPER MCA Doble Cabina L4 BlueHDi</v>
          </cell>
          <cell r="E45" t="str">
            <v>JUMPER MCA Doble Cabina L4 BlueHDi</v>
          </cell>
          <cell r="F45" t="str">
            <v>2CU97LHNH6JRA0E0-1</v>
          </cell>
          <cell r="G45" t="str">
            <v>Sevel Sud</v>
          </cell>
          <cell r="H45">
            <v>0.1</v>
          </cell>
        </row>
        <row r="46">
          <cell r="D46" t="str">
            <v>FIAT 600 MHEV</v>
          </cell>
          <cell r="E46" t="str">
            <v>FIAT 600 MHEV</v>
          </cell>
          <cell r="G46" t="str">
            <v>Zeebrugge</v>
          </cell>
          <cell r="H46">
            <v>0.09</v>
          </cell>
        </row>
        <row r="47">
          <cell r="E47" t="str">
            <v/>
          </cell>
          <cell r="G47" t="str">
            <v/>
          </cell>
          <cell r="H47">
            <v>0.09</v>
          </cell>
        </row>
        <row r="48">
          <cell r="D48" t="str">
            <v>FIAT 500E</v>
          </cell>
          <cell r="E48" t="str">
            <v>500E</v>
          </cell>
          <cell r="G48" t="str">
            <v>Zeebrugge</v>
          </cell>
          <cell r="H48">
            <v>0.09</v>
          </cell>
        </row>
        <row r="49">
          <cell r="E49" t="str">
            <v/>
          </cell>
          <cell r="G49" t="str">
            <v/>
          </cell>
          <cell r="H49">
            <v>0.09</v>
          </cell>
        </row>
        <row r="50">
          <cell r="D50" t="str">
            <v>G.Panda F1H Icon 1.2T MHEV</v>
          </cell>
          <cell r="E50" t="str">
            <v>G.Panda F1H Icon 1.2T MHEV</v>
          </cell>
          <cell r="G50" t="str">
            <v>Zeebrugge</v>
          </cell>
          <cell r="H50">
            <v>0.09</v>
          </cell>
        </row>
        <row r="51">
          <cell r="D51" t="str">
            <v>G.Panda F1H La Prima 1.2T MHEV</v>
          </cell>
          <cell r="E51" t="str">
            <v>G.Panda F1H La Prima 1.2T MHEV</v>
          </cell>
          <cell r="G51" t="str">
            <v>Zeebrugge</v>
          </cell>
          <cell r="H51">
            <v>0.09</v>
          </cell>
        </row>
        <row r="52">
          <cell r="E52" t="str">
            <v/>
          </cell>
          <cell r="G52" t="str">
            <v/>
          </cell>
          <cell r="H52">
            <v>0.09</v>
          </cell>
        </row>
        <row r="53">
          <cell r="D53" t="str">
            <v>G.Panda F1H Icon 1.2T MT</v>
          </cell>
          <cell r="E53" t="str">
            <v>G.Panda F1H Icon 1.2T MT</v>
          </cell>
          <cell r="G53" t="str">
            <v>Zeebrugge</v>
          </cell>
          <cell r="H53">
            <v>0.09</v>
          </cell>
        </row>
        <row r="54">
          <cell r="D54" t="str">
            <v>G.Panda F1H La Prima 1.2T MT</v>
          </cell>
          <cell r="E54" t="str">
            <v>G.Panda F1H La Prima 1.2T MT</v>
          </cell>
          <cell r="G54" t="str">
            <v>Zeebrugge</v>
          </cell>
          <cell r="H54">
            <v>0.09</v>
          </cell>
        </row>
        <row r="55">
          <cell r="E55" t="str">
            <v/>
          </cell>
          <cell r="G55" t="str">
            <v/>
          </cell>
          <cell r="H55">
            <v>0.09</v>
          </cell>
        </row>
        <row r="56">
          <cell r="D56" t="str">
            <v>FIAT F2X Icon 1.2T MHEV</v>
          </cell>
          <cell r="E56" t="str">
            <v>FIAT F2X Icon 1.2T MHEV</v>
          </cell>
          <cell r="G56" t="str">
            <v>Zeebrugge</v>
          </cell>
          <cell r="H56">
            <v>0.09</v>
          </cell>
        </row>
        <row r="57">
          <cell r="D57" t="str">
            <v>FIAT F2X La Prima 1.2T MHEV</v>
          </cell>
          <cell r="E57" t="str">
            <v>FIAT F2X La Prima 1.2T MHEV</v>
          </cell>
          <cell r="G57" t="str">
            <v>Zeebrugge</v>
          </cell>
          <cell r="H57">
            <v>0.09</v>
          </cell>
        </row>
        <row r="58">
          <cell r="E58" t="str">
            <v/>
          </cell>
          <cell r="G58" t="str">
            <v/>
          </cell>
          <cell r="H58">
            <v>0.09</v>
          </cell>
        </row>
        <row r="59">
          <cell r="D59" t="str">
            <v>FIAT F2X Icon 1.2T MT</v>
          </cell>
          <cell r="E59" t="str">
            <v>FIAT F2X Icon 1.2T MT</v>
          </cell>
          <cell r="G59" t="str">
            <v>Zeebrugge</v>
          </cell>
          <cell r="H59">
            <v>0.09</v>
          </cell>
        </row>
        <row r="60">
          <cell r="D60" t="str">
            <v>FIAT F2X La Prima 1.2T MT</v>
          </cell>
          <cell r="E60" t="str">
            <v>FIAT F2X La Prima 1.2T MT</v>
          </cell>
          <cell r="G60" t="str">
            <v>Zeebrugge</v>
          </cell>
          <cell r="H60">
            <v>0.09</v>
          </cell>
        </row>
        <row r="61">
          <cell r="E61" t="str">
            <v/>
          </cell>
          <cell r="G61" t="str">
            <v/>
          </cell>
          <cell r="H61">
            <v>0.09</v>
          </cell>
        </row>
        <row r="62">
          <cell r="D62" t="str">
            <v>FIAT F2U Icon 1.2T MT</v>
          </cell>
          <cell r="E62" t="str">
            <v>FIAT F2U Icon 1.2T MT</v>
          </cell>
          <cell r="G62" t="str">
            <v>Mercosur</v>
          </cell>
          <cell r="H62">
            <v>0.09</v>
          </cell>
        </row>
        <row r="63">
          <cell r="D63" t="str">
            <v>FIAT F2U La Prima 1.2T MT</v>
          </cell>
          <cell r="E63" t="str">
            <v>FIAT F2U La Prima 1.2T MT</v>
          </cell>
          <cell r="G63" t="str">
            <v>Mercosur</v>
          </cell>
          <cell r="H63">
            <v>0.09</v>
          </cell>
        </row>
        <row r="64">
          <cell r="E64" t="str">
            <v/>
          </cell>
          <cell r="G64" t="str">
            <v/>
          </cell>
          <cell r="H64">
            <v>0.09</v>
          </cell>
        </row>
        <row r="65">
          <cell r="D65" t="str">
            <v>FIAT F2U Icon 1.2T MHEV DCT</v>
          </cell>
          <cell r="E65" t="str">
            <v>FIAT F2U Icon 1.2T MHEV DCT</v>
          </cell>
          <cell r="G65" t="str">
            <v>Mercosur</v>
          </cell>
          <cell r="H65">
            <v>0.09</v>
          </cell>
        </row>
        <row r="66">
          <cell r="D66" t="str">
            <v>FIAT F2U La Prima 1.2T MHEV DCT</v>
          </cell>
          <cell r="E66" t="str">
            <v>FIAT F2U La Prima 1.2T MHEV DCT</v>
          </cell>
          <cell r="G66" t="str">
            <v>Mercosur</v>
          </cell>
          <cell r="H66">
            <v>0.09</v>
          </cell>
        </row>
        <row r="67">
          <cell r="E67" t="str">
            <v/>
          </cell>
          <cell r="G67" t="str">
            <v/>
          </cell>
          <cell r="H67">
            <v>0.09</v>
          </cell>
        </row>
        <row r="68">
          <cell r="D68" t="str">
            <v>FIAT PULSE Drive 1.3 MT MCA</v>
          </cell>
          <cell r="E68" t="str">
            <v>Pulse Drive 1.3 MT</v>
          </cell>
          <cell r="G68" t="str">
            <v>Mercosur</v>
          </cell>
          <cell r="H68">
            <v>0.09</v>
          </cell>
        </row>
        <row r="69">
          <cell r="D69" t="str">
            <v>FIAT PULSE Drive 1.3 AT MCA</v>
          </cell>
          <cell r="E69" t="str">
            <v>Pulse Drive 1.3 CVT</v>
          </cell>
          <cell r="G69" t="str">
            <v>Mercosur</v>
          </cell>
          <cell r="H69">
            <v>0.09</v>
          </cell>
        </row>
        <row r="70">
          <cell r="D70" t="str">
            <v>FIAT PULSE Impetus Turbo AT MCA</v>
          </cell>
          <cell r="E70" t="str">
            <v>PULSE IMPETUS 1.0 CVT</v>
          </cell>
          <cell r="G70" t="str">
            <v>Mercosur</v>
          </cell>
          <cell r="H70">
            <v>0.09</v>
          </cell>
        </row>
        <row r="71">
          <cell r="D71" t="str">
            <v>FIAT PULSE Drive 1.3 MT</v>
          </cell>
          <cell r="E71" t="str">
            <v>FIAT PULSE Drive 1.3 MT</v>
          </cell>
          <cell r="G71" t="str">
            <v>Mercosur</v>
          </cell>
          <cell r="H71">
            <v>0.09</v>
          </cell>
        </row>
        <row r="72">
          <cell r="D72" t="str">
            <v>FIAT FASTBACK Drive Turbo AT MCA</v>
          </cell>
          <cell r="E72" t="str">
            <v>Fastback Drive 1.0 CVT</v>
          </cell>
          <cell r="G72" t="str">
            <v>Mercosur</v>
          </cell>
          <cell r="H72">
            <v>0.09</v>
          </cell>
        </row>
        <row r="73">
          <cell r="D73" t="str">
            <v>FIAT FASTBACK Impetus Turbo AT MCA</v>
          </cell>
          <cell r="E73" t="str">
            <v>Fastback Impetus 1.0 CVT</v>
          </cell>
          <cell r="G73" t="str">
            <v>Mercosur</v>
          </cell>
          <cell r="H73">
            <v>0.09</v>
          </cell>
        </row>
        <row r="78">
          <cell r="H78">
            <v>8.9999999999999983E-2</v>
          </cell>
        </row>
        <row r="79">
          <cell r="H79">
            <v>0.1</v>
          </cell>
        </row>
        <row r="80">
          <cell r="D80" t="str">
            <v>CITROEN</v>
          </cell>
          <cell r="E80" t="str">
            <v>CITROEN</v>
          </cell>
          <cell r="H80">
            <v>9.3929037875489771E-2</v>
          </cell>
        </row>
        <row r="82">
          <cell r="H82">
            <v>0.09</v>
          </cell>
        </row>
        <row r="84">
          <cell r="D84" t="str">
            <v>FIAT</v>
          </cell>
          <cell r="E84" t="str">
            <v>FIAT</v>
          </cell>
          <cell r="H84">
            <v>0.09</v>
          </cell>
        </row>
        <row r="86">
          <cell r="H86">
            <v>0.09</v>
          </cell>
        </row>
        <row r="87">
          <cell r="H87">
            <v>0.1</v>
          </cell>
        </row>
        <row r="88">
          <cell r="D88" t="str">
            <v>NSC</v>
          </cell>
          <cell r="E88" t="str">
            <v>NSC</v>
          </cell>
          <cell r="H88">
            <v>9.3546168958742626E-2</v>
          </cell>
        </row>
      </sheetData>
      <sheetData sheetId="4" refreshError="1"/>
      <sheetData sheetId="5" refreshError="1"/>
      <sheetData sheetId="6" refreshError="1"/>
      <sheetData sheetId="7">
        <row r="5">
          <cell r="D5" t="str">
            <v>EDS</v>
          </cell>
        </row>
      </sheetData>
      <sheetData sheetId="8" refreshError="1"/>
      <sheetData sheetId="9">
        <row r="5">
          <cell r="B5" t="str">
            <v>FAMILIA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4">
          <cell r="F4" t="str">
            <v>MIX VOL B2B RED</v>
          </cell>
          <cell r="T4" t="str">
            <v>MIX TRAMOS</v>
          </cell>
          <cell r="BF4" t="str">
            <v>DESCUENTOS</v>
          </cell>
          <cell r="CU4" t="str">
            <v>MG RED</v>
          </cell>
          <cell r="EG4" t="str">
            <v>APORTE PONDERADO</v>
          </cell>
          <cell r="EU4" t="str">
            <v>DESCUENTO PONDERADO</v>
          </cell>
        </row>
        <row r="6">
          <cell r="G6" t="str">
            <v>ENERO</v>
          </cell>
          <cell r="H6" t="str">
            <v>FEBRERO</v>
          </cell>
          <cell r="I6" t="str">
            <v>MARZO</v>
          </cell>
          <cell r="J6" t="str">
            <v>ABRIL</v>
          </cell>
          <cell r="K6" t="str">
            <v>MAYO</v>
          </cell>
          <cell r="L6" t="str">
            <v>JUNIO</v>
          </cell>
          <cell r="M6" t="str">
            <v>JULIO</v>
          </cell>
          <cell r="N6" t="str">
            <v>AGOSTO</v>
          </cell>
          <cell r="O6" t="str">
            <v>SEPTIEMBRE</v>
          </cell>
          <cell r="P6" t="str">
            <v>OCTUBRE</v>
          </cell>
          <cell r="Q6" t="str">
            <v>NOVIEMBRE</v>
          </cell>
          <cell r="R6" t="str">
            <v>DICIEMBRE</v>
          </cell>
          <cell r="U6" t="str">
            <v>ENERO</v>
          </cell>
          <cell r="X6" t="str">
            <v>FEBRERO</v>
          </cell>
          <cell r="AA6" t="str">
            <v>MARZO</v>
          </cell>
          <cell r="AD6" t="str">
            <v>ABRIL</v>
          </cell>
          <cell r="AG6" t="str">
            <v>MAYO</v>
          </cell>
          <cell r="AJ6" t="str">
            <v>JUNIO</v>
          </cell>
          <cell r="AM6" t="str">
            <v>JULIO</v>
          </cell>
          <cell r="AP6" t="str">
            <v>AGOSTO</v>
          </cell>
          <cell r="AS6" t="str">
            <v>SEPTIEMBRE</v>
          </cell>
          <cell r="AV6" t="str">
            <v>OCTUBRE</v>
          </cell>
          <cell r="AY6" t="str">
            <v>NOVIEMBRE</v>
          </cell>
          <cell r="BB6" t="str">
            <v>DICIEMBRE</v>
          </cell>
          <cell r="BG6">
            <v>45992</v>
          </cell>
          <cell r="BJ6" t="str">
            <v>ENERO</v>
          </cell>
          <cell r="BM6" t="str">
            <v>FEBRERO</v>
          </cell>
          <cell r="BP6" t="str">
            <v>MARZO</v>
          </cell>
          <cell r="BS6" t="str">
            <v>ABRIL</v>
          </cell>
          <cell r="BV6" t="str">
            <v>MAYO</v>
          </cell>
          <cell r="BY6" t="str">
            <v>JUNIO</v>
          </cell>
          <cell r="CB6" t="str">
            <v>JULIO</v>
          </cell>
          <cell r="CE6" t="str">
            <v>AGOSTO</v>
          </cell>
          <cell r="CH6" t="str">
            <v>SEPTIEMBRE</v>
          </cell>
          <cell r="CK6" t="str">
            <v>OCTUBRE</v>
          </cell>
          <cell r="CN6" t="str">
            <v>NOVIEMBRE</v>
          </cell>
          <cell r="CQ6" t="str">
            <v>DICIEMBRE</v>
          </cell>
          <cell r="CV6" t="str">
            <v>ENERO</v>
          </cell>
          <cell r="CY6" t="str">
            <v>FEBRERO</v>
          </cell>
          <cell r="DB6" t="str">
            <v>MARZO</v>
          </cell>
          <cell r="DE6" t="str">
            <v>ABRIL</v>
          </cell>
          <cell r="DH6" t="str">
            <v>MAYO</v>
          </cell>
          <cell r="DK6" t="str">
            <v>JUNIO</v>
          </cell>
          <cell r="DN6" t="str">
            <v>JULIO</v>
          </cell>
          <cell r="DQ6" t="str">
            <v>AGOSTO</v>
          </cell>
          <cell r="DT6" t="str">
            <v>SEPTIEMBRE</v>
          </cell>
          <cell r="DW6" t="str">
            <v>OCTUBRE</v>
          </cell>
          <cell r="DZ6" t="str">
            <v>NOVIEMBRE</v>
          </cell>
          <cell r="EC6" t="str">
            <v>DICIEMBRE</v>
          </cell>
          <cell r="EG6">
            <v>45992</v>
          </cell>
          <cell r="EH6" t="str">
            <v>ENERO</v>
          </cell>
          <cell r="EI6" t="str">
            <v>FEBRERO</v>
          </cell>
          <cell r="EJ6" t="str">
            <v>MARZO</v>
          </cell>
          <cell r="EK6" t="str">
            <v>ABRIL</v>
          </cell>
          <cell r="EL6" t="str">
            <v>MAYO</v>
          </cell>
          <cell r="EM6" t="str">
            <v>JUNIO</v>
          </cell>
          <cell r="EN6" t="str">
            <v>JULIO</v>
          </cell>
          <cell r="EO6" t="str">
            <v>AGOSTO</v>
          </cell>
          <cell r="EP6" t="str">
            <v>SEPTIEMBRE</v>
          </cell>
          <cell r="EQ6" t="str">
            <v>OCTUBRE</v>
          </cell>
          <cell r="ER6" t="str">
            <v>NOVIEMBRE</v>
          </cell>
          <cell r="ES6" t="str">
            <v>DICIEMBRE</v>
          </cell>
          <cell r="EU6">
            <v>45992</v>
          </cell>
          <cell r="EV6" t="str">
            <v>ENERO</v>
          </cell>
          <cell r="EW6" t="str">
            <v>FEBRERO</v>
          </cell>
          <cell r="EX6" t="str">
            <v>MARZO</v>
          </cell>
          <cell r="EY6" t="str">
            <v>ABRIL</v>
          </cell>
          <cell r="EZ6" t="str">
            <v>MAYO</v>
          </cell>
          <cell r="FA6" t="str">
            <v>JUNIO</v>
          </cell>
          <cell r="FB6" t="str">
            <v>JULIO</v>
          </cell>
          <cell r="FC6" t="str">
            <v>AGOSTO</v>
          </cell>
          <cell r="FD6" t="str">
            <v>SEPTIEMBRE</v>
          </cell>
          <cell r="FE6" t="str">
            <v>OCTUBRE</v>
          </cell>
          <cell r="FF6" t="str">
            <v>NOVIEMBRE</v>
          </cell>
          <cell r="FG6" t="str">
            <v>DICIEMBRE</v>
          </cell>
        </row>
        <row r="7">
          <cell r="C7" t="str">
            <v>EDS</v>
          </cell>
          <cell r="D7" t="str">
            <v>CD</v>
          </cell>
          <cell r="U7" t="str">
            <v>T1</v>
          </cell>
          <cell r="V7" t="str">
            <v>T2</v>
          </cell>
          <cell r="W7" t="str">
            <v>GC</v>
          </cell>
          <cell r="X7" t="str">
            <v>T1</v>
          </cell>
          <cell r="Y7" t="str">
            <v>T2</v>
          </cell>
          <cell r="Z7" t="str">
            <v>GC</v>
          </cell>
          <cell r="AA7" t="str">
            <v>T1</v>
          </cell>
          <cell r="AB7" t="str">
            <v>T2</v>
          </cell>
          <cell r="AC7" t="str">
            <v>GC</v>
          </cell>
          <cell r="AD7" t="str">
            <v>T1</v>
          </cell>
          <cell r="AE7" t="str">
            <v>T2</v>
          </cell>
          <cell r="AF7" t="str">
            <v>GC</v>
          </cell>
          <cell r="AG7" t="str">
            <v>T1</v>
          </cell>
          <cell r="AH7" t="str">
            <v>T2</v>
          </cell>
          <cell r="AI7" t="str">
            <v>GC</v>
          </cell>
          <cell r="AJ7" t="str">
            <v>T1</v>
          </cell>
          <cell r="AK7" t="str">
            <v>T2</v>
          </cell>
          <cell r="AL7" t="str">
            <v>GC</v>
          </cell>
          <cell r="AM7" t="str">
            <v>T1</v>
          </cell>
          <cell r="AN7" t="str">
            <v>T2</v>
          </cell>
          <cell r="AO7" t="str">
            <v>GC</v>
          </cell>
          <cell r="AP7" t="str">
            <v>T1</v>
          </cell>
          <cell r="AQ7" t="str">
            <v>T2</v>
          </cell>
          <cell r="AR7" t="str">
            <v>GC</v>
          </cell>
          <cell r="AS7" t="str">
            <v>T1</v>
          </cell>
          <cell r="AT7" t="str">
            <v>T2</v>
          </cell>
          <cell r="AU7" t="str">
            <v>GC</v>
          </cell>
          <cell r="AV7" t="str">
            <v>T1</v>
          </cell>
          <cell r="AW7" t="str">
            <v>T2</v>
          </cell>
          <cell r="AX7" t="str">
            <v>GC</v>
          </cell>
          <cell r="AY7" t="str">
            <v>T1</v>
          </cell>
          <cell r="AZ7" t="str">
            <v>T2</v>
          </cell>
          <cell r="BA7" t="str">
            <v>GC</v>
          </cell>
          <cell r="BB7" t="str">
            <v>T1</v>
          </cell>
          <cell r="BC7" t="str">
            <v>T2</v>
          </cell>
          <cell r="BD7" t="str">
            <v>GC</v>
          </cell>
          <cell r="BG7" t="str">
            <v>T1</v>
          </cell>
          <cell r="BH7" t="str">
            <v>T2</v>
          </cell>
          <cell r="BI7" t="str">
            <v>GC</v>
          </cell>
          <cell r="BJ7" t="str">
            <v>T1</v>
          </cell>
          <cell r="BK7" t="str">
            <v>T2</v>
          </cell>
          <cell r="BL7" t="str">
            <v>GC</v>
          </cell>
          <cell r="BM7" t="str">
            <v>T1</v>
          </cell>
          <cell r="BN7" t="str">
            <v>T2</v>
          </cell>
          <cell r="BO7" t="str">
            <v>GC</v>
          </cell>
          <cell r="BP7" t="str">
            <v>T1</v>
          </cell>
          <cell r="BQ7" t="str">
            <v>T2</v>
          </cell>
          <cell r="BR7" t="str">
            <v>GC</v>
          </cell>
          <cell r="BS7" t="str">
            <v>T1</v>
          </cell>
          <cell r="BT7" t="str">
            <v>T2</v>
          </cell>
          <cell r="BU7" t="str">
            <v>GC</v>
          </cell>
          <cell r="BV7" t="str">
            <v>T1</v>
          </cell>
          <cell r="BW7" t="str">
            <v>T2</v>
          </cell>
          <cell r="BX7" t="str">
            <v>GC</v>
          </cell>
          <cell r="BY7" t="str">
            <v>T1</v>
          </cell>
          <cell r="BZ7" t="str">
            <v>T2</v>
          </cell>
          <cell r="CA7" t="str">
            <v>GC</v>
          </cell>
          <cell r="CB7" t="str">
            <v>T1</v>
          </cell>
          <cell r="CC7" t="str">
            <v>T2</v>
          </cell>
          <cell r="CD7" t="str">
            <v>GC</v>
          </cell>
          <cell r="CE7" t="str">
            <v>T1</v>
          </cell>
          <cell r="CF7" t="str">
            <v>T2</v>
          </cell>
          <cell r="CG7" t="str">
            <v>GC</v>
          </cell>
          <cell r="CH7" t="str">
            <v>T1</v>
          </cell>
          <cell r="CI7" t="str">
            <v>T2</v>
          </cell>
          <cell r="CJ7" t="str">
            <v>GC</v>
          </cell>
          <cell r="CK7" t="str">
            <v>T1</v>
          </cell>
          <cell r="CL7" t="str">
            <v>T2</v>
          </cell>
          <cell r="CM7" t="str">
            <v>GC</v>
          </cell>
          <cell r="CN7" t="str">
            <v>T1</v>
          </cell>
          <cell r="CO7" t="str">
            <v>T2</v>
          </cell>
          <cell r="CP7" t="str">
            <v>GC</v>
          </cell>
          <cell r="CQ7" t="str">
            <v>T1</v>
          </cell>
          <cell r="CR7" t="str">
            <v>T2</v>
          </cell>
          <cell r="CS7" t="str">
            <v>GC</v>
          </cell>
          <cell r="CV7" t="str">
            <v>T1</v>
          </cell>
          <cell r="CW7" t="str">
            <v>T2</v>
          </cell>
          <cell r="CX7" t="str">
            <v>GC</v>
          </cell>
          <cell r="CY7" t="str">
            <v>T1</v>
          </cell>
          <cell r="CZ7" t="str">
            <v>T2</v>
          </cell>
          <cell r="DA7" t="str">
            <v>GC</v>
          </cell>
          <cell r="DB7" t="str">
            <v>T1</v>
          </cell>
          <cell r="DC7" t="str">
            <v>T2</v>
          </cell>
          <cell r="DD7" t="str">
            <v>GC</v>
          </cell>
          <cell r="DE7" t="str">
            <v>T1</v>
          </cell>
          <cell r="DF7" t="str">
            <v>T2</v>
          </cell>
          <cell r="DG7" t="str">
            <v>GC</v>
          </cell>
          <cell r="DH7" t="str">
            <v>T1</v>
          </cell>
          <cell r="DI7" t="str">
            <v>T2</v>
          </cell>
          <cell r="DJ7" t="str">
            <v>GC</v>
          </cell>
          <cell r="DK7" t="str">
            <v>T1</v>
          </cell>
          <cell r="DL7" t="str">
            <v>T2</v>
          </cell>
          <cell r="DM7" t="str">
            <v>GC</v>
          </cell>
          <cell r="DN7" t="str">
            <v>T1</v>
          </cell>
          <cell r="DO7" t="str">
            <v>T2</v>
          </cell>
          <cell r="DP7" t="str">
            <v>GC</v>
          </cell>
          <cell r="DQ7" t="str">
            <v>T1</v>
          </cell>
          <cell r="DR7" t="str">
            <v>T2</v>
          </cell>
          <cell r="DS7" t="str">
            <v>GC</v>
          </cell>
          <cell r="DT7" t="str">
            <v>T1</v>
          </cell>
          <cell r="DU7" t="str">
            <v>T2</v>
          </cell>
          <cell r="DV7" t="str">
            <v>GC</v>
          </cell>
          <cell r="DW7" t="str">
            <v>T1</v>
          </cell>
          <cell r="DX7" t="str">
            <v>T2</v>
          </cell>
          <cell r="DY7" t="str">
            <v>GC</v>
          </cell>
          <cell r="DZ7" t="str">
            <v>T1</v>
          </cell>
          <cell r="EA7" t="str">
            <v>T2</v>
          </cell>
          <cell r="EB7" t="str">
            <v>GC</v>
          </cell>
          <cell r="EC7" t="str">
            <v>T1</v>
          </cell>
          <cell r="ED7" t="str">
            <v>T2</v>
          </cell>
          <cell r="EE7" t="str">
            <v>GC</v>
          </cell>
        </row>
        <row r="8">
          <cell r="C8" t="str">
            <v>C3 Puretech 82 Live Pack</v>
          </cell>
          <cell r="D8" t="str">
            <v>C3 PureTech 82 Live Pack</v>
          </cell>
          <cell r="G8">
            <v>0.05</v>
          </cell>
          <cell r="H8">
            <v>0.05</v>
          </cell>
          <cell r="I8">
            <v>0.05</v>
          </cell>
          <cell r="J8">
            <v>0.05</v>
          </cell>
          <cell r="K8">
            <v>0.05</v>
          </cell>
          <cell r="L8">
            <v>0.05</v>
          </cell>
          <cell r="M8">
            <v>0.05</v>
          </cell>
          <cell r="N8">
            <v>0.05</v>
          </cell>
          <cell r="O8">
            <v>0.05</v>
          </cell>
          <cell r="P8">
            <v>0.05</v>
          </cell>
          <cell r="Q8">
            <v>0.05</v>
          </cell>
          <cell r="R8">
            <v>0.05</v>
          </cell>
          <cell r="U8">
            <v>0.5</v>
          </cell>
          <cell r="V8">
            <v>0</v>
          </cell>
          <cell r="W8">
            <v>0.5</v>
          </cell>
          <cell r="X8">
            <v>0.5</v>
          </cell>
          <cell r="Y8">
            <v>0</v>
          </cell>
          <cell r="Z8">
            <v>0.5</v>
          </cell>
          <cell r="AA8">
            <v>0.5</v>
          </cell>
          <cell r="AB8">
            <v>0</v>
          </cell>
          <cell r="AC8">
            <v>0.5</v>
          </cell>
          <cell r="AD8">
            <v>0.5</v>
          </cell>
          <cell r="AE8">
            <v>0</v>
          </cell>
          <cell r="AF8">
            <v>0.5</v>
          </cell>
          <cell r="AG8">
            <v>0.5</v>
          </cell>
          <cell r="AH8">
            <v>0</v>
          </cell>
          <cell r="AI8">
            <v>0.5</v>
          </cell>
          <cell r="AJ8">
            <v>0.5</v>
          </cell>
          <cell r="AK8">
            <v>0</v>
          </cell>
          <cell r="AL8">
            <v>0.5</v>
          </cell>
          <cell r="AM8">
            <v>0.5</v>
          </cell>
          <cell r="AN8">
            <v>0</v>
          </cell>
          <cell r="AO8">
            <v>0.5</v>
          </cell>
          <cell r="AP8">
            <v>0.5</v>
          </cell>
          <cell r="AQ8">
            <v>0</v>
          </cell>
          <cell r="AR8">
            <v>0.5</v>
          </cell>
          <cell r="AS8">
            <v>0.5</v>
          </cell>
          <cell r="AT8">
            <v>0</v>
          </cell>
          <cell r="AU8">
            <v>0.5</v>
          </cell>
          <cell r="AV8">
            <v>0.5</v>
          </cell>
          <cell r="AW8">
            <v>0</v>
          </cell>
          <cell r="AX8">
            <v>0.5</v>
          </cell>
          <cell r="AY8">
            <v>0.5</v>
          </cell>
          <cell r="AZ8">
            <v>0</v>
          </cell>
          <cell r="BA8">
            <v>0.5</v>
          </cell>
          <cell r="BB8">
            <v>0.5</v>
          </cell>
          <cell r="BC8">
            <v>0</v>
          </cell>
          <cell r="BD8">
            <v>0.5</v>
          </cell>
          <cell r="BG8">
            <v>0.06</v>
          </cell>
          <cell r="BH8">
            <v>0.08</v>
          </cell>
          <cell r="BI8">
            <v>0.1</v>
          </cell>
          <cell r="BJ8">
            <v>0.06</v>
          </cell>
          <cell r="BK8">
            <v>0.08</v>
          </cell>
          <cell r="BL8">
            <v>0.1</v>
          </cell>
          <cell r="BM8">
            <v>0.06</v>
          </cell>
          <cell r="BN8">
            <v>0.08</v>
          </cell>
          <cell r="BO8">
            <v>0.1</v>
          </cell>
          <cell r="BP8">
            <v>0.06</v>
          </cell>
          <cell r="BQ8">
            <v>0.08</v>
          </cell>
          <cell r="BR8">
            <v>0.1</v>
          </cell>
          <cell r="BS8">
            <v>0.06</v>
          </cell>
          <cell r="BT8">
            <v>0.08</v>
          </cell>
          <cell r="BU8">
            <v>0.1</v>
          </cell>
          <cell r="BV8">
            <v>0.06</v>
          </cell>
          <cell r="BW8">
            <v>0.08</v>
          </cell>
          <cell r="BX8">
            <v>0.1</v>
          </cell>
          <cell r="BY8">
            <v>0.06</v>
          </cell>
          <cell r="BZ8">
            <v>0.08</v>
          </cell>
          <cell r="CA8">
            <v>0.1</v>
          </cell>
          <cell r="CB8">
            <v>0.06</v>
          </cell>
          <cell r="CC8">
            <v>0.08</v>
          </cell>
          <cell r="CD8">
            <v>0.1</v>
          </cell>
          <cell r="CE8">
            <v>0.06</v>
          </cell>
          <cell r="CF8">
            <v>0.08</v>
          </cell>
          <cell r="CG8">
            <v>0.1</v>
          </cell>
          <cell r="CH8">
            <v>0.06</v>
          </cell>
          <cell r="CI8">
            <v>0.08</v>
          </cell>
          <cell r="CJ8">
            <v>0.1</v>
          </cell>
          <cell r="CK8">
            <v>0.06</v>
          </cell>
          <cell r="CL8">
            <v>0.08</v>
          </cell>
          <cell r="CM8">
            <v>0.1</v>
          </cell>
          <cell r="CN8">
            <v>0.06</v>
          </cell>
          <cell r="CO8">
            <v>0.08</v>
          </cell>
          <cell r="CP8">
            <v>0.1</v>
          </cell>
          <cell r="CQ8">
            <v>0.06</v>
          </cell>
          <cell r="CR8">
            <v>0.08</v>
          </cell>
          <cell r="CS8">
            <v>0.1</v>
          </cell>
          <cell r="CV8">
            <v>6.5000000000000002E-2</v>
          </cell>
          <cell r="CW8">
            <v>5.5E-2</v>
          </cell>
          <cell r="CX8">
            <v>0.03</v>
          </cell>
          <cell r="CY8">
            <v>6.5000000000000002E-2</v>
          </cell>
          <cell r="CZ8">
            <v>5.5E-2</v>
          </cell>
          <cell r="DA8">
            <v>0.03</v>
          </cell>
          <cell r="DB8">
            <v>6.5000000000000002E-2</v>
          </cell>
          <cell r="DC8">
            <v>5.5E-2</v>
          </cell>
          <cell r="DD8">
            <v>0.03</v>
          </cell>
          <cell r="DE8">
            <v>6.5000000000000002E-2</v>
          </cell>
          <cell r="DF8">
            <v>5.5E-2</v>
          </cell>
          <cell r="DG8">
            <v>0.03</v>
          </cell>
          <cell r="DH8">
            <v>6.5000000000000002E-2</v>
          </cell>
          <cell r="DI8">
            <v>5.5E-2</v>
          </cell>
          <cell r="DJ8">
            <v>0.03</v>
          </cell>
          <cell r="DK8">
            <v>6.5000000000000002E-2</v>
          </cell>
          <cell r="DL8">
            <v>5.5E-2</v>
          </cell>
          <cell r="DM8">
            <v>0.03</v>
          </cell>
          <cell r="DN8">
            <v>6.5000000000000002E-2</v>
          </cell>
          <cell r="DO8">
            <v>5.5E-2</v>
          </cell>
          <cell r="DP8">
            <v>0.03</v>
          </cell>
          <cell r="DQ8">
            <v>6.5000000000000002E-2</v>
          </cell>
          <cell r="DR8">
            <v>5.5E-2</v>
          </cell>
          <cell r="DS8">
            <v>0.03</v>
          </cell>
          <cell r="DT8">
            <v>6.5000000000000002E-2</v>
          </cell>
          <cell r="DU8">
            <v>5.5E-2</v>
          </cell>
          <cell r="DV8">
            <v>0.03</v>
          </cell>
          <cell r="DW8">
            <v>6.5000000000000002E-2</v>
          </cell>
          <cell r="DX8">
            <v>5.5E-2</v>
          </cell>
          <cell r="DY8">
            <v>0.03</v>
          </cell>
          <cell r="DZ8">
            <v>6.5000000000000002E-2</v>
          </cell>
          <cell r="EA8">
            <v>5.5E-2</v>
          </cell>
          <cell r="EB8">
            <v>0.03</v>
          </cell>
          <cell r="EC8">
            <v>6.5000000000000002E-2</v>
          </cell>
          <cell r="ED8">
            <v>5.5E-2</v>
          </cell>
          <cell r="EE8">
            <v>0.03</v>
          </cell>
          <cell r="EG8">
            <v>3.7500000000000006E-2</v>
          </cell>
          <cell r="EH8">
            <v>3.7500000000000006E-2</v>
          </cell>
          <cell r="EI8">
            <v>3.7500000000000006E-2</v>
          </cell>
          <cell r="EJ8">
            <v>3.7500000000000006E-2</v>
          </cell>
          <cell r="EK8">
            <v>3.7500000000000006E-2</v>
          </cell>
          <cell r="EL8">
            <v>3.7500000000000006E-2</v>
          </cell>
          <cell r="EM8">
            <v>3.7500000000000006E-2</v>
          </cell>
          <cell r="EN8">
            <v>3.7500000000000006E-2</v>
          </cell>
          <cell r="EO8">
            <v>3.7500000000000006E-2</v>
          </cell>
          <cell r="EP8">
            <v>3.7500000000000006E-2</v>
          </cell>
          <cell r="EQ8">
            <v>3.7500000000000006E-2</v>
          </cell>
          <cell r="ER8">
            <v>3.7500000000000006E-2</v>
          </cell>
          <cell r="ES8">
            <v>3.7500000000000006E-2</v>
          </cell>
          <cell r="EU8">
            <v>0.08</v>
          </cell>
          <cell r="EV8">
            <v>0.08</v>
          </cell>
          <cell r="EW8">
            <v>0.08</v>
          </cell>
          <cell r="EX8">
            <v>0.08</v>
          </cell>
          <cell r="EY8">
            <v>0.08</v>
          </cell>
          <cell r="EZ8">
            <v>0.08</v>
          </cell>
          <cell r="FA8">
            <v>0.08</v>
          </cell>
          <cell r="FB8">
            <v>0.08</v>
          </cell>
          <cell r="FC8">
            <v>0.08</v>
          </cell>
          <cell r="FD8">
            <v>0.08</v>
          </cell>
          <cell r="FE8">
            <v>0.08</v>
          </cell>
          <cell r="FF8">
            <v>0.08</v>
          </cell>
          <cell r="FG8">
            <v>0.08</v>
          </cell>
        </row>
        <row r="9">
          <cell r="C9" t="str">
            <v>C3 Live Pack Gasolina 96HP MT</v>
          </cell>
          <cell r="D9" t="str">
            <v>C3 Live Pack Gasolina 99HP MT</v>
          </cell>
          <cell r="G9">
            <v>0.05</v>
          </cell>
          <cell r="H9">
            <v>0.05</v>
          </cell>
          <cell r="I9">
            <v>0.05</v>
          </cell>
          <cell r="J9">
            <v>0.05</v>
          </cell>
          <cell r="K9">
            <v>0.05</v>
          </cell>
          <cell r="L9">
            <v>0.05</v>
          </cell>
          <cell r="M9">
            <v>0.05</v>
          </cell>
          <cell r="N9">
            <v>0.05</v>
          </cell>
          <cell r="O9">
            <v>0.05</v>
          </cell>
          <cell r="P9">
            <v>0.05</v>
          </cell>
          <cell r="Q9">
            <v>0.05</v>
          </cell>
          <cell r="R9">
            <v>0.05</v>
          </cell>
          <cell r="U9">
            <v>0.5</v>
          </cell>
          <cell r="V9">
            <v>0</v>
          </cell>
          <cell r="W9">
            <v>0.5</v>
          </cell>
          <cell r="X9">
            <v>0.5</v>
          </cell>
          <cell r="Y9">
            <v>0</v>
          </cell>
          <cell r="Z9">
            <v>0.5</v>
          </cell>
          <cell r="AA9">
            <v>0.5</v>
          </cell>
          <cell r="AB9">
            <v>0</v>
          </cell>
          <cell r="AC9">
            <v>0.5</v>
          </cell>
          <cell r="AD9">
            <v>0.5</v>
          </cell>
          <cell r="AE9">
            <v>0</v>
          </cell>
          <cell r="AF9">
            <v>0.5</v>
          </cell>
          <cell r="AG9">
            <v>0.5</v>
          </cell>
          <cell r="AH9">
            <v>0</v>
          </cell>
          <cell r="AI9">
            <v>0.5</v>
          </cell>
          <cell r="AJ9">
            <v>0.5</v>
          </cell>
          <cell r="AK9">
            <v>0</v>
          </cell>
          <cell r="AL9">
            <v>0.5</v>
          </cell>
          <cell r="AM9">
            <v>0.5</v>
          </cell>
          <cell r="AN9">
            <v>0</v>
          </cell>
          <cell r="AO9">
            <v>0.5</v>
          </cell>
          <cell r="AP9">
            <v>0.5</v>
          </cell>
          <cell r="AQ9">
            <v>0</v>
          </cell>
          <cell r="AR9">
            <v>0.5</v>
          </cell>
          <cell r="AS9">
            <v>0.5</v>
          </cell>
          <cell r="AT9">
            <v>0</v>
          </cell>
          <cell r="AU9">
            <v>0.5</v>
          </cell>
          <cell r="AV9">
            <v>0.5</v>
          </cell>
          <cell r="AW9">
            <v>0</v>
          </cell>
          <cell r="AX9">
            <v>0.5</v>
          </cell>
          <cell r="AY9">
            <v>0.5</v>
          </cell>
          <cell r="AZ9">
            <v>0</v>
          </cell>
          <cell r="BA9">
            <v>0.5</v>
          </cell>
          <cell r="BB9">
            <v>0.5</v>
          </cell>
          <cell r="BC9">
            <v>0</v>
          </cell>
          <cell r="BD9">
            <v>0.5</v>
          </cell>
          <cell r="BG9">
            <v>0.06</v>
          </cell>
          <cell r="BH9">
            <v>0.08</v>
          </cell>
          <cell r="BI9">
            <v>0.1</v>
          </cell>
          <cell r="BJ9">
            <v>0.06</v>
          </cell>
          <cell r="BK9">
            <v>0.08</v>
          </cell>
          <cell r="BL9">
            <v>0.1</v>
          </cell>
          <cell r="BM9">
            <v>0.06</v>
          </cell>
          <cell r="BN9">
            <v>0.08</v>
          </cell>
          <cell r="BO9">
            <v>0.1</v>
          </cell>
          <cell r="BP9">
            <v>0.06</v>
          </cell>
          <cell r="BQ9">
            <v>0.08</v>
          </cell>
          <cell r="BR9">
            <v>0.1</v>
          </cell>
          <cell r="BS9">
            <v>0.06</v>
          </cell>
          <cell r="BT9">
            <v>0.08</v>
          </cell>
          <cell r="BU9">
            <v>0.1</v>
          </cell>
          <cell r="BV9">
            <v>0.06</v>
          </cell>
          <cell r="BW9">
            <v>0.08</v>
          </cell>
          <cell r="BX9">
            <v>0.1</v>
          </cell>
          <cell r="BY9">
            <v>0.06</v>
          </cell>
          <cell r="BZ9">
            <v>0.08</v>
          </cell>
          <cell r="CA9">
            <v>0.1</v>
          </cell>
          <cell r="CB9">
            <v>0.06</v>
          </cell>
          <cell r="CC9">
            <v>0.08</v>
          </cell>
          <cell r="CD9">
            <v>0.1</v>
          </cell>
          <cell r="CE9">
            <v>0.06</v>
          </cell>
          <cell r="CF9">
            <v>0.08</v>
          </cell>
          <cell r="CG9">
            <v>0.1</v>
          </cell>
          <cell r="CH9">
            <v>0.06</v>
          </cell>
          <cell r="CI9">
            <v>0.08</v>
          </cell>
          <cell r="CJ9">
            <v>0.1</v>
          </cell>
          <cell r="CK9">
            <v>0.06</v>
          </cell>
          <cell r="CL9">
            <v>0.08</v>
          </cell>
          <cell r="CM9">
            <v>0.1</v>
          </cell>
          <cell r="CN9">
            <v>0.06</v>
          </cell>
          <cell r="CO9">
            <v>0.08</v>
          </cell>
          <cell r="CP9">
            <v>0.1</v>
          </cell>
          <cell r="CQ9">
            <v>0.06</v>
          </cell>
          <cell r="CR9">
            <v>0.08</v>
          </cell>
          <cell r="CS9">
            <v>0.1</v>
          </cell>
          <cell r="CV9">
            <v>6.5000000000000002E-2</v>
          </cell>
          <cell r="CW9">
            <v>5.5E-2</v>
          </cell>
          <cell r="CX9">
            <v>0.03</v>
          </cell>
          <cell r="CY9">
            <v>6.5000000000000002E-2</v>
          </cell>
          <cell r="CZ9">
            <v>5.5E-2</v>
          </cell>
          <cell r="DA9">
            <v>0.03</v>
          </cell>
          <cell r="DB9">
            <v>6.5000000000000002E-2</v>
          </cell>
          <cell r="DC9">
            <v>5.5E-2</v>
          </cell>
          <cell r="DD9">
            <v>0.03</v>
          </cell>
          <cell r="DE9">
            <v>6.5000000000000002E-2</v>
          </cell>
          <cell r="DF9">
            <v>5.5E-2</v>
          </cell>
          <cell r="DG9">
            <v>0.03</v>
          </cell>
          <cell r="DH9">
            <v>6.5000000000000002E-2</v>
          </cell>
          <cell r="DI9">
            <v>5.5E-2</v>
          </cell>
          <cell r="DJ9">
            <v>0.03</v>
          </cell>
          <cell r="DK9">
            <v>6.5000000000000002E-2</v>
          </cell>
          <cell r="DL9">
            <v>5.5E-2</v>
          </cell>
          <cell r="DM9">
            <v>0.03</v>
          </cell>
          <cell r="DN9">
            <v>6.5000000000000002E-2</v>
          </cell>
          <cell r="DO9">
            <v>5.5E-2</v>
          </cell>
          <cell r="DP9">
            <v>0.03</v>
          </cell>
          <cell r="DQ9">
            <v>6.5000000000000002E-2</v>
          </cell>
          <cell r="DR9">
            <v>5.5E-2</v>
          </cell>
          <cell r="DS9">
            <v>0.03</v>
          </cell>
          <cell r="DT9">
            <v>6.5000000000000002E-2</v>
          </cell>
          <cell r="DU9">
            <v>5.5E-2</v>
          </cell>
          <cell r="DV9">
            <v>0.03</v>
          </cell>
          <cell r="DW9">
            <v>6.5000000000000002E-2</v>
          </cell>
          <cell r="DX9">
            <v>5.5E-2</v>
          </cell>
          <cell r="DY9">
            <v>0.03</v>
          </cell>
          <cell r="DZ9">
            <v>6.5000000000000002E-2</v>
          </cell>
          <cell r="EA9">
            <v>5.5E-2</v>
          </cell>
          <cell r="EB9">
            <v>0.03</v>
          </cell>
          <cell r="EC9">
            <v>6.5000000000000002E-2</v>
          </cell>
          <cell r="ED9">
            <v>5.5E-2</v>
          </cell>
          <cell r="EE9">
            <v>0.03</v>
          </cell>
          <cell r="EG9">
            <v>3.7500000000000006E-2</v>
          </cell>
          <cell r="EH9">
            <v>3.7500000000000006E-2</v>
          </cell>
          <cell r="EI9">
            <v>3.7500000000000006E-2</v>
          </cell>
          <cell r="EJ9">
            <v>3.7500000000000006E-2</v>
          </cell>
          <cell r="EK9">
            <v>3.7500000000000006E-2</v>
          </cell>
          <cell r="EL9">
            <v>3.7500000000000006E-2</v>
          </cell>
          <cell r="EM9">
            <v>3.7500000000000006E-2</v>
          </cell>
          <cell r="EN9">
            <v>3.7500000000000006E-2</v>
          </cell>
          <cell r="EO9">
            <v>3.7500000000000006E-2</v>
          </cell>
          <cell r="EP9">
            <v>3.7500000000000006E-2</v>
          </cell>
          <cell r="EQ9">
            <v>3.7500000000000006E-2</v>
          </cell>
          <cell r="ER9">
            <v>3.7500000000000006E-2</v>
          </cell>
          <cell r="ES9">
            <v>3.7500000000000006E-2</v>
          </cell>
          <cell r="EU9">
            <v>0.08</v>
          </cell>
          <cell r="EV9">
            <v>0.08</v>
          </cell>
          <cell r="EW9">
            <v>0.08</v>
          </cell>
          <cell r="EX9">
            <v>0.08</v>
          </cell>
          <cell r="EY9">
            <v>0.08</v>
          </cell>
          <cell r="EZ9">
            <v>0.08</v>
          </cell>
          <cell r="FA9">
            <v>0.08</v>
          </cell>
          <cell r="FB9">
            <v>0.08</v>
          </cell>
          <cell r="FC9">
            <v>0.08</v>
          </cell>
          <cell r="FD9">
            <v>0.08</v>
          </cell>
          <cell r="FE9">
            <v>0.08</v>
          </cell>
          <cell r="FF9">
            <v>0.08</v>
          </cell>
          <cell r="FG9">
            <v>0.08</v>
          </cell>
        </row>
        <row r="10">
          <cell r="C10" t="str">
            <v>C3 Puretech 82 Feel</v>
          </cell>
          <cell r="D10" t="str">
            <v>C3 PureTech 82 Feel</v>
          </cell>
          <cell r="G10">
            <v>0.05</v>
          </cell>
          <cell r="H10">
            <v>0.05</v>
          </cell>
          <cell r="I10">
            <v>0.05</v>
          </cell>
          <cell r="J10">
            <v>0.05</v>
          </cell>
          <cell r="K10">
            <v>0.05</v>
          </cell>
          <cell r="L10">
            <v>0.05</v>
          </cell>
          <cell r="M10">
            <v>0.05</v>
          </cell>
          <cell r="N10">
            <v>0.05</v>
          </cell>
          <cell r="O10">
            <v>0.05</v>
          </cell>
          <cell r="P10">
            <v>0.05</v>
          </cell>
          <cell r="Q10">
            <v>0.05</v>
          </cell>
          <cell r="R10">
            <v>0.05</v>
          </cell>
          <cell r="U10">
            <v>0.5</v>
          </cell>
          <cell r="V10">
            <v>0</v>
          </cell>
          <cell r="W10">
            <v>0.5</v>
          </cell>
          <cell r="X10">
            <v>0.5</v>
          </cell>
          <cell r="Y10">
            <v>0</v>
          </cell>
          <cell r="Z10">
            <v>0.5</v>
          </cell>
          <cell r="AA10">
            <v>0.5</v>
          </cell>
          <cell r="AB10">
            <v>0</v>
          </cell>
          <cell r="AC10">
            <v>0.5</v>
          </cell>
          <cell r="AD10">
            <v>0.5</v>
          </cell>
          <cell r="AE10">
            <v>0</v>
          </cell>
          <cell r="AF10">
            <v>0.5</v>
          </cell>
          <cell r="AG10">
            <v>0.5</v>
          </cell>
          <cell r="AH10">
            <v>0</v>
          </cell>
          <cell r="AI10">
            <v>0.5</v>
          </cell>
          <cell r="AJ10">
            <v>0.5</v>
          </cell>
          <cell r="AK10">
            <v>0</v>
          </cell>
          <cell r="AL10">
            <v>0.5</v>
          </cell>
          <cell r="AM10">
            <v>0.5</v>
          </cell>
          <cell r="AN10">
            <v>0</v>
          </cell>
          <cell r="AO10">
            <v>0.5</v>
          </cell>
          <cell r="AP10">
            <v>0.5</v>
          </cell>
          <cell r="AQ10">
            <v>0</v>
          </cell>
          <cell r="AR10">
            <v>0.5</v>
          </cell>
          <cell r="AS10">
            <v>0.5</v>
          </cell>
          <cell r="AT10">
            <v>0</v>
          </cell>
          <cell r="AU10">
            <v>0.5</v>
          </cell>
          <cell r="AV10">
            <v>0.5</v>
          </cell>
          <cell r="AW10">
            <v>0</v>
          </cell>
          <cell r="AX10">
            <v>0.5</v>
          </cell>
          <cell r="AY10">
            <v>0.5</v>
          </cell>
          <cell r="AZ10">
            <v>0</v>
          </cell>
          <cell r="BA10">
            <v>0.5</v>
          </cell>
          <cell r="BB10">
            <v>0.5</v>
          </cell>
          <cell r="BC10">
            <v>0</v>
          </cell>
          <cell r="BD10">
            <v>0.5</v>
          </cell>
          <cell r="BG10">
            <v>0.06</v>
          </cell>
          <cell r="BH10">
            <v>0.08</v>
          </cell>
          <cell r="BI10">
            <v>0.1</v>
          </cell>
          <cell r="BJ10">
            <v>0.06</v>
          </cell>
          <cell r="BK10">
            <v>0.08</v>
          </cell>
          <cell r="BL10">
            <v>0.1</v>
          </cell>
          <cell r="BM10">
            <v>0.06</v>
          </cell>
          <cell r="BN10">
            <v>0.08</v>
          </cell>
          <cell r="BO10">
            <v>0.1</v>
          </cell>
          <cell r="BP10">
            <v>0.06</v>
          </cell>
          <cell r="BQ10">
            <v>0.08</v>
          </cell>
          <cell r="BR10">
            <v>0.1</v>
          </cell>
          <cell r="BS10">
            <v>0.06</v>
          </cell>
          <cell r="BT10">
            <v>0.08</v>
          </cell>
          <cell r="BU10">
            <v>0.1</v>
          </cell>
          <cell r="BV10">
            <v>0.06</v>
          </cell>
          <cell r="BW10">
            <v>0.08</v>
          </cell>
          <cell r="BX10">
            <v>0.1</v>
          </cell>
          <cell r="BY10">
            <v>0.06</v>
          </cell>
          <cell r="BZ10">
            <v>0.08</v>
          </cell>
          <cell r="CA10">
            <v>0.1</v>
          </cell>
          <cell r="CB10">
            <v>0.06</v>
          </cell>
          <cell r="CC10">
            <v>0.08</v>
          </cell>
          <cell r="CD10">
            <v>0.1</v>
          </cell>
          <cell r="CE10">
            <v>0.06</v>
          </cell>
          <cell r="CF10">
            <v>0.08</v>
          </cell>
          <cell r="CG10">
            <v>0.1</v>
          </cell>
          <cell r="CH10">
            <v>0.06</v>
          </cell>
          <cell r="CI10">
            <v>0.08</v>
          </cell>
          <cell r="CJ10">
            <v>0.1</v>
          </cell>
          <cell r="CK10">
            <v>0.06</v>
          </cell>
          <cell r="CL10">
            <v>0.08</v>
          </cell>
          <cell r="CM10">
            <v>0.1</v>
          </cell>
          <cell r="CN10">
            <v>0.06</v>
          </cell>
          <cell r="CO10">
            <v>0.08</v>
          </cell>
          <cell r="CP10">
            <v>0.1</v>
          </cell>
          <cell r="CQ10">
            <v>0.06</v>
          </cell>
          <cell r="CR10">
            <v>0.08</v>
          </cell>
          <cell r="CS10">
            <v>0.1</v>
          </cell>
          <cell r="CV10">
            <v>6.5000000000000002E-2</v>
          </cell>
          <cell r="CW10">
            <v>5.5E-2</v>
          </cell>
          <cell r="CX10">
            <v>0.03</v>
          </cell>
          <cell r="CY10">
            <v>6.5000000000000002E-2</v>
          </cell>
          <cell r="CZ10">
            <v>5.5E-2</v>
          </cell>
          <cell r="DA10">
            <v>0.03</v>
          </cell>
          <cell r="DB10">
            <v>6.5000000000000002E-2</v>
          </cell>
          <cell r="DC10">
            <v>5.5E-2</v>
          </cell>
          <cell r="DD10">
            <v>0.03</v>
          </cell>
          <cell r="DE10">
            <v>6.5000000000000002E-2</v>
          </cell>
          <cell r="DF10">
            <v>5.5E-2</v>
          </cell>
          <cell r="DG10">
            <v>0.03</v>
          </cell>
          <cell r="DH10">
            <v>6.5000000000000002E-2</v>
          </cell>
          <cell r="DI10">
            <v>5.5E-2</v>
          </cell>
          <cell r="DJ10">
            <v>0.03</v>
          </cell>
          <cell r="DK10">
            <v>6.5000000000000002E-2</v>
          </cell>
          <cell r="DL10">
            <v>5.5E-2</v>
          </cell>
          <cell r="DM10">
            <v>0.03</v>
          </cell>
          <cell r="DN10">
            <v>6.5000000000000002E-2</v>
          </cell>
          <cell r="DO10">
            <v>5.5E-2</v>
          </cell>
          <cell r="DP10">
            <v>0.03</v>
          </cell>
          <cell r="DQ10">
            <v>6.5000000000000002E-2</v>
          </cell>
          <cell r="DR10">
            <v>5.5E-2</v>
          </cell>
          <cell r="DS10">
            <v>0.03</v>
          </cell>
          <cell r="DT10">
            <v>6.5000000000000002E-2</v>
          </cell>
          <cell r="DU10">
            <v>5.5E-2</v>
          </cell>
          <cell r="DV10">
            <v>0.03</v>
          </cell>
          <cell r="DW10">
            <v>6.5000000000000002E-2</v>
          </cell>
          <cell r="DX10">
            <v>5.5E-2</v>
          </cell>
          <cell r="DY10">
            <v>0.03</v>
          </cell>
          <cell r="DZ10">
            <v>6.5000000000000002E-2</v>
          </cell>
          <cell r="EA10">
            <v>5.5E-2</v>
          </cell>
          <cell r="EB10">
            <v>0.03</v>
          </cell>
          <cell r="EC10">
            <v>6.5000000000000002E-2</v>
          </cell>
          <cell r="ED10">
            <v>5.5E-2</v>
          </cell>
          <cell r="EE10">
            <v>0.03</v>
          </cell>
          <cell r="EG10">
            <v>3.7500000000000006E-2</v>
          </cell>
          <cell r="EH10">
            <v>3.7500000000000006E-2</v>
          </cell>
          <cell r="EI10">
            <v>3.7500000000000006E-2</v>
          </cell>
          <cell r="EJ10">
            <v>3.7500000000000006E-2</v>
          </cell>
          <cell r="EK10">
            <v>3.7500000000000006E-2</v>
          </cell>
          <cell r="EL10">
            <v>3.7500000000000006E-2</v>
          </cell>
          <cell r="EM10">
            <v>3.7500000000000006E-2</v>
          </cell>
          <cell r="EN10">
            <v>3.7500000000000006E-2</v>
          </cell>
          <cell r="EO10">
            <v>3.7500000000000006E-2</v>
          </cell>
          <cell r="EP10">
            <v>3.7500000000000006E-2</v>
          </cell>
          <cell r="EQ10">
            <v>3.7500000000000006E-2</v>
          </cell>
          <cell r="ER10">
            <v>3.7500000000000006E-2</v>
          </cell>
          <cell r="ES10">
            <v>3.7500000000000006E-2</v>
          </cell>
          <cell r="EU10">
            <v>0.08</v>
          </cell>
          <cell r="EV10">
            <v>0.08</v>
          </cell>
          <cell r="EW10">
            <v>0.08</v>
          </cell>
          <cell r="EX10">
            <v>0.08</v>
          </cell>
          <cell r="EY10">
            <v>0.08</v>
          </cell>
          <cell r="EZ10">
            <v>0.08</v>
          </cell>
          <cell r="FA10">
            <v>0.08</v>
          </cell>
          <cell r="FB10">
            <v>0.08</v>
          </cell>
          <cell r="FC10">
            <v>0.08</v>
          </cell>
          <cell r="FD10">
            <v>0.08</v>
          </cell>
          <cell r="FE10">
            <v>0.08</v>
          </cell>
          <cell r="FF10">
            <v>0.08</v>
          </cell>
          <cell r="FG10">
            <v>0.08</v>
          </cell>
        </row>
        <row r="11">
          <cell r="C11" t="str">
            <v>C3 Feel Gasolina 96HP MT</v>
          </cell>
          <cell r="D11" t="str">
            <v>C3 Feel Gasolina 99HP MT</v>
          </cell>
          <cell r="G11">
            <v>0.05</v>
          </cell>
          <cell r="H11">
            <v>0.05</v>
          </cell>
          <cell r="I11">
            <v>0.05</v>
          </cell>
          <cell r="J11">
            <v>0.05</v>
          </cell>
          <cell r="K11">
            <v>0.05</v>
          </cell>
          <cell r="L11">
            <v>0.05</v>
          </cell>
          <cell r="M11">
            <v>0.05</v>
          </cell>
          <cell r="N11">
            <v>0.05</v>
          </cell>
          <cell r="O11">
            <v>0.05</v>
          </cell>
          <cell r="P11">
            <v>0.05</v>
          </cell>
          <cell r="Q11">
            <v>0.05</v>
          </cell>
          <cell r="R11">
            <v>0.05</v>
          </cell>
          <cell r="U11">
            <v>0.5</v>
          </cell>
          <cell r="V11">
            <v>0</v>
          </cell>
          <cell r="W11">
            <v>0.5</v>
          </cell>
          <cell r="X11">
            <v>0.5</v>
          </cell>
          <cell r="Y11">
            <v>0</v>
          </cell>
          <cell r="Z11">
            <v>0.5</v>
          </cell>
          <cell r="AA11">
            <v>0.5</v>
          </cell>
          <cell r="AB11">
            <v>0</v>
          </cell>
          <cell r="AC11">
            <v>0.5</v>
          </cell>
          <cell r="AD11">
            <v>0.5</v>
          </cell>
          <cell r="AE11">
            <v>0</v>
          </cell>
          <cell r="AF11">
            <v>0.5</v>
          </cell>
          <cell r="AG11">
            <v>0.5</v>
          </cell>
          <cell r="AH11">
            <v>0</v>
          </cell>
          <cell r="AI11">
            <v>0.5</v>
          </cell>
          <cell r="AJ11">
            <v>0.5</v>
          </cell>
          <cell r="AK11">
            <v>0</v>
          </cell>
          <cell r="AL11">
            <v>0.5</v>
          </cell>
          <cell r="AM11">
            <v>0.5</v>
          </cell>
          <cell r="AN11">
            <v>0</v>
          </cell>
          <cell r="AO11">
            <v>0.5</v>
          </cell>
          <cell r="AP11">
            <v>0.5</v>
          </cell>
          <cell r="AQ11">
            <v>0</v>
          </cell>
          <cell r="AR11">
            <v>0.5</v>
          </cell>
          <cell r="AS11">
            <v>0.5</v>
          </cell>
          <cell r="AT11">
            <v>0</v>
          </cell>
          <cell r="AU11">
            <v>0.5</v>
          </cell>
          <cell r="AV11">
            <v>0.5</v>
          </cell>
          <cell r="AW11">
            <v>0</v>
          </cell>
          <cell r="AX11">
            <v>0.5</v>
          </cell>
          <cell r="AY11">
            <v>0.5</v>
          </cell>
          <cell r="AZ11">
            <v>0</v>
          </cell>
          <cell r="BA11">
            <v>0.5</v>
          </cell>
          <cell r="BB11">
            <v>0.5</v>
          </cell>
          <cell r="BC11">
            <v>0</v>
          </cell>
          <cell r="BD11">
            <v>0.5</v>
          </cell>
          <cell r="BG11">
            <v>0.06</v>
          </cell>
          <cell r="BH11">
            <v>0.08</v>
          </cell>
          <cell r="BI11">
            <v>0.1</v>
          </cell>
          <cell r="BJ11">
            <v>0.06</v>
          </cell>
          <cell r="BK11">
            <v>0.08</v>
          </cell>
          <cell r="BL11">
            <v>0.1</v>
          </cell>
          <cell r="BM11">
            <v>0.06</v>
          </cell>
          <cell r="BN11">
            <v>0.08</v>
          </cell>
          <cell r="BO11">
            <v>0.1</v>
          </cell>
          <cell r="BP11">
            <v>0.06</v>
          </cell>
          <cell r="BQ11">
            <v>0.08</v>
          </cell>
          <cell r="BR11">
            <v>0.1</v>
          </cell>
          <cell r="BS11">
            <v>0.06</v>
          </cell>
          <cell r="BT11">
            <v>0.08</v>
          </cell>
          <cell r="BU11">
            <v>0.1</v>
          </cell>
          <cell r="BV11">
            <v>0.06</v>
          </cell>
          <cell r="BW11">
            <v>0.08</v>
          </cell>
          <cell r="BX11">
            <v>0.1</v>
          </cell>
          <cell r="BY11">
            <v>0.06</v>
          </cell>
          <cell r="BZ11">
            <v>0.08</v>
          </cell>
          <cell r="CA11">
            <v>0.1</v>
          </cell>
          <cell r="CB11">
            <v>0.06</v>
          </cell>
          <cell r="CC11">
            <v>0.08</v>
          </cell>
          <cell r="CD11">
            <v>0.1</v>
          </cell>
          <cell r="CE11">
            <v>0.06</v>
          </cell>
          <cell r="CF11">
            <v>0.08</v>
          </cell>
          <cell r="CG11">
            <v>0.1</v>
          </cell>
          <cell r="CH11">
            <v>0.06</v>
          </cell>
          <cell r="CI11">
            <v>0.08</v>
          </cell>
          <cell r="CJ11">
            <v>0.1</v>
          </cell>
          <cell r="CK11">
            <v>0.06</v>
          </cell>
          <cell r="CL11">
            <v>0.08</v>
          </cell>
          <cell r="CM11">
            <v>0.1</v>
          </cell>
          <cell r="CN11">
            <v>0.06</v>
          </cell>
          <cell r="CO11">
            <v>0.08</v>
          </cell>
          <cell r="CP11">
            <v>0.1</v>
          </cell>
          <cell r="CQ11">
            <v>0.06</v>
          </cell>
          <cell r="CR11">
            <v>0.08</v>
          </cell>
          <cell r="CS11">
            <v>0.1</v>
          </cell>
          <cell r="CV11">
            <v>6.5000000000000002E-2</v>
          </cell>
          <cell r="CW11">
            <v>5.5E-2</v>
          </cell>
          <cell r="CX11">
            <v>0.03</v>
          </cell>
          <cell r="CY11">
            <v>6.5000000000000002E-2</v>
          </cell>
          <cell r="CZ11">
            <v>5.5E-2</v>
          </cell>
          <cell r="DA11">
            <v>0.03</v>
          </cell>
          <cell r="DB11">
            <v>6.5000000000000002E-2</v>
          </cell>
          <cell r="DC11">
            <v>5.5E-2</v>
          </cell>
          <cell r="DD11">
            <v>0.03</v>
          </cell>
          <cell r="DE11">
            <v>6.5000000000000002E-2</v>
          </cell>
          <cell r="DF11">
            <v>5.5E-2</v>
          </cell>
          <cell r="DG11">
            <v>0.03</v>
          </cell>
          <cell r="DH11">
            <v>6.5000000000000002E-2</v>
          </cell>
          <cell r="DI11">
            <v>5.5E-2</v>
          </cell>
          <cell r="DJ11">
            <v>0.03</v>
          </cell>
          <cell r="DK11">
            <v>6.5000000000000002E-2</v>
          </cell>
          <cell r="DL11">
            <v>5.5E-2</v>
          </cell>
          <cell r="DM11">
            <v>0.03</v>
          </cell>
          <cell r="DN11">
            <v>6.5000000000000002E-2</v>
          </cell>
          <cell r="DO11">
            <v>5.5E-2</v>
          </cell>
          <cell r="DP11">
            <v>0.03</v>
          </cell>
          <cell r="DQ11">
            <v>6.5000000000000002E-2</v>
          </cell>
          <cell r="DR11">
            <v>5.5E-2</v>
          </cell>
          <cell r="DS11">
            <v>0.03</v>
          </cell>
          <cell r="DT11">
            <v>6.5000000000000002E-2</v>
          </cell>
          <cell r="DU11">
            <v>5.5E-2</v>
          </cell>
          <cell r="DV11">
            <v>0.03</v>
          </cell>
          <cell r="DW11">
            <v>6.5000000000000002E-2</v>
          </cell>
          <cell r="DX11">
            <v>5.5E-2</v>
          </cell>
          <cell r="DY11">
            <v>0.03</v>
          </cell>
          <cell r="DZ11">
            <v>6.5000000000000002E-2</v>
          </cell>
          <cell r="EA11">
            <v>5.5E-2</v>
          </cell>
          <cell r="EB11">
            <v>0.03</v>
          </cell>
          <cell r="EC11">
            <v>6.5000000000000002E-2</v>
          </cell>
          <cell r="ED11">
            <v>5.5E-2</v>
          </cell>
          <cell r="EE11">
            <v>0.03</v>
          </cell>
          <cell r="EG11">
            <v>3.7500000000000006E-2</v>
          </cell>
          <cell r="EH11">
            <v>3.7500000000000006E-2</v>
          </cell>
          <cell r="EI11">
            <v>3.7500000000000006E-2</v>
          </cell>
          <cell r="EJ11">
            <v>3.7500000000000006E-2</v>
          </cell>
          <cell r="EK11">
            <v>3.7500000000000006E-2</v>
          </cell>
          <cell r="EL11">
            <v>3.7500000000000006E-2</v>
          </cell>
          <cell r="EM11">
            <v>3.7500000000000006E-2</v>
          </cell>
          <cell r="EN11">
            <v>3.7500000000000006E-2</v>
          </cell>
          <cell r="EO11">
            <v>3.7500000000000006E-2</v>
          </cell>
          <cell r="EP11">
            <v>3.7500000000000006E-2</v>
          </cell>
          <cell r="EQ11">
            <v>3.7500000000000006E-2</v>
          </cell>
          <cell r="ER11">
            <v>3.7500000000000006E-2</v>
          </cell>
          <cell r="ES11">
            <v>3.7500000000000006E-2</v>
          </cell>
          <cell r="EU11">
            <v>0.08</v>
          </cell>
          <cell r="EV11">
            <v>0.08</v>
          </cell>
          <cell r="EW11">
            <v>0.08</v>
          </cell>
          <cell r="EX11">
            <v>0.08</v>
          </cell>
          <cell r="EY11">
            <v>0.08</v>
          </cell>
          <cell r="EZ11">
            <v>0.08</v>
          </cell>
          <cell r="FA11">
            <v>0.08</v>
          </cell>
          <cell r="FB11">
            <v>0.08</v>
          </cell>
          <cell r="FC11">
            <v>0.08</v>
          </cell>
          <cell r="FD11">
            <v>0.08</v>
          </cell>
          <cell r="FE11">
            <v>0.08</v>
          </cell>
          <cell r="FF11">
            <v>0.08</v>
          </cell>
          <cell r="FG11">
            <v>0.08</v>
          </cell>
        </row>
        <row r="12">
          <cell r="C12" t="str">
            <v>C3 Max Gasolina 100HP MT</v>
          </cell>
          <cell r="D12" t="str">
            <v>C3 Max Gasolina 100HP MT</v>
          </cell>
          <cell r="G12">
            <v>0.05</v>
          </cell>
          <cell r="H12">
            <v>0.05</v>
          </cell>
          <cell r="I12">
            <v>0.05</v>
          </cell>
          <cell r="J12">
            <v>0.05</v>
          </cell>
          <cell r="K12">
            <v>0.05</v>
          </cell>
          <cell r="L12">
            <v>0.05</v>
          </cell>
          <cell r="M12">
            <v>0.05</v>
          </cell>
          <cell r="N12">
            <v>0.05</v>
          </cell>
          <cell r="O12">
            <v>0.05</v>
          </cell>
          <cell r="P12">
            <v>0.05</v>
          </cell>
          <cell r="Q12">
            <v>0.05</v>
          </cell>
          <cell r="R12">
            <v>0.05</v>
          </cell>
          <cell r="U12">
            <v>0.5</v>
          </cell>
          <cell r="V12">
            <v>0</v>
          </cell>
          <cell r="W12">
            <v>0.5</v>
          </cell>
          <cell r="X12">
            <v>0.5</v>
          </cell>
          <cell r="Y12">
            <v>0</v>
          </cell>
          <cell r="Z12">
            <v>0.5</v>
          </cell>
          <cell r="AA12">
            <v>0.5</v>
          </cell>
          <cell r="AB12">
            <v>0</v>
          </cell>
          <cell r="AC12">
            <v>0.5</v>
          </cell>
          <cell r="AD12">
            <v>0.5</v>
          </cell>
          <cell r="AE12">
            <v>0</v>
          </cell>
          <cell r="AF12">
            <v>0.5</v>
          </cell>
          <cell r="AG12">
            <v>0.5</v>
          </cell>
          <cell r="AH12">
            <v>0</v>
          </cell>
          <cell r="AI12">
            <v>0.5</v>
          </cell>
          <cell r="AJ12">
            <v>0.5</v>
          </cell>
          <cell r="AK12">
            <v>0</v>
          </cell>
          <cell r="AL12">
            <v>0.5</v>
          </cell>
          <cell r="AM12">
            <v>0.5</v>
          </cell>
          <cell r="AN12">
            <v>0</v>
          </cell>
          <cell r="AO12">
            <v>0.5</v>
          </cell>
          <cell r="AP12">
            <v>0.5</v>
          </cell>
          <cell r="AQ12">
            <v>0</v>
          </cell>
          <cell r="AR12">
            <v>0.5</v>
          </cell>
          <cell r="AS12">
            <v>0.5</v>
          </cell>
          <cell r="AT12">
            <v>0</v>
          </cell>
          <cell r="AU12">
            <v>0.5</v>
          </cell>
          <cell r="AV12">
            <v>0.5</v>
          </cell>
          <cell r="AW12">
            <v>0</v>
          </cell>
          <cell r="AX12">
            <v>0.5</v>
          </cell>
          <cell r="AY12">
            <v>0.5</v>
          </cell>
          <cell r="AZ12">
            <v>0</v>
          </cell>
          <cell r="BA12">
            <v>0.5</v>
          </cell>
          <cell r="BB12">
            <v>0.5</v>
          </cell>
          <cell r="BC12">
            <v>0</v>
          </cell>
          <cell r="BD12">
            <v>0.5</v>
          </cell>
          <cell r="BG12">
            <v>0.06</v>
          </cell>
          <cell r="BH12">
            <v>0.08</v>
          </cell>
          <cell r="BI12">
            <v>0.1</v>
          </cell>
          <cell r="BJ12">
            <v>0.06</v>
          </cell>
          <cell r="BK12">
            <v>0.08</v>
          </cell>
          <cell r="BL12">
            <v>0.1</v>
          </cell>
          <cell r="BM12">
            <v>0.06</v>
          </cell>
          <cell r="BN12">
            <v>0.08</v>
          </cell>
          <cell r="BO12">
            <v>0.1</v>
          </cell>
          <cell r="BP12">
            <v>0.06</v>
          </cell>
          <cell r="BQ12">
            <v>0.08</v>
          </cell>
          <cell r="BR12">
            <v>0.1</v>
          </cell>
          <cell r="BS12">
            <v>0.06</v>
          </cell>
          <cell r="BT12">
            <v>0.08</v>
          </cell>
          <cell r="BU12">
            <v>0.1</v>
          </cell>
          <cell r="BV12">
            <v>0.06</v>
          </cell>
          <cell r="BW12">
            <v>0.08</v>
          </cell>
          <cell r="BX12">
            <v>0.1</v>
          </cell>
          <cell r="BY12">
            <v>0.06</v>
          </cell>
          <cell r="BZ12">
            <v>0.08</v>
          </cell>
          <cell r="CA12">
            <v>0.1</v>
          </cell>
          <cell r="CB12">
            <v>0.06</v>
          </cell>
          <cell r="CC12">
            <v>0.08</v>
          </cell>
          <cell r="CD12">
            <v>0.1</v>
          </cell>
          <cell r="CE12">
            <v>0.06</v>
          </cell>
          <cell r="CF12">
            <v>0.08</v>
          </cell>
          <cell r="CG12">
            <v>0.1</v>
          </cell>
          <cell r="CH12">
            <v>0.06</v>
          </cell>
          <cell r="CI12">
            <v>0.08</v>
          </cell>
          <cell r="CJ12">
            <v>0.1</v>
          </cell>
          <cell r="CK12">
            <v>0.06</v>
          </cell>
          <cell r="CL12">
            <v>0.08</v>
          </cell>
          <cell r="CM12">
            <v>0.1</v>
          </cell>
          <cell r="CN12">
            <v>0.06</v>
          </cell>
          <cell r="CO12">
            <v>0.08</v>
          </cell>
          <cell r="CP12">
            <v>0.1</v>
          </cell>
          <cell r="CQ12">
            <v>0.06</v>
          </cell>
          <cell r="CR12">
            <v>0.08</v>
          </cell>
          <cell r="CS12">
            <v>0.1</v>
          </cell>
          <cell r="CV12">
            <v>6.5000000000000002E-2</v>
          </cell>
          <cell r="CW12">
            <v>5.5E-2</v>
          </cell>
          <cell r="CX12">
            <v>0.03</v>
          </cell>
          <cell r="CY12">
            <v>6.5000000000000002E-2</v>
          </cell>
          <cell r="CZ12">
            <v>5.5E-2</v>
          </cell>
          <cell r="DA12">
            <v>0.03</v>
          </cell>
          <cell r="DB12">
            <v>6.5000000000000002E-2</v>
          </cell>
          <cell r="DC12">
            <v>5.5E-2</v>
          </cell>
          <cell r="DD12">
            <v>0.03</v>
          </cell>
          <cell r="DE12">
            <v>6.5000000000000002E-2</v>
          </cell>
          <cell r="DF12">
            <v>5.5E-2</v>
          </cell>
          <cell r="DG12">
            <v>0.03</v>
          </cell>
          <cell r="DH12">
            <v>6.5000000000000002E-2</v>
          </cell>
          <cell r="DI12">
            <v>5.5E-2</v>
          </cell>
          <cell r="DJ12">
            <v>0.03</v>
          </cell>
          <cell r="DK12">
            <v>6.5000000000000002E-2</v>
          </cell>
          <cell r="DL12">
            <v>5.5E-2</v>
          </cell>
          <cell r="DM12">
            <v>0.03</v>
          </cell>
          <cell r="DN12">
            <v>6.5000000000000002E-2</v>
          </cell>
          <cell r="DO12">
            <v>5.5E-2</v>
          </cell>
          <cell r="DP12">
            <v>0.03</v>
          </cell>
          <cell r="DQ12">
            <v>6.5000000000000002E-2</v>
          </cell>
          <cell r="DR12">
            <v>5.5E-2</v>
          </cell>
          <cell r="DS12">
            <v>0.03</v>
          </cell>
          <cell r="DT12">
            <v>6.5000000000000002E-2</v>
          </cell>
          <cell r="DU12">
            <v>5.5E-2</v>
          </cell>
          <cell r="DV12">
            <v>0.03</v>
          </cell>
          <cell r="DW12">
            <v>6.5000000000000002E-2</v>
          </cell>
          <cell r="DX12">
            <v>5.5E-2</v>
          </cell>
          <cell r="DY12">
            <v>0.03</v>
          </cell>
          <cell r="DZ12">
            <v>6.5000000000000002E-2</v>
          </cell>
          <cell r="EA12">
            <v>5.5E-2</v>
          </cell>
          <cell r="EB12">
            <v>0.03</v>
          </cell>
          <cell r="EC12">
            <v>6.5000000000000002E-2</v>
          </cell>
          <cell r="ED12">
            <v>5.5E-2</v>
          </cell>
          <cell r="EE12">
            <v>0.03</v>
          </cell>
          <cell r="EG12">
            <v>3.7500000000000006E-2</v>
          </cell>
          <cell r="EH12">
            <v>3.7500000000000006E-2</v>
          </cell>
          <cell r="EI12">
            <v>3.7500000000000006E-2</v>
          </cell>
          <cell r="EJ12">
            <v>3.7500000000000006E-2</v>
          </cell>
          <cell r="EK12">
            <v>3.7500000000000006E-2</v>
          </cell>
          <cell r="EL12">
            <v>3.7500000000000006E-2</v>
          </cell>
          <cell r="EM12">
            <v>3.7500000000000006E-2</v>
          </cell>
          <cell r="EN12">
            <v>3.7500000000000006E-2</v>
          </cell>
          <cell r="EO12">
            <v>3.7500000000000006E-2</v>
          </cell>
          <cell r="EP12">
            <v>3.7500000000000006E-2</v>
          </cell>
          <cell r="EQ12">
            <v>3.7500000000000006E-2</v>
          </cell>
          <cell r="ER12">
            <v>3.7500000000000006E-2</v>
          </cell>
          <cell r="ES12">
            <v>3.7500000000000006E-2</v>
          </cell>
          <cell r="EU12">
            <v>0.08</v>
          </cell>
          <cell r="EV12">
            <v>0.08</v>
          </cell>
          <cell r="EW12">
            <v>0.08</v>
          </cell>
          <cell r="EX12">
            <v>0.08</v>
          </cell>
          <cell r="EY12">
            <v>0.08</v>
          </cell>
          <cell r="EZ12">
            <v>0.08</v>
          </cell>
          <cell r="FA12">
            <v>0.08</v>
          </cell>
          <cell r="FB12">
            <v>0.08</v>
          </cell>
          <cell r="FC12">
            <v>0.08</v>
          </cell>
          <cell r="FD12">
            <v>0.08</v>
          </cell>
          <cell r="FE12">
            <v>0.08</v>
          </cell>
          <cell r="FF12">
            <v>0.08</v>
          </cell>
          <cell r="FG12">
            <v>0.08</v>
          </cell>
        </row>
        <row r="13">
          <cell r="C13" t="str">
            <v>C3 Turbo 125 CVT You</v>
          </cell>
          <cell r="D13" t="str">
            <v>C3 Turbo 125 CVT You</v>
          </cell>
          <cell r="G13">
            <v>0.05</v>
          </cell>
          <cell r="H13">
            <v>0.05</v>
          </cell>
          <cell r="I13">
            <v>0.05</v>
          </cell>
          <cell r="J13">
            <v>0.05</v>
          </cell>
          <cell r="K13">
            <v>0.05</v>
          </cell>
          <cell r="L13">
            <v>0.05</v>
          </cell>
          <cell r="M13">
            <v>0.05</v>
          </cell>
          <cell r="N13">
            <v>0.05</v>
          </cell>
          <cell r="O13">
            <v>0.05</v>
          </cell>
          <cell r="P13">
            <v>0.05</v>
          </cell>
          <cell r="Q13">
            <v>0.05</v>
          </cell>
          <cell r="R13">
            <v>0.05</v>
          </cell>
          <cell r="U13">
            <v>0.5</v>
          </cell>
          <cell r="V13">
            <v>0</v>
          </cell>
          <cell r="W13">
            <v>0.5</v>
          </cell>
          <cell r="X13">
            <v>0.5</v>
          </cell>
          <cell r="Y13">
            <v>0</v>
          </cell>
          <cell r="Z13">
            <v>0.5</v>
          </cell>
          <cell r="AA13">
            <v>0.5</v>
          </cell>
          <cell r="AB13">
            <v>0</v>
          </cell>
          <cell r="AC13">
            <v>0.5</v>
          </cell>
          <cell r="AD13">
            <v>0.5</v>
          </cell>
          <cell r="AE13">
            <v>0</v>
          </cell>
          <cell r="AF13">
            <v>0.5</v>
          </cell>
          <cell r="AG13">
            <v>0.5</v>
          </cell>
          <cell r="AH13">
            <v>0</v>
          </cell>
          <cell r="AI13">
            <v>0.5</v>
          </cell>
          <cell r="AJ13">
            <v>0.5</v>
          </cell>
          <cell r="AK13">
            <v>0</v>
          </cell>
          <cell r="AL13">
            <v>0.5</v>
          </cell>
          <cell r="AM13">
            <v>0.5</v>
          </cell>
          <cell r="AN13">
            <v>0</v>
          </cell>
          <cell r="AO13">
            <v>0.5</v>
          </cell>
          <cell r="AP13">
            <v>0.5</v>
          </cell>
          <cell r="AQ13">
            <v>0</v>
          </cell>
          <cell r="AR13">
            <v>0.5</v>
          </cell>
          <cell r="AS13">
            <v>0.5</v>
          </cell>
          <cell r="AT13">
            <v>0</v>
          </cell>
          <cell r="AU13">
            <v>0.5</v>
          </cell>
          <cell r="AV13">
            <v>0.5</v>
          </cell>
          <cell r="AW13">
            <v>0</v>
          </cell>
          <cell r="AX13">
            <v>0.5</v>
          </cell>
          <cell r="AY13">
            <v>0.5</v>
          </cell>
          <cell r="AZ13">
            <v>0</v>
          </cell>
          <cell r="BA13">
            <v>0.5</v>
          </cell>
          <cell r="BB13">
            <v>0.5</v>
          </cell>
          <cell r="BC13">
            <v>0</v>
          </cell>
          <cell r="BD13">
            <v>0.5</v>
          </cell>
          <cell r="BG13">
            <v>0.06</v>
          </cell>
          <cell r="BH13">
            <v>0.08</v>
          </cell>
          <cell r="BI13">
            <v>0.1</v>
          </cell>
          <cell r="BJ13">
            <v>0.06</v>
          </cell>
          <cell r="BK13">
            <v>0.08</v>
          </cell>
          <cell r="BL13">
            <v>0.1</v>
          </cell>
          <cell r="BM13">
            <v>0.06</v>
          </cell>
          <cell r="BN13">
            <v>0.08</v>
          </cell>
          <cell r="BO13">
            <v>0.1</v>
          </cell>
          <cell r="BP13">
            <v>0.06</v>
          </cell>
          <cell r="BQ13">
            <v>0.08</v>
          </cell>
          <cell r="BR13">
            <v>0.1</v>
          </cell>
          <cell r="BS13">
            <v>0.06</v>
          </cell>
          <cell r="BT13">
            <v>0.08</v>
          </cell>
          <cell r="BU13">
            <v>0.1</v>
          </cell>
          <cell r="BV13">
            <v>0.06</v>
          </cell>
          <cell r="BW13">
            <v>0.08</v>
          </cell>
          <cell r="BX13">
            <v>0.1</v>
          </cell>
          <cell r="BY13">
            <v>0.06</v>
          </cell>
          <cell r="BZ13">
            <v>0.08</v>
          </cell>
          <cell r="CA13">
            <v>0.1</v>
          </cell>
          <cell r="CB13">
            <v>0.06</v>
          </cell>
          <cell r="CC13">
            <v>0.08</v>
          </cell>
          <cell r="CD13">
            <v>0.1</v>
          </cell>
          <cell r="CE13">
            <v>0.06</v>
          </cell>
          <cell r="CF13">
            <v>0.08</v>
          </cell>
          <cell r="CG13">
            <v>0.1</v>
          </cell>
          <cell r="CH13">
            <v>0.06</v>
          </cell>
          <cell r="CI13">
            <v>0.08</v>
          </cell>
          <cell r="CJ13">
            <v>0.1</v>
          </cell>
          <cell r="CK13">
            <v>0.06</v>
          </cell>
          <cell r="CL13">
            <v>0.08</v>
          </cell>
          <cell r="CM13">
            <v>0.1</v>
          </cell>
          <cell r="CN13">
            <v>0.06</v>
          </cell>
          <cell r="CO13">
            <v>0.08</v>
          </cell>
          <cell r="CP13">
            <v>0.1</v>
          </cell>
          <cell r="CQ13">
            <v>0.06</v>
          </cell>
          <cell r="CR13">
            <v>0.08</v>
          </cell>
          <cell r="CS13">
            <v>0.1</v>
          </cell>
          <cell r="CV13">
            <v>6.5000000000000002E-2</v>
          </cell>
          <cell r="CW13">
            <v>5.5E-2</v>
          </cell>
          <cell r="CX13">
            <v>0.03</v>
          </cell>
          <cell r="CY13">
            <v>6.5000000000000002E-2</v>
          </cell>
          <cell r="CZ13">
            <v>5.5E-2</v>
          </cell>
          <cell r="DA13">
            <v>0.03</v>
          </cell>
          <cell r="DB13">
            <v>6.5000000000000002E-2</v>
          </cell>
          <cell r="DC13">
            <v>5.5E-2</v>
          </cell>
          <cell r="DD13">
            <v>0.03</v>
          </cell>
          <cell r="DE13">
            <v>6.5000000000000002E-2</v>
          </cell>
          <cell r="DF13">
            <v>5.5E-2</v>
          </cell>
          <cell r="DG13">
            <v>0.03</v>
          </cell>
          <cell r="DH13">
            <v>6.5000000000000002E-2</v>
          </cell>
          <cell r="DI13">
            <v>5.5E-2</v>
          </cell>
          <cell r="DJ13">
            <v>0.03</v>
          </cell>
          <cell r="DK13">
            <v>6.5000000000000002E-2</v>
          </cell>
          <cell r="DL13">
            <v>5.5E-2</v>
          </cell>
          <cell r="DM13">
            <v>0.03</v>
          </cell>
          <cell r="DN13">
            <v>6.5000000000000002E-2</v>
          </cell>
          <cell r="DO13">
            <v>5.5E-2</v>
          </cell>
          <cell r="DP13">
            <v>0.03</v>
          </cell>
          <cell r="DQ13">
            <v>6.5000000000000002E-2</v>
          </cell>
          <cell r="DR13">
            <v>5.5E-2</v>
          </cell>
          <cell r="DS13">
            <v>0.03</v>
          </cell>
          <cell r="DT13">
            <v>6.5000000000000002E-2</v>
          </cell>
          <cell r="DU13">
            <v>5.5E-2</v>
          </cell>
          <cell r="DV13">
            <v>0.03</v>
          </cell>
          <cell r="DW13">
            <v>6.5000000000000002E-2</v>
          </cell>
          <cell r="DX13">
            <v>5.5E-2</v>
          </cell>
          <cell r="DY13">
            <v>0.03</v>
          </cell>
          <cell r="DZ13">
            <v>6.5000000000000002E-2</v>
          </cell>
          <cell r="EA13">
            <v>5.5E-2</v>
          </cell>
          <cell r="EB13">
            <v>0.03</v>
          </cell>
          <cell r="EC13">
            <v>6.5000000000000002E-2</v>
          </cell>
          <cell r="ED13">
            <v>5.5E-2</v>
          </cell>
          <cell r="EE13">
            <v>0.03</v>
          </cell>
          <cell r="EG13">
            <v>3.7500000000000006E-2</v>
          </cell>
          <cell r="EH13">
            <v>3.7500000000000006E-2</v>
          </cell>
          <cell r="EI13">
            <v>3.7500000000000006E-2</v>
          </cell>
          <cell r="EJ13">
            <v>3.7500000000000006E-2</v>
          </cell>
          <cell r="EK13">
            <v>3.7500000000000006E-2</v>
          </cell>
          <cell r="EL13">
            <v>3.7500000000000006E-2</v>
          </cell>
          <cell r="EM13">
            <v>3.7500000000000006E-2</v>
          </cell>
          <cell r="EN13">
            <v>3.7500000000000006E-2</v>
          </cell>
          <cell r="EO13">
            <v>3.7500000000000006E-2</v>
          </cell>
          <cell r="EP13">
            <v>3.7500000000000006E-2</v>
          </cell>
          <cell r="EQ13">
            <v>3.7500000000000006E-2</v>
          </cell>
          <cell r="ER13">
            <v>3.7500000000000006E-2</v>
          </cell>
          <cell r="ES13">
            <v>3.7500000000000006E-2</v>
          </cell>
          <cell r="EU13">
            <v>0.08</v>
          </cell>
          <cell r="EV13">
            <v>0.08</v>
          </cell>
          <cell r="EW13">
            <v>0.08</v>
          </cell>
          <cell r="EX13">
            <v>0.08</v>
          </cell>
          <cell r="EY13">
            <v>0.08</v>
          </cell>
          <cell r="EZ13">
            <v>0.08</v>
          </cell>
          <cell r="FA13">
            <v>0.08</v>
          </cell>
          <cell r="FB13">
            <v>0.08</v>
          </cell>
          <cell r="FC13">
            <v>0.08</v>
          </cell>
          <cell r="FD13">
            <v>0.08</v>
          </cell>
          <cell r="FE13">
            <v>0.08</v>
          </cell>
          <cell r="FF13">
            <v>0.08</v>
          </cell>
          <cell r="FG13">
            <v>0.08</v>
          </cell>
        </row>
        <row r="14">
          <cell r="C14" t="str">
            <v>C3 Aircross VTi 115 Feel Pack 5P</v>
          </cell>
          <cell r="D14" t="str">
            <v>C3 Aircross VTi 115 Feel Pack 5P</v>
          </cell>
          <cell r="G14">
            <v>0.05</v>
          </cell>
          <cell r="H14">
            <v>0.05</v>
          </cell>
          <cell r="I14">
            <v>0.05</v>
          </cell>
          <cell r="J14">
            <v>0.05</v>
          </cell>
          <cell r="K14">
            <v>0.05</v>
          </cell>
          <cell r="L14">
            <v>0.05</v>
          </cell>
          <cell r="M14">
            <v>0.05</v>
          </cell>
          <cell r="N14">
            <v>0.05</v>
          </cell>
          <cell r="O14">
            <v>0.05</v>
          </cell>
          <cell r="P14">
            <v>0.05</v>
          </cell>
          <cell r="Q14">
            <v>0.05</v>
          </cell>
          <cell r="R14">
            <v>0.05</v>
          </cell>
          <cell r="U14">
            <v>0.5</v>
          </cell>
          <cell r="V14">
            <v>0</v>
          </cell>
          <cell r="W14">
            <v>0.5</v>
          </cell>
          <cell r="X14">
            <v>0.5</v>
          </cell>
          <cell r="Y14">
            <v>0</v>
          </cell>
          <cell r="Z14">
            <v>0.5</v>
          </cell>
          <cell r="AA14">
            <v>0.5</v>
          </cell>
          <cell r="AB14">
            <v>0</v>
          </cell>
          <cell r="AC14">
            <v>0.5</v>
          </cell>
          <cell r="AD14">
            <v>0.5</v>
          </cell>
          <cell r="AE14">
            <v>0</v>
          </cell>
          <cell r="AF14">
            <v>0.5</v>
          </cell>
          <cell r="AG14">
            <v>0.5</v>
          </cell>
          <cell r="AH14">
            <v>0</v>
          </cell>
          <cell r="AI14">
            <v>0.5</v>
          </cell>
          <cell r="AJ14">
            <v>0.5</v>
          </cell>
          <cell r="AK14">
            <v>0</v>
          </cell>
          <cell r="AL14">
            <v>0.5</v>
          </cell>
          <cell r="AM14">
            <v>0.5</v>
          </cell>
          <cell r="AN14">
            <v>0</v>
          </cell>
          <cell r="AO14">
            <v>0.5</v>
          </cell>
          <cell r="AP14">
            <v>0.5</v>
          </cell>
          <cell r="AQ14">
            <v>0</v>
          </cell>
          <cell r="AR14">
            <v>0.5</v>
          </cell>
          <cell r="AS14">
            <v>0.5</v>
          </cell>
          <cell r="AT14">
            <v>0</v>
          </cell>
          <cell r="AU14">
            <v>0.5</v>
          </cell>
          <cell r="AV14">
            <v>0.5</v>
          </cell>
          <cell r="AW14">
            <v>0</v>
          </cell>
          <cell r="AX14">
            <v>0.5</v>
          </cell>
          <cell r="AY14">
            <v>0.5</v>
          </cell>
          <cell r="AZ14">
            <v>0</v>
          </cell>
          <cell r="BA14">
            <v>0.5</v>
          </cell>
          <cell r="BB14">
            <v>0.5</v>
          </cell>
          <cell r="BC14">
            <v>0</v>
          </cell>
          <cell r="BD14">
            <v>0.5</v>
          </cell>
          <cell r="BG14">
            <v>0.06</v>
          </cell>
          <cell r="BH14">
            <v>0.08</v>
          </cell>
          <cell r="BI14">
            <v>0.1</v>
          </cell>
          <cell r="BJ14">
            <v>0.06</v>
          </cell>
          <cell r="BK14">
            <v>0.08</v>
          </cell>
          <cell r="BL14">
            <v>0.1</v>
          </cell>
          <cell r="BM14">
            <v>0.06</v>
          </cell>
          <cell r="BN14">
            <v>0.08</v>
          </cell>
          <cell r="BO14">
            <v>0.1</v>
          </cell>
          <cell r="BP14">
            <v>0.06</v>
          </cell>
          <cell r="BQ14">
            <v>0.08</v>
          </cell>
          <cell r="BR14">
            <v>0.1</v>
          </cell>
          <cell r="BS14">
            <v>0.06</v>
          </cell>
          <cell r="BT14">
            <v>0.08</v>
          </cell>
          <cell r="BU14">
            <v>0.1</v>
          </cell>
          <cell r="BV14">
            <v>0.06</v>
          </cell>
          <cell r="BW14">
            <v>0.08</v>
          </cell>
          <cell r="BX14">
            <v>0.1</v>
          </cell>
          <cell r="BY14">
            <v>0.06</v>
          </cell>
          <cell r="BZ14">
            <v>0.08</v>
          </cell>
          <cell r="CA14">
            <v>0.1</v>
          </cell>
          <cell r="CB14">
            <v>0.06</v>
          </cell>
          <cell r="CC14">
            <v>0.08</v>
          </cell>
          <cell r="CD14">
            <v>0.1</v>
          </cell>
          <cell r="CE14">
            <v>0.06</v>
          </cell>
          <cell r="CF14">
            <v>0.08</v>
          </cell>
          <cell r="CG14">
            <v>0.1</v>
          </cell>
          <cell r="CH14">
            <v>0.06</v>
          </cell>
          <cell r="CI14">
            <v>0.08</v>
          </cell>
          <cell r="CJ14">
            <v>0.1</v>
          </cell>
          <cell r="CK14">
            <v>0.06</v>
          </cell>
          <cell r="CL14">
            <v>0.08</v>
          </cell>
          <cell r="CM14">
            <v>0.1</v>
          </cell>
          <cell r="CN14">
            <v>0.06</v>
          </cell>
          <cell r="CO14">
            <v>0.08</v>
          </cell>
          <cell r="CP14">
            <v>0.1</v>
          </cell>
          <cell r="CQ14">
            <v>0.06</v>
          </cell>
          <cell r="CR14">
            <v>0.08</v>
          </cell>
          <cell r="CS14">
            <v>0.1</v>
          </cell>
          <cell r="CV14">
            <v>5.5E-2</v>
          </cell>
          <cell r="CW14">
            <v>5.5E-2</v>
          </cell>
          <cell r="CX14">
            <v>0.03</v>
          </cell>
          <cell r="CY14">
            <v>5.5E-2</v>
          </cell>
          <cell r="CZ14">
            <v>5.5E-2</v>
          </cell>
          <cell r="DA14">
            <v>0.03</v>
          </cell>
          <cell r="DB14">
            <v>5.5E-2</v>
          </cell>
          <cell r="DC14">
            <v>5.5E-2</v>
          </cell>
          <cell r="DD14">
            <v>0.03</v>
          </cell>
          <cell r="DE14">
            <v>5.5E-2</v>
          </cell>
          <cell r="DF14">
            <v>5.5E-2</v>
          </cell>
          <cell r="DG14">
            <v>0.03</v>
          </cell>
          <cell r="DH14">
            <v>5.5E-2</v>
          </cell>
          <cell r="DI14">
            <v>5.5E-2</v>
          </cell>
          <cell r="DJ14">
            <v>0.03</v>
          </cell>
          <cell r="DK14">
            <v>5.5E-2</v>
          </cell>
          <cell r="DL14">
            <v>5.5E-2</v>
          </cell>
          <cell r="DM14">
            <v>0.03</v>
          </cell>
          <cell r="DN14">
            <v>5.5E-2</v>
          </cell>
          <cell r="DO14">
            <v>5.5E-2</v>
          </cell>
          <cell r="DP14">
            <v>0.03</v>
          </cell>
          <cell r="DQ14">
            <v>5.5E-2</v>
          </cell>
          <cell r="DR14">
            <v>5.5E-2</v>
          </cell>
          <cell r="DS14">
            <v>0.03</v>
          </cell>
          <cell r="DT14">
            <v>5.5E-2</v>
          </cell>
          <cell r="DU14">
            <v>5.5E-2</v>
          </cell>
          <cell r="DV14">
            <v>0.03</v>
          </cell>
          <cell r="DW14">
            <v>5.5E-2</v>
          </cell>
          <cell r="DX14">
            <v>5.5E-2</v>
          </cell>
          <cell r="DY14">
            <v>0.03</v>
          </cell>
          <cell r="DZ14">
            <v>5.5E-2</v>
          </cell>
          <cell r="EA14">
            <v>5.5E-2</v>
          </cell>
          <cell r="EB14">
            <v>0.03</v>
          </cell>
          <cell r="EC14">
            <v>5.5E-2</v>
          </cell>
          <cell r="ED14">
            <v>5.5E-2</v>
          </cell>
          <cell r="EE14">
            <v>0.03</v>
          </cell>
          <cell r="EG14">
            <v>3.2500000000000001E-2</v>
          </cell>
          <cell r="EH14">
            <v>3.2500000000000001E-2</v>
          </cell>
          <cell r="EI14">
            <v>3.2500000000000001E-2</v>
          </cell>
          <cell r="EJ14">
            <v>3.2500000000000001E-2</v>
          </cell>
          <cell r="EK14">
            <v>3.2500000000000001E-2</v>
          </cell>
          <cell r="EL14">
            <v>3.2500000000000001E-2</v>
          </cell>
          <cell r="EM14">
            <v>3.2500000000000001E-2</v>
          </cell>
          <cell r="EN14">
            <v>3.2500000000000001E-2</v>
          </cell>
          <cell r="EO14">
            <v>3.2500000000000001E-2</v>
          </cell>
          <cell r="EP14">
            <v>3.2500000000000001E-2</v>
          </cell>
          <cell r="EQ14">
            <v>3.2500000000000001E-2</v>
          </cell>
          <cell r="ER14">
            <v>3.2500000000000001E-2</v>
          </cell>
          <cell r="ES14">
            <v>3.2500000000000001E-2</v>
          </cell>
          <cell r="EU14">
            <v>0.08</v>
          </cell>
          <cell r="EV14">
            <v>0.08</v>
          </cell>
          <cell r="EW14">
            <v>0.08</v>
          </cell>
          <cell r="EX14">
            <v>0.08</v>
          </cell>
          <cell r="EY14">
            <v>0.08</v>
          </cell>
          <cell r="EZ14">
            <v>0.08</v>
          </cell>
          <cell r="FA14">
            <v>0.08</v>
          </cell>
          <cell r="FB14">
            <v>0.08</v>
          </cell>
          <cell r="FC14">
            <v>0.08</v>
          </cell>
          <cell r="FD14">
            <v>0.08</v>
          </cell>
          <cell r="FE14">
            <v>0.08</v>
          </cell>
          <cell r="FF14">
            <v>0.08</v>
          </cell>
          <cell r="FG14">
            <v>0.08</v>
          </cell>
        </row>
        <row r="15">
          <cell r="C15" t="str">
            <v>C3 Aircross Feel Pack 5P Gasolina 96HP MT</v>
          </cell>
          <cell r="D15" t="str">
            <v>C3 Aircross Feel Pack 5P Gasolina 96HP MT</v>
          </cell>
          <cell r="G15">
            <v>0.05</v>
          </cell>
          <cell r="H15">
            <v>0.05</v>
          </cell>
          <cell r="I15">
            <v>0.05</v>
          </cell>
          <cell r="J15">
            <v>0.05</v>
          </cell>
          <cell r="K15">
            <v>0.05</v>
          </cell>
          <cell r="L15">
            <v>0.05</v>
          </cell>
          <cell r="M15">
            <v>0.05</v>
          </cell>
          <cell r="N15">
            <v>0.05</v>
          </cell>
          <cell r="O15">
            <v>0.05</v>
          </cell>
          <cell r="P15">
            <v>0.05</v>
          </cell>
          <cell r="Q15">
            <v>0.05</v>
          </cell>
          <cell r="R15">
            <v>0.05</v>
          </cell>
          <cell r="U15">
            <v>0.5</v>
          </cell>
          <cell r="V15">
            <v>0</v>
          </cell>
          <cell r="W15">
            <v>0.5</v>
          </cell>
          <cell r="X15">
            <v>0.5</v>
          </cell>
          <cell r="Y15">
            <v>0</v>
          </cell>
          <cell r="Z15">
            <v>0.5</v>
          </cell>
          <cell r="AA15">
            <v>0.5</v>
          </cell>
          <cell r="AB15">
            <v>0</v>
          </cell>
          <cell r="AC15">
            <v>0.5</v>
          </cell>
          <cell r="AD15">
            <v>0.5</v>
          </cell>
          <cell r="AE15">
            <v>0</v>
          </cell>
          <cell r="AF15">
            <v>0.5</v>
          </cell>
          <cell r="AG15">
            <v>0.5</v>
          </cell>
          <cell r="AH15">
            <v>0</v>
          </cell>
          <cell r="AI15">
            <v>0.5</v>
          </cell>
          <cell r="AJ15">
            <v>0.5</v>
          </cell>
          <cell r="AK15">
            <v>0</v>
          </cell>
          <cell r="AL15">
            <v>0.5</v>
          </cell>
          <cell r="AM15">
            <v>0.5</v>
          </cell>
          <cell r="AN15">
            <v>0</v>
          </cell>
          <cell r="AO15">
            <v>0.5</v>
          </cell>
          <cell r="AP15">
            <v>0.5</v>
          </cell>
          <cell r="AQ15">
            <v>0</v>
          </cell>
          <cell r="AR15">
            <v>0.5</v>
          </cell>
          <cell r="AS15">
            <v>0.5</v>
          </cell>
          <cell r="AT15">
            <v>0</v>
          </cell>
          <cell r="AU15">
            <v>0.5</v>
          </cell>
          <cell r="AV15">
            <v>0.5</v>
          </cell>
          <cell r="AW15">
            <v>0</v>
          </cell>
          <cell r="AX15">
            <v>0.5</v>
          </cell>
          <cell r="AY15">
            <v>0.5</v>
          </cell>
          <cell r="AZ15">
            <v>0</v>
          </cell>
          <cell r="BA15">
            <v>0.5</v>
          </cell>
          <cell r="BB15">
            <v>0.5</v>
          </cell>
          <cell r="BC15">
            <v>0</v>
          </cell>
          <cell r="BD15">
            <v>0.5</v>
          </cell>
          <cell r="BG15">
            <v>0.06</v>
          </cell>
          <cell r="BH15">
            <v>0.08</v>
          </cell>
          <cell r="BI15">
            <v>0.1</v>
          </cell>
          <cell r="BJ15">
            <v>0.06</v>
          </cell>
          <cell r="BK15">
            <v>0.08</v>
          </cell>
          <cell r="BL15">
            <v>0.1</v>
          </cell>
          <cell r="BM15">
            <v>0.06</v>
          </cell>
          <cell r="BN15">
            <v>0.08</v>
          </cell>
          <cell r="BO15">
            <v>0.1</v>
          </cell>
          <cell r="BP15">
            <v>0.06</v>
          </cell>
          <cell r="BQ15">
            <v>0.08</v>
          </cell>
          <cell r="BR15">
            <v>0.1</v>
          </cell>
          <cell r="BS15">
            <v>0.06</v>
          </cell>
          <cell r="BT15">
            <v>0.08</v>
          </cell>
          <cell r="BU15">
            <v>0.1</v>
          </cell>
          <cell r="BV15">
            <v>0.06</v>
          </cell>
          <cell r="BW15">
            <v>0.08</v>
          </cell>
          <cell r="BX15">
            <v>0.1</v>
          </cell>
          <cell r="BY15">
            <v>0.06</v>
          </cell>
          <cell r="BZ15">
            <v>0.08</v>
          </cell>
          <cell r="CA15">
            <v>0.1</v>
          </cell>
          <cell r="CB15">
            <v>0.06</v>
          </cell>
          <cell r="CC15">
            <v>0.08</v>
          </cell>
          <cell r="CD15">
            <v>0.1</v>
          </cell>
          <cell r="CE15">
            <v>0.06</v>
          </cell>
          <cell r="CF15">
            <v>0.08</v>
          </cell>
          <cell r="CG15">
            <v>0.1</v>
          </cell>
          <cell r="CH15">
            <v>0.06</v>
          </cell>
          <cell r="CI15">
            <v>0.08</v>
          </cell>
          <cell r="CJ15">
            <v>0.1</v>
          </cell>
          <cell r="CK15">
            <v>0.06</v>
          </cell>
          <cell r="CL15">
            <v>0.08</v>
          </cell>
          <cell r="CM15">
            <v>0.1</v>
          </cell>
          <cell r="CN15">
            <v>0.06</v>
          </cell>
          <cell r="CO15">
            <v>0.08</v>
          </cell>
          <cell r="CP15">
            <v>0.1</v>
          </cell>
          <cell r="CQ15">
            <v>0.06</v>
          </cell>
          <cell r="CR15">
            <v>0.08</v>
          </cell>
          <cell r="CS15">
            <v>0.1</v>
          </cell>
          <cell r="CV15">
            <v>5.5E-2</v>
          </cell>
          <cell r="CW15">
            <v>5.5E-2</v>
          </cell>
          <cell r="CX15">
            <v>0.03</v>
          </cell>
          <cell r="CY15">
            <v>5.5E-2</v>
          </cell>
          <cell r="CZ15">
            <v>5.5E-2</v>
          </cell>
          <cell r="DA15">
            <v>0.03</v>
          </cell>
          <cell r="DB15">
            <v>5.5E-2</v>
          </cell>
          <cell r="DC15">
            <v>5.5E-2</v>
          </cell>
          <cell r="DD15">
            <v>0.03</v>
          </cell>
          <cell r="DE15">
            <v>5.5E-2</v>
          </cell>
          <cell r="DF15">
            <v>5.5E-2</v>
          </cell>
          <cell r="DG15">
            <v>0.03</v>
          </cell>
          <cell r="DH15">
            <v>5.5E-2</v>
          </cell>
          <cell r="DI15">
            <v>5.5E-2</v>
          </cell>
          <cell r="DJ15">
            <v>0.03</v>
          </cell>
          <cell r="DK15">
            <v>5.5E-2</v>
          </cell>
          <cell r="DL15">
            <v>5.5E-2</v>
          </cell>
          <cell r="DM15">
            <v>0.03</v>
          </cell>
          <cell r="DN15">
            <v>5.5E-2</v>
          </cell>
          <cell r="DO15">
            <v>5.5E-2</v>
          </cell>
          <cell r="DP15">
            <v>0.03</v>
          </cell>
          <cell r="DQ15">
            <v>5.5E-2</v>
          </cell>
          <cell r="DR15">
            <v>5.5E-2</v>
          </cell>
          <cell r="DS15">
            <v>0.03</v>
          </cell>
          <cell r="DT15">
            <v>5.5E-2</v>
          </cell>
          <cell r="DU15">
            <v>5.5E-2</v>
          </cell>
          <cell r="DV15">
            <v>0.03</v>
          </cell>
          <cell r="DW15">
            <v>5.5E-2</v>
          </cell>
          <cell r="DX15">
            <v>5.5E-2</v>
          </cell>
          <cell r="DY15">
            <v>0.03</v>
          </cell>
          <cell r="DZ15">
            <v>5.5E-2</v>
          </cell>
          <cell r="EA15">
            <v>5.5E-2</v>
          </cell>
          <cell r="EB15">
            <v>0.03</v>
          </cell>
          <cell r="EC15">
            <v>5.5E-2</v>
          </cell>
          <cell r="ED15">
            <v>5.5E-2</v>
          </cell>
          <cell r="EE15">
            <v>0.03</v>
          </cell>
          <cell r="EG15">
            <v>3.2500000000000001E-2</v>
          </cell>
          <cell r="EH15">
            <v>3.2500000000000001E-2</v>
          </cell>
          <cell r="EI15">
            <v>3.2500000000000001E-2</v>
          </cell>
          <cell r="EJ15">
            <v>3.2500000000000001E-2</v>
          </cell>
          <cell r="EK15">
            <v>3.2500000000000001E-2</v>
          </cell>
          <cell r="EL15">
            <v>3.2500000000000001E-2</v>
          </cell>
          <cell r="EM15">
            <v>3.2500000000000001E-2</v>
          </cell>
          <cell r="EN15">
            <v>3.2500000000000001E-2</v>
          </cell>
          <cell r="EO15">
            <v>3.2500000000000001E-2</v>
          </cell>
          <cell r="EP15">
            <v>3.2500000000000001E-2</v>
          </cell>
          <cell r="EQ15">
            <v>3.2500000000000001E-2</v>
          </cell>
          <cell r="ER15">
            <v>3.2500000000000001E-2</v>
          </cell>
          <cell r="ES15">
            <v>3.2500000000000001E-2</v>
          </cell>
          <cell r="EU15">
            <v>0.08</v>
          </cell>
          <cell r="EV15">
            <v>0.08</v>
          </cell>
          <cell r="EW15">
            <v>0.08</v>
          </cell>
          <cell r="EX15">
            <v>0.08</v>
          </cell>
          <cell r="EY15">
            <v>0.08</v>
          </cell>
          <cell r="EZ15">
            <v>0.08</v>
          </cell>
          <cell r="FA15">
            <v>0.08</v>
          </cell>
          <cell r="FB15">
            <v>0.08</v>
          </cell>
          <cell r="FC15">
            <v>0.08</v>
          </cell>
          <cell r="FD15">
            <v>0.08</v>
          </cell>
          <cell r="FE15">
            <v>0.08</v>
          </cell>
          <cell r="FF15">
            <v>0.08</v>
          </cell>
          <cell r="FG15">
            <v>0.08</v>
          </cell>
        </row>
        <row r="16">
          <cell r="C16" t="str">
            <v>C3 Aircross VTi 115 Feel Pack 7P</v>
          </cell>
          <cell r="D16" t="str">
            <v>C3 Aircross VTi 115 Feel Pack 7P</v>
          </cell>
          <cell r="G16">
            <v>0.05</v>
          </cell>
          <cell r="H16">
            <v>0.05</v>
          </cell>
          <cell r="I16">
            <v>0.05</v>
          </cell>
          <cell r="J16">
            <v>0.05</v>
          </cell>
          <cell r="K16">
            <v>0.05</v>
          </cell>
          <cell r="L16">
            <v>0.05</v>
          </cell>
          <cell r="M16">
            <v>0.05</v>
          </cell>
          <cell r="N16">
            <v>0.05</v>
          </cell>
          <cell r="O16">
            <v>0.05</v>
          </cell>
          <cell r="P16">
            <v>0.05</v>
          </cell>
          <cell r="Q16">
            <v>0.05</v>
          </cell>
          <cell r="R16">
            <v>0.05</v>
          </cell>
          <cell r="U16">
            <v>0.5</v>
          </cell>
          <cell r="V16">
            <v>0</v>
          </cell>
          <cell r="W16">
            <v>0.5</v>
          </cell>
          <cell r="X16">
            <v>0.5</v>
          </cell>
          <cell r="Y16">
            <v>0</v>
          </cell>
          <cell r="Z16">
            <v>0.5</v>
          </cell>
          <cell r="AA16">
            <v>0.5</v>
          </cell>
          <cell r="AB16">
            <v>0</v>
          </cell>
          <cell r="AC16">
            <v>0.5</v>
          </cell>
          <cell r="AD16">
            <v>0.5</v>
          </cell>
          <cell r="AE16">
            <v>0</v>
          </cell>
          <cell r="AF16">
            <v>0.5</v>
          </cell>
          <cell r="AG16">
            <v>0.5</v>
          </cell>
          <cell r="AH16">
            <v>0</v>
          </cell>
          <cell r="AI16">
            <v>0.5</v>
          </cell>
          <cell r="AJ16">
            <v>0.5</v>
          </cell>
          <cell r="AK16">
            <v>0</v>
          </cell>
          <cell r="AL16">
            <v>0.5</v>
          </cell>
          <cell r="AM16">
            <v>0.5</v>
          </cell>
          <cell r="AN16">
            <v>0</v>
          </cell>
          <cell r="AO16">
            <v>0.5</v>
          </cell>
          <cell r="AP16">
            <v>0.5</v>
          </cell>
          <cell r="AQ16">
            <v>0</v>
          </cell>
          <cell r="AR16">
            <v>0.5</v>
          </cell>
          <cell r="AS16">
            <v>0.5</v>
          </cell>
          <cell r="AT16">
            <v>0</v>
          </cell>
          <cell r="AU16">
            <v>0.5</v>
          </cell>
          <cell r="AV16">
            <v>0.5</v>
          </cell>
          <cell r="AW16">
            <v>0</v>
          </cell>
          <cell r="AX16">
            <v>0.5</v>
          </cell>
          <cell r="AY16">
            <v>0.5</v>
          </cell>
          <cell r="AZ16">
            <v>0</v>
          </cell>
          <cell r="BA16">
            <v>0.5</v>
          </cell>
          <cell r="BB16">
            <v>0.5</v>
          </cell>
          <cell r="BC16">
            <v>0</v>
          </cell>
          <cell r="BD16">
            <v>0.5</v>
          </cell>
          <cell r="BG16">
            <v>0.06</v>
          </cell>
          <cell r="BH16">
            <v>0.08</v>
          </cell>
          <cell r="BI16">
            <v>0.1</v>
          </cell>
          <cell r="BJ16">
            <v>0.06</v>
          </cell>
          <cell r="BK16">
            <v>0.08</v>
          </cell>
          <cell r="BL16">
            <v>0.1</v>
          </cell>
          <cell r="BM16">
            <v>0.06</v>
          </cell>
          <cell r="BN16">
            <v>0.08</v>
          </cell>
          <cell r="BO16">
            <v>0.1</v>
          </cell>
          <cell r="BP16">
            <v>0.06</v>
          </cell>
          <cell r="BQ16">
            <v>0.08</v>
          </cell>
          <cell r="BR16">
            <v>0.1</v>
          </cell>
          <cell r="BS16">
            <v>0.06</v>
          </cell>
          <cell r="BT16">
            <v>0.08</v>
          </cell>
          <cell r="BU16">
            <v>0.1</v>
          </cell>
          <cell r="BV16">
            <v>0.06</v>
          </cell>
          <cell r="BW16">
            <v>0.08</v>
          </cell>
          <cell r="BX16">
            <v>0.1</v>
          </cell>
          <cell r="BY16">
            <v>0.06</v>
          </cell>
          <cell r="BZ16">
            <v>0.08</v>
          </cell>
          <cell r="CA16">
            <v>0.1</v>
          </cell>
          <cell r="CB16">
            <v>0.06</v>
          </cell>
          <cell r="CC16">
            <v>0.08</v>
          </cell>
          <cell r="CD16">
            <v>0.1</v>
          </cell>
          <cell r="CE16">
            <v>0.06</v>
          </cell>
          <cell r="CF16">
            <v>0.08</v>
          </cell>
          <cell r="CG16">
            <v>0.1</v>
          </cell>
          <cell r="CH16">
            <v>0.06</v>
          </cell>
          <cell r="CI16">
            <v>0.08</v>
          </cell>
          <cell r="CJ16">
            <v>0.1</v>
          </cell>
          <cell r="CK16">
            <v>0.06</v>
          </cell>
          <cell r="CL16">
            <v>0.08</v>
          </cell>
          <cell r="CM16">
            <v>0.1</v>
          </cell>
          <cell r="CN16">
            <v>0.06</v>
          </cell>
          <cell r="CO16">
            <v>0.08</v>
          </cell>
          <cell r="CP16">
            <v>0.1</v>
          </cell>
          <cell r="CQ16">
            <v>0.06</v>
          </cell>
          <cell r="CR16">
            <v>0.08</v>
          </cell>
          <cell r="CS16">
            <v>0.1</v>
          </cell>
          <cell r="CV16">
            <v>5.5E-2</v>
          </cell>
          <cell r="CW16">
            <v>5.5E-2</v>
          </cell>
          <cell r="CX16">
            <v>0.03</v>
          </cell>
          <cell r="CY16">
            <v>5.5E-2</v>
          </cell>
          <cell r="CZ16">
            <v>5.5E-2</v>
          </cell>
          <cell r="DA16">
            <v>0.03</v>
          </cell>
          <cell r="DB16">
            <v>5.5E-2</v>
          </cell>
          <cell r="DC16">
            <v>5.5E-2</v>
          </cell>
          <cell r="DD16">
            <v>0.03</v>
          </cell>
          <cell r="DE16">
            <v>5.5E-2</v>
          </cell>
          <cell r="DF16">
            <v>5.5E-2</v>
          </cell>
          <cell r="DG16">
            <v>0.03</v>
          </cell>
          <cell r="DH16">
            <v>5.5E-2</v>
          </cell>
          <cell r="DI16">
            <v>5.5E-2</v>
          </cell>
          <cell r="DJ16">
            <v>0.03</v>
          </cell>
          <cell r="DK16">
            <v>5.5E-2</v>
          </cell>
          <cell r="DL16">
            <v>5.5E-2</v>
          </cell>
          <cell r="DM16">
            <v>0.03</v>
          </cell>
          <cell r="DN16">
            <v>5.5E-2</v>
          </cell>
          <cell r="DO16">
            <v>5.5E-2</v>
          </cell>
          <cell r="DP16">
            <v>0.03</v>
          </cell>
          <cell r="DQ16">
            <v>5.5E-2</v>
          </cell>
          <cell r="DR16">
            <v>5.5E-2</v>
          </cell>
          <cell r="DS16">
            <v>0.03</v>
          </cell>
          <cell r="DT16">
            <v>5.5E-2</v>
          </cell>
          <cell r="DU16">
            <v>5.5E-2</v>
          </cell>
          <cell r="DV16">
            <v>0.03</v>
          </cell>
          <cell r="DW16">
            <v>5.5E-2</v>
          </cell>
          <cell r="DX16">
            <v>5.5E-2</v>
          </cell>
          <cell r="DY16">
            <v>0.03</v>
          </cell>
          <cell r="DZ16">
            <v>5.5E-2</v>
          </cell>
          <cell r="EA16">
            <v>5.5E-2</v>
          </cell>
          <cell r="EB16">
            <v>0.03</v>
          </cell>
          <cell r="EC16">
            <v>5.5E-2</v>
          </cell>
          <cell r="ED16">
            <v>5.5E-2</v>
          </cell>
          <cell r="EE16">
            <v>0.03</v>
          </cell>
          <cell r="EG16">
            <v>3.2500000000000001E-2</v>
          </cell>
          <cell r="EH16">
            <v>3.2500000000000001E-2</v>
          </cell>
          <cell r="EI16">
            <v>3.2500000000000001E-2</v>
          </cell>
          <cell r="EJ16">
            <v>3.2500000000000001E-2</v>
          </cell>
          <cell r="EK16">
            <v>3.2500000000000001E-2</v>
          </cell>
          <cell r="EL16">
            <v>3.2500000000000001E-2</v>
          </cell>
          <cell r="EM16">
            <v>3.2500000000000001E-2</v>
          </cell>
          <cell r="EN16">
            <v>3.2500000000000001E-2</v>
          </cell>
          <cell r="EO16">
            <v>3.2500000000000001E-2</v>
          </cell>
          <cell r="EP16">
            <v>3.2500000000000001E-2</v>
          </cell>
          <cell r="EQ16">
            <v>3.2500000000000001E-2</v>
          </cell>
          <cell r="ER16">
            <v>3.2500000000000001E-2</v>
          </cell>
          <cell r="ES16">
            <v>3.2500000000000001E-2</v>
          </cell>
          <cell r="EU16">
            <v>0.08</v>
          </cell>
          <cell r="EV16">
            <v>0.08</v>
          </cell>
          <cell r="EW16">
            <v>0.08</v>
          </cell>
          <cell r="EX16">
            <v>0.08</v>
          </cell>
          <cell r="EY16">
            <v>0.08</v>
          </cell>
          <cell r="EZ16">
            <v>0.08</v>
          </cell>
          <cell r="FA16">
            <v>0.08</v>
          </cell>
          <cell r="FB16">
            <v>0.08</v>
          </cell>
          <cell r="FC16">
            <v>0.08</v>
          </cell>
          <cell r="FD16">
            <v>0.08</v>
          </cell>
          <cell r="FE16">
            <v>0.08</v>
          </cell>
          <cell r="FF16">
            <v>0.08</v>
          </cell>
          <cell r="FG16">
            <v>0.08</v>
          </cell>
        </row>
        <row r="17">
          <cell r="C17" t="str">
            <v>C3 Aircross VTi 115 Shine 5P</v>
          </cell>
          <cell r="D17" t="str">
            <v>C3 Aircross VTi 115 Shine 5P</v>
          </cell>
          <cell r="G17">
            <v>0.05</v>
          </cell>
          <cell r="H17">
            <v>0.05</v>
          </cell>
          <cell r="I17">
            <v>0.05</v>
          </cell>
          <cell r="J17">
            <v>0.05</v>
          </cell>
          <cell r="K17">
            <v>0.05</v>
          </cell>
          <cell r="L17">
            <v>0.05</v>
          </cell>
          <cell r="M17">
            <v>0.05</v>
          </cell>
          <cell r="N17">
            <v>0.05</v>
          </cell>
          <cell r="O17">
            <v>0.05</v>
          </cell>
          <cell r="P17">
            <v>0.05</v>
          </cell>
          <cell r="Q17">
            <v>0.05</v>
          </cell>
          <cell r="R17">
            <v>0.05</v>
          </cell>
          <cell r="U17">
            <v>0.5</v>
          </cell>
          <cell r="V17">
            <v>0</v>
          </cell>
          <cell r="W17">
            <v>0.5</v>
          </cell>
          <cell r="X17">
            <v>0.5</v>
          </cell>
          <cell r="Y17">
            <v>0</v>
          </cell>
          <cell r="Z17">
            <v>0.5</v>
          </cell>
          <cell r="AA17">
            <v>0.5</v>
          </cell>
          <cell r="AB17">
            <v>0</v>
          </cell>
          <cell r="AC17">
            <v>0.5</v>
          </cell>
          <cell r="AD17">
            <v>0.5</v>
          </cell>
          <cell r="AE17">
            <v>0</v>
          </cell>
          <cell r="AF17">
            <v>0.5</v>
          </cell>
          <cell r="AG17">
            <v>0.5</v>
          </cell>
          <cell r="AH17">
            <v>0</v>
          </cell>
          <cell r="AI17">
            <v>0.5</v>
          </cell>
          <cell r="AJ17">
            <v>0.5</v>
          </cell>
          <cell r="AK17">
            <v>0</v>
          </cell>
          <cell r="AL17">
            <v>0.5</v>
          </cell>
          <cell r="AM17">
            <v>0.5</v>
          </cell>
          <cell r="AN17">
            <v>0</v>
          </cell>
          <cell r="AO17">
            <v>0.5</v>
          </cell>
          <cell r="AP17">
            <v>0.5</v>
          </cell>
          <cell r="AQ17">
            <v>0</v>
          </cell>
          <cell r="AR17">
            <v>0.5</v>
          </cell>
          <cell r="AS17">
            <v>0.5</v>
          </cell>
          <cell r="AT17">
            <v>0</v>
          </cell>
          <cell r="AU17">
            <v>0.5</v>
          </cell>
          <cell r="AV17">
            <v>0.5</v>
          </cell>
          <cell r="AW17">
            <v>0</v>
          </cell>
          <cell r="AX17">
            <v>0.5</v>
          </cell>
          <cell r="AY17">
            <v>0.5</v>
          </cell>
          <cell r="AZ17">
            <v>0</v>
          </cell>
          <cell r="BA17">
            <v>0.5</v>
          </cell>
          <cell r="BB17">
            <v>0.5</v>
          </cell>
          <cell r="BC17">
            <v>0</v>
          </cell>
          <cell r="BD17">
            <v>0.5</v>
          </cell>
          <cell r="BG17">
            <v>0.06</v>
          </cell>
          <cell r="BH17">
            <v>0.08</v>
          </cell>
          <cell r="BI17">
            <v>0.1</v>
          </cell>
          <cell r="BJ17">
            <v>0.06</v>
          </cell>
          <cell r="BK17">
            <v>0.08</v>
          </cell>
          <cell r="BL17">
            <v>0.1</v>
          </cell>
          <cell r="BM17">
            <v>0.06</v>
          </cell>
          <cell r="BN17">
            <v>0.08</v>
          </cell>
          <cell r="BO17">
            <v>0.1</v>
          </cell>
          <cell r="BP17">
            <v>0.06</v>
          </cell>
          <cell r="BQ17">
            <v>0.08</v>
          </cell>
          <cell r="BR17">
            <v>0.1</v>
          </cell>
          <cell r="BS17">
            <v>0.06</v>
          </cell>
          <cell r="BT17">
            <v>0.08</v>
          </cell>
          <cell r="BU17">
            <v>0.1</v>
          </cell>
          <cell r="BV17">
            <v>0.06</v>
          </cell>
          <cell r="BW17">
            <v>0.08</v>
          </cell>
          <cell r="BX17">
            <v>0.1</v>
          </cell>
          <cell r="BY17">
            <v>0.06</v>
          </cell>
          <cell r="BZ17">
            <v>0.08</v>
          </cell>
          <cell r="CA17">
            <v>0.1</v>
          </cell>
          <cell r="CB17">
            <v>0.06</v>
          </cell>
          <cell r="CC17">
            <v>0.08</v>
          </cell>
          <cell r="CD17">
            <v>0.1</v>
          </cell>
          <cell r="CE17">
            <v>0.06</v>
          </cell>
          <cell r="CF17">
            <v>0.08</v>
          </cell>
          <cell r="CG17">
            <v>0.1</v>
          </cell>
          <cell r="CH17">
            <v>0.06</v>
          </cell>
          <cell r="CI17">
            <v>0.08</v>
          </cell>
          <cell r="CJ17">
            <v>0.1</v>
          </cell>
          <cell r="CK17">
            <v>0.06</v>
          </cell>
          <cell r="CL17">
            <v>0.08</v>
          </cell>
          <cell r="CM17">
            <v>0.1</v>
          </cell>
          <cell r="CN17">
            <v>0.06</v>
          </cell>
          <cell r="CO17">
            <v>0.08</v>
          </cell>
          <cell r="CP17">
            <v>0.1</v>
          </cell>
          <cell r="CQ17">
            <v>0.06</v>
          </cell>
          <cell r="CR17">
            <v>0.08</v>
          </cell>
          <cell r="CS17">
            <v>0.1</v>
          </cell>
          <cell r="CV17">
            <v>5.5E-2</v>
          </cell>
          <cell r="CW17">
            <v>5.5E-2</v>
          </cell>
          <cell r="CX17">
            <v>0.03</v>
          </cell>
          <cell r="CY17">
            <v>5.5E-2</v>
          </cell>
          <cell r="CZ17">
            <v>5.5E-2</v>
          </cell>
          <cell r="DA17">
            <v>0.03</v>
          </cell>
          <cell r="DB17">
            <v>5.5E-2</v>
          </cell>
          <cell r="DC17">
            <v>5.5E-2</v>
          </cell>
          <cell r="DD17">
            <v>0.03</v>
          </cell>
          <cell r="DE17">
            <v>5.5E-2</v>
          </cell>
          <cell r="DF17">
            <v>5.5E-2</v>
          </cell>
          <cell r="DG17">
            <v>0.03</v>
          </cell>
          <cell r="DH17">
            <v>5.5E-2</v>
          </cell>
          <cell r="DI17">
            <v>5.5E-2</v>
          </cell>
          <cell r="DJ17">
            <v>0.03</v>
          </cell>
          <cell r="DK17">
            <v>5.5E-2</v>
          </cell>
          <cell r="DL17">
            <v>5.5E-2</v>
          </cell>
          <cell r="DM17">
            <v>0.03</v>
          </cell>
          <cell r="DN17">
            <v>5.5E-2</v>
          </cell>
          <cell r="DO17">
            <v>5.5E-2</v>
          </cell>
          <cell r="DP17">
            <v>0.03</v>
          </cell>
          <cell r="DQ17">
            <v>5.5E-2</v>
          </cell>
          <cell r="DR17">
            <v>5.5E-2</v>
          </cell>
          <cell r="DS17">
            <v>0.03</v>
          </cell>
          <cell r="DT17">
            <v>5.5E-2</v>
          </cell>
          <cell r="DU17">
            <v>5.5E-2</v>
          </cell>
          <cell r="DV17">
            <v>0.03</v>
          </cell>
          <cell r="DW17">
            <v>5.5E-2</v>
          </cell>
          <cell r="DX17">
            <v>5.5E-2</v>
          </cell>
          <cell r="DY17">
            <v>0.03</v>
          </cell>
          <cell r="DZ17">
            <v>5.5E-2</v>
          </cell>
          <cell r="EA17">
            <v>5.5E-2</v>
          </cell>
          <cell r="EB17">
            <v>0.03</v>
          </cell>
          <cell r="EC17">
            <v>5.5E-2</v>
          </cell>
          <cell r="ED17">
            <v>5.5E-2</v>
          </cell>
          <cell r="EE17">
            <v>0.03</v>
          </cell>
          <cell r="EG17">
            <v>3.2500000000000001E-2</v>
          </cell>
          <cell r="EH17">
            <v>3.2500000000000001E-2</v>
          </cell>
          <cell r="EI17">
            <v>3.2500000000000001E-2</v>
          </cell>
          <cell r="EJ17">
            <v>3.2500000000000001E-2</v>
          </cell>
          <cell r="EK17">
            <v>3.2500000000000001E-2</v>
          </cell>
          <cell r="EL17">
            <v>3.2500000000000001E-2</v>
          </cell>
          <cell r="EM17">
            <v>3.2500000000000001E-2</v>
          </cell>
          <cell r="EN17">
            <v>3.2500000000000001E-2</v>
          </cell>
          <cell r="EO17">
            <v>3.2500000000000001E-2</v>
          </cell>
          <cell r="EP17">
            <v>3.2500000000000001E-2</v>
          </cell>
          <cell r="EQ17">
            <v>3.2500000000000001E-2</v>
          </cell>
          <cell r="ER17">
            <v>3.2500000000000001E-2</v>
          </cell>
          <cell r="ES17">
            <v>3.2500000000000001E-2</v>
          </cell>
          <cell r="EU17">
            <v>0.08</v>
          </cell>
          <cell r="EV17">
            <v>0.08</v>
          </cell>
          <cell r="EW17">
            <v>0.08</v>
          </cell>
          <cell r="EX17">
            <v>0.08</v>
          </cell>
          <cell r="EY17">
            <v>0.08</v>
          </cell>
          <cell r="EZ17">
            <v>0.08</v>
          </cell>
          <cell r="FA17">
            <v>0.08</v>
          </cell>
          <cell r="FB17">
            <v>0.08</v>
          </cell>
          <cell r="FC17">
            <v>0.08</v>
          </cell>
          <cell r="FD17">
            <v>0.08</v>
          </cell>
          <cell r="FE17">
            <v>0.08</v>
          </cell>
          <cell r="FF17">
            <v>0.08</v>
          </cell>
          <cell r="FG17">
            <v>0.08</v>
          </cell>
        </row>
        <row r="18">
          <cell r="C18" t="str">
            <v>C3 Aircross Shine 5P Gasolina 96HP MT</v>
          </cell>
          <cell r="D18" t="str">
            <v>C3 Aircross Shine 5P Gasolina 96HP MT</v>
          </cell>
          <cell r="G18">
            <v>0.05</v>
          </cell>
          <cell r="H18">
            <v>0.05</v>
          </cell>
          <cell r="I18">
            <v>0.05</v>
          </cell>
          <cell r="J18">
            <v>0.05</v>
          </cell>
          <cell r="K18">
            <v>0.05</v>
          </cell>
          <cell r="L18">
            <v>0.05</v>
          </cell>
          <cell r="M18">
            <v>0.05</v>
          </cell>
          <cell r="N18">
            <v>0.05</v>
          </cell>
          <cell r="O18">
            <v>0.05</v>
          </cell>
          <cell r="P18">
            <v>0.05</v>
          </cell>
          <cell r="Q18">
            <v>0.05</v>
          </cell>
          <cell r="R18">
            <v>0.05</v>
          </cell>
          <cell r="U18">
            <v>0.5</v>
          </cell>
          <cell r="V18">
            <v>0</v>
          </cell>
          <cell r="W18">
            <v>0.5</v>
          </cell>
          <cell r="X18">
            <v>0.5</v>
          </cell>
          <cell r="Y18">
            <v>0</v>
          </cell>
          <cell r="Z18">
            <v>0.5</v>
          </cell>
          <cell r="AA18">
            <v>0.5</v>
          </cell>
          <cell r="AB18">
            <v>0</v>
          </cell>
          <cell r="AC18">
            <v>0.5</v>
          </cell>
          <cell r="AD18">
            <v>0.5</v>
          </cell>
          <cell r="AE18">
            <v>0</v>
          </cell>
          <cell r="AF18">
            <v>0.5</v>
          </cell>
          <cell r="AG18">
            <v>0.5</v>
          </cell>
          <cell r="AH18">
            <v>0</v>
          </cell>
          <cell r="AI18">
            <v>0.5</v>
          </cell>
          <cell r="AJ18">
            <v>0.5</v>
          </cell>
          <cell r="AK18">
            <v>0</v>
          </cell>
          <cell r="AL18">
            <v>0.5</v>
          </cell>
          <cell r="AM18">
            <v>0.5</v>
          </cell>
          <cell r="AN18">
            <v>0</v>
          </cell>
          <cell r="AO18">
            <v>0.5</v>
          </cell>
          <cell r="AP18">
            <v>0.5</v>
          </cell>
          <cell r="AQ18">
            <v>0</v>
          </cell>
          <cell r="AR18">
            <v>0.5</v>
          </cell>
          <cell r="AS18">
            <v>0.5</v>
          </cell>
          <cell r="AT18">
            <v>0</v>
          </cell>
          <cell r="AU18">
            <v>0.5</v>
          </cell>
          <cell r="AV18">
            <v>0.5</v>
          </cell>
          <cell r="AW18">
            <v>0</v>
          </cell>
          <cell r="AX18">
            <v>0.5</v>
          </cell>
          <cell r="AY18">
            <v>0.5</v>
          </cell>
          <cell r="AZ18">
            <v>0</v>
          </cell>
          <cell r="BA18">
            <v>0.5</v>
          </cell>
          <cell r="BB18">
            <v>0.5</v>
          </cell>
          <cell r="BC18">
            <v>0</v>
          </cell>
          <cell r="BD18">
            <v>0.5</v>
          </cell>
          <cell r="BG18">
            <v>0.06</v>
          </cell>
          <cell r="BH18">
            <v>0.08</v>
          </cell>
          <cell r="BI18">
            <v>0.1</v>
          </cell>
          <cell r="BJ18">
            <v>0.06</v>
          </cell>
          <cell r="BK18">
            <v>0.08</v>
          </cell>
          <cell r="BL18">
            <v>0.1</v>
          </cell>
          <cell r="BM18">
            <v>0.06</v>
          </cell>
          <cell r="BN18">
            <v>0.08</v>
          </cell>
          <cell r="BO18">
            <v>0.1</v>
          </cell>
          <cell r="BP18">
            <v>0.06</v>
          </cell>
          <cell r="BQ18">
            <v>0.08</v>
          </cell>
          <cell r="BR18">
            <v>0.1</v>
          </cell>
          <cell r="BS18">
            <v>0.06</v>
          </cell>
          <cell r="BT18">
            <v>0.08</v>
          </cell>
          <cell r="BU18">
            <v>0.1</v>
          </cell>
          <cell r="BV18">
            <v>0.06</v>
          </cell>
          <cell r="BW18">
            <v>0.08</v>
          </cell>
          <cell r="BX18">
            <v>0.1</v>
          </cell>
          <cell r="BY18">
            <v>0.06</v>
          </cell>
          <cell r="BZ18">
            <v>0.08</v>
          </cell>
          <cell r="CA18">
            <v>0.1</v>
          </cell>
          <cell r="CB18">
            <v>0.06</v>
          </cell>
          <cell r="CC18">
            <v>0.08</v>
          </cell>
          <cell r="CD18">
            <v>0.1</v>
          </cell>
          <cell r="CE18">
            <v>0.06</v>
          </cell>
          <cell r="CF18">
            <v>0.08</v>
          </cell>
          <cell r="CG18">
            <v>0.1</v>
          </cell>
          <cell r="CH18">
            <v>0.06</v>
          </cell>
          <cell r="CI18">
            <v>0.08</v>
          </cell>
          <cell r="CJ18">
            <v>0.1</v>
          </cell>
          <cell r="CK18">
            <v>0.06</v>
          </cell>
          <cell r="CL18">
            <v>0.08</v>
          </cell>
          <cell r="CM18">
            <v>0.1</v>
          </cell>
          <cell r="CN18">
            <v>0.06</v>
          </cell>
          <cell r="CO18">
            <v>0.08</v>
          </cell>
          <cell r="CP18">
            <v>0.1</v>
          </cell>
          <cell r="CQ18">
            <v>0.06</v>
          </cell>
          <cell r="CR18">
            <v>0.08</v>
          </cell>
          <cell r="CS18">
            <v>0.1</v>
          </cell>
          <cell r="CV18">
            <v>5.5E-2</v>
          </cell>
          <cell r="CW18">
            <v>5.5E-2</v>
          </cell>
          <cell r="CX18">
            <v>0.03</v>
          </cell>
          <cell r="CY18">
            <v>5.5E-2</v>
          </cell>
          <cell r="CZ18">
            <v>5.5E-2</v>
          </cell>
          <cell r="DA18">
            <v>0.03</v>
          </cell>
          <cell r="DB18">
            <v>5.5E-2</v>
          </cell>
          <cell r="DC18">
            <v>5.5E-2</v>
          </cell>
          <cell r="DD18">
            <v>0.03</v>
          </cell>
          <cell r="DE18">
            <v>5.5E-2</v>
          </cell>
          <cell r="DF18">
            <v>5.5E-2</v>
          </cell>
          <cell r="DG18">
            <v>0.03</v>
          </cell>
          <cell r="DH18">
            <v>5.5E-2</v>
          </cell>
          <cell r="DI18">
            <v>5.5E-2</v>
          </cell>
          <cell r="DJ18">
            <v>0.03</v>
          </cell>
          <cell r="DK18">
            <v>5.5E-2</v>
          </cell>
          <cell r="DL18">
            <v>5.5E-2</v>
          </cell>
          <cell r="DM18">
            <v>0.03</v>
          </cell>
          <cell r="DN18">
            <v>5.5E-2</v>
          </cell>
          <cell r="DO18">
            <v>5.5E-2</v>
          </cell>
          <cell r="DP18">
            <v>0.03</v>
          </cell>
          <cell r="DQ18">
            <v>5.5E-2</v>
          </cell>
          <cell r="DR18">
            <v>5.5E-2</v>
          </cell>
          <cell r="DS18">
            <v>0.03</v>
          </cell>
          <cell r="DT18">
            <v>5.5E-2</v>
          </cell>
          <cell r="DU18">
            <v>5.5E-2</v>
          </cell>
          <cell r="DV18">
            <v>0.03</v>
          </cell>
          <cell r="DW18">
            <v>5.5E-2</v>
          </cell>
          <cell r="DX18">
            <v>5.5E-2</v>
          </cell>
          <cell r="DY18">
            <v>0.03</v>
          </cell>
          <cell r="DZ18">
            <v>5.5E-2</v>
          </cell>
          <cell r="EA18">
            <v>5.5E-2</v>
          </cell>
          <cell r="EB18">
            <v>0.03</v>
          </cell>
          <cell r="EC18">
            <v>5.5E-2</v>
          </cell>
          <cell r="ED18">
            <v>5.5E-2</v>
          </cell>
          <cell r="EE18">
            <v>0.03</v>
          </cell>
          <cell r="EG18">
            <v>3.2500000000000001E-2</v>
          </cell>
          <cell r="EH18">
            <v>3.2500000000000001E-2</v>
          </cell>
          <cell r="EI18">
            <v>3.2500000000000001E-2</v>
          </cell>
          <cell r="EJ18">
            <v>3.2500000000000001E-2</v>
          </cell>
          <cell r="EK18">
            <v>3.2500000000000001E-2</v>
          </cell>
          <cell r="EL18">
            <v>3.2500000000000001E-2</v>
          </cell>
          <cell r="EM18">
            <v>3.2500000000000001E-2</v>
          </cell>
          <cell r="EN18">
            <v>3.2500000000000001E-2</v>
          </cell>
          <cell r="EO18">
            <v>3.2500000000000001E-2</v>
          </cell>
          <cell r="EP18">
            <v>3.2500000000000001E-2</v>
          </cell>
          <cell r="EQ18">
            <v>3.2500000000000001E-2</v>
          </cell>
          <cell r="ER18">
            <v>3.2500000000000001E-2</v>
          </cell>
          <cell r="ES18">
            <v>3.2500000000000001E-2</v>
          </cell>
          <cell r="EU18">
            <v>0.08</v>
          </cell>
          <cell r="EV18">
            <v>0.08</v>
          </cell>
          <cell r="EW18">
            <v>0.08</v>
          </cell>
          <cell r="EX18">
            <v>0.08</v>
          </cell>
          <cell r="EY18">
            <v>0.08</v>
          </cell>
          <cell r="EZ18">
            <v>0.08</v>
          </cell>
          <cell r="FA18">
            <v>0.08</v>
          </cell>
          <cell r="FB18">
            <v>0.08</v>
          </cell>
          <cell r="FC18">
            <v>0.08</v>
          </cell>
          <cell r="FD18">
            <v>0.08</v>
          </cell>
          <cell r="FE18">
            <v>0.08</v>
          </cell>
          <cell r="FF18">
            <v>0.08</v>
          </cell>
          <cell r="FG18">
            <v>0.08</v>
          </cell>
        </row>
        <row r="19">
          <cell r="C19" t="str">
            <v>C3 Aircross Turbo 125 CVT Shine 5P</v>
          </cell>
          <cell r="D19" t="str">
            <v>C3 Aircross Turbo 125 CVT Shine 5P</v>
          </cell>
          <cell r="G19">
            <v>0.05</v>
          </cell>
          <cell r="H19">
            <v>0.05</v>
          </cell>
          <cell r="I19">
            <v>0.05</v>
          </cell>
          <cell r="J19">
            <v>0.05</v>
          </cell>
          <cell r="K19">
            <v>0.05</v>
          </cell>
          <cell r="L19">
            <v>0.05</v>
          </cell>
          <cell r="M19">
            <v>0.05</v>
          </cell>
          <cell r="N19">
            <v>0.05</v>
          </cell>
          <cell r="O19">
            <v>0.05</v>
          </cell>
          <cell r="P19">
            <v>0.05</v>
          </cell>
          <cell r="Q19">
            <v>0.05</v>
          </cell>
          <cell r="R19">
            <v>0.05</v>
          </cell>
          <cell r="U19">
            <v>0.5</v>
          </cell>
          <cell r="V19">
            <v>0</v>
          </cell>
          <cell r="W19">
            <v>0.5</v>
          </cell>
          <cell r="X19">
            <v>0.5</v>
          </cell>
          <cell r="Y19">
            <v>0</v>
          </cell>
          <cell r="Z19">
            <v>0.5</v>
          </cell>
          <cell r="AA19">
            <v>0.5</v>
          </cell>
          <cell r="AB19">
            <v>0</v>
          </cell>
          <cell r="AC19">
            <v>0.5</v>
          </cell>
          <cell r="AD19">
            <v>0.5</v>
          </cell>
          <cell r="AE19">
            <v>0</v>
          </cell>
          <cell r="AF19">
            <v>0.5</v>
          </cell>
          <cell r="AG19">
            <v>0.5</v>
          </cell>
          <cell r="AH19">
            <v>0</v>
          </cell>
          <cell r="AI19">
            <v>0.5</v>
          </cell>
          <cell r="AJ19">
            <v>0.5</v>
          </cell>
          <cell r="AK19">
            <v>0</v>
          </cell>
          <cell r="AL19">
            <v>0.5</v>
          </cell>
          <cell r="AM19">
            <v>0.5</v>
          </cell>
          <cell r="AN19">
            <v>0</v>
          </cell>
          <cell r="AO19">
            <v>0.5</v>
          </cell>
          <cell r="AP19">
            <v>0.5</v>
          </cell>
          <cell r="AQ19">
            <v>0</v>
          </cell>
          <cell r="AR19">
            <v>0.5</v>
          </cell>
          <cell r="AS19">
            <v>0.5</v>
          </cell>
          <cell r="AT19">
            <v>0</v>
          </cell>
          <cell r="AU19">
            <v>0.5</v>
          </cell>
          <cell r="AV19">
            <v>0.5</v>
          </cell>
          <cell r="AW19">
            <v>0</v>
          </cell>
          <cell r="AX19">
            <v>0.5</v>
          </cell>
          <cell r="AY19">
            <v>0.5</v>
          </cell>
          <cell r="AZ19">
            <v>0</v>
          </cell>
          <cell r="BA19">
            <v>0.5</v>
          </cell>
          <cell r="BB19">
            <v>0.5</v>
          </cell>
          <cell r="BC19">
            <v>0</v>
          </cell>
          <cell r="BD19">
            <v>0.5</v>
          </cell>
          <cell r="BG19">
            <v>0.06</v>
          </cell>
          <cell r="BH19">
            <v>0.08</v>
          </cell>
          <cell r="BI19">
            <v>0.1</v>
          </cell>
          <cell r="BJ19">
            <v>0.06</v>
          </cell>
          <cell r="BK19">
            <v>0.08</v>
          </cell>
          <cell r="BL19">
            <v>0.1</v>
          </cell>
          <cell r="BM19">
            <v>0.06</v>
          </cell>
          <cell r="BN19">
            <v>0.08</v>
          </cell>
          <cell r="BO19">
            <v>0.1</v>
          </cell>
          <cell r="BP19">
            <v>0.06</v>
          </cell>
          <cell r="BQ19">
            <v>0.08</v>
          </cell>
          <cell r="BR19">
            <v>0.1</v>
          </cell>
          <cell r="BS19">
            <v>0.06</v>
          </cell>
          <cell r="BT19">
            <v>0.08</v>
          </cell>
          <cell r="BU19">
            <v>0.1</v>
          </cell>
          <cell r="BV19">
            <v>0.06</v>
          </cell>
          <cell r="BW19">
            <v>0.08</v>
          </cell>
          <cell r="BX19">
            <v>0.1</v>
          </cell>
          <cell r="BY19">
            <v>0.06</v>
          </cell>
          <cell r="BZ19">
            <v>0.08</v>
          </cell>
          <cell r="CA19">
            <v>0.1</v>
          </cell>
          <cell r="CB19">
            <v>0.06</v>
          </cell>
          <cell r="CC19">
            <v>0.08</v>
          </cell>
          <cell r="CD19">
            <v>0.1</v>
          </cell>
          <cell r="CE19">
            <v>0.06</v>
          </cell>
          <cell r="CF19">
            <v>0.08</v>
          </cell>
          <cell r="CG19">
            <v>0.1</v>
          </cell>
          <cell r="CH19">
            <v>0.06</v>
          </cell>
          <cell r="CI19">
            <v>0.08</v>
          </cell>
          <cell r="CJ19">
            <v>0.1</v>
          </cell>
          <cell r="CK19">
            <v>0.06</v>
          </cell>
          <cell r="CL19">
            <v>0.08</v>
          </cell>
          <cell r="CM19">
            <v>0.1</v>
          </cell>
          <cell r="CN19">
            <v>0.06</v>
          </cell>
          <cell r="CO19">
            <v>0.08</v>
          </cell>
          <cell r="CP19">
            <v>0.1</v>
          </cell>
          <cell r="CQ19">
            <v>0.06</v>
          </cell>
          <cell r="CR19">
            <v>0.08</v>
          </cell>
          <cell r="CS19">
            <v>0.1</v>
          </cell>
          <cell r="CV19">
            <v>5.5E-2</v>
          </cell>
          <cell r="CW19">
            <v>5.5E-2</v>
          </cell>
          <cell r="CX19">
            <v>0.03</v>
          </cell>
          <cell r="CY19">
            <v>5.5E-2</v>
          </cell>
          <cell r="CZ19">
            <v>5.5E-2</v>
          </cell>
          <cell r="DA19">
            <v>0.03</v>
          </cell>
          <cell r="DB19">
            <v>5.5E-2</v>
          </cell>
          <cell r="DC19">
            <v>5.5E-2</v>
          </cell>
          <cell r="DD19">
            <v>0.03</v>
          </cell>
          <cell r="DE19">
            <v>5.5E-2</v>
          </cell>
          <cell r="DF19">
            <v>5.5E-2</v>
          </cell>
          <cell r="DG19">
            <v>0.03</v>
          </cell>
          <cell r="DH19">
            <v>5.5E-2</v>
          </cell>
          <cell r="DI19">
            <v>5.5E-2</v>
          </cell>
          <cell r="DJ19">
            <v>0.03</v>
          </cell>
          <cell r="DK19">
            <v>5.5E-2</v>
          </cell>
          <cell r="DL19">
            <v>5.5E-2</v>
          </cell>
          <cell r="DM19">
            <v>0.03</v>
          </cell>
          <cell r="DN19">
            <v>5.5E-2</v>
          </cell>
          <cell r="DO19">
            <v>5.5E-2</v>
          </cell>
          <cell r="DP19">
            <v>0.03</v>
          </cell>
          <cell r="DQ19">
            <v>5.5E-2</v>
          </cell>
          <cell r="DR19">
            <v>5.5E-2</v>
          </cell>
          <cell r="DS19">
            <v>0.03</v>
          </cell>
          <cell r="DT19">
            <v>5.5E-2</v>
          </cell>
          <cell r="DU19">
            <v>5.5E-2</v>
          </cell>
          <cell r="DV19">
            <v>0.03</v>
          </cell>
          <cell r="DW19">
            <v>5.5E-2</v>
          </cell>
          <cell r="DX19">
            <v>5.5E-2</v>
          </cell>
          <cell r="DY19">
            <v>0.03</v>
          </cell>
          <cell r="DZ19">
            <v>5.5E-2</v>
          </cell>
          <cell r="EA19">
            <v>5.5E-2</v>
          </cell>
          <cell r="EB19">
            <v>0.03</v>
          </cell>
          <cell r="EC19">
            <v>5.5E-2</v>
          </cell>
          <cell r="ED19">
            <v>5.5E-2</v>
          </cell>
          <cell r="EE19">
            <v>0.03</v>
          </cell>
          <cell r="EG19">
            <v>3.2500000000000001E-2</v>
          </cell>
          <cell r="EH19">
            <v>3.2500000000000001E-2</v>
          </cell>
          <cell r="EI19">
            <v>3.2500000000000001E-2</v>
          </cell>
          <cell r="EJ19">
            <v>3.2500000000000001E-2</v>
          </cell>
          <cell r="EK19">
            <v>3.2500000000000001E-2</v>
          </cell>
          <cell r="EL19">
            <v>3.2500000000000001E-2</v>
          </cell>
          <cell r="EM19">
            <v>3.2500000000000001E-2</v>
          </cell>
          <cell r="EN19">
            <v>3.2500000000000001E-2</v>
          </cell>
          <cell r="EO19">
            <v>3.2500000000000001E-2</v>
          </cell>
          <cell r="EP19">
            <v>3.2500000000000001E-2</v>
          </cell>
          <cell r="EQ19">
            <v>3.2500000000000001E-2</v>
          </cell>
          <cell r="ER19">
            <v>3.2500000000000001E-2</v>
          </cell>
          <cell r="ES19">
            <v>3.2500000000000001E-2</v>
          </cell>
          <cell r="EU19">
            <v>0.08</v>
          </cell>
          <cell r="EV19">
            <v>0.08</v>
          </cell>
          <cell r="EW19">
            <v>0.08</v>
          </cell>
          <cell r="EX19">
            <v>0.08</v>
          </cell>
          <cell r="EY19">
            <v>0.08</v>
          </cell>
          <cell r="EZ19">
            <v>0.08</v>
          </cell>
          <cell r="FA19">
            <v>0.08</v>
          </cell>
          <cell r="FB19">
            <v>0.08</v>
          </cell>
          <cell r="FC19">
            <v>0.08</v>
          </cell>
          <cell r="FD19">
            <v>0.08</v>
          </cell>
          <cell r="FE19">
            <v>0.08</v>
          </cell>
          <cell r="FF19">
            <v>0.08</v>
          </cell>
          <cell r="FG19">
            <v>0.08</v>
          </cell>
        </row>
        <row r="20">
          <cell r="C20" t="str">
            <v>C3 Aircross Turbo 125 CVT Shine 7P</v>
          </cell>
          <cell r="D20" t="str">
            <v>C3 Aircross Turbo 125 CVT Shine 7P</v>
          </cell>
          <cell r="G20">
            <v>0.05</v>
          </cell>
          <cell r="H20">
            <v>0.05</v>
          </cell>
          <cell r="I20">
            <v>0.05</v>
          </cell>
          <cell r="J20">
            <v>0.05</v>
          </cell>
          <cell r="K20">
            <v>0.05</v>
          </cell>
          <cell r="L20">
            <v>0.05</v>
          </cell>
          <cell r="M20">
            <v>0.05</v>
          </cell>
          <cell r="N20">
            <v>0.05</v>
          </cell>
          <cell r="O20">
            <v>0.05</v>
          </cell>
          <cell r="P20">
            <v>0.05</v>
          </cell>
          <cell r="Q20">
            <v>0.05</v>
          </cell>
          <cell r="R20">
            <v>0.05</v>
          </cell>
          <cell r="U20">
            <v>0.5</v>
          </cell>
          <cell r="V20">
            <v>0</v>
          </cell>
          <cell r="W20">
            <v>0.5</v>
          </cell>
          <cell r="X20">
            <v>0.5</v>
          </cell>
          <cell r="Y20">
            <v>0</v>
          </cell>
          <cell r="Z20">
            <v>0.5</v>
          </cell>
          <cell r="AA20">
            <v>0.5</v>
          </cell>
          <cell r="AB20">
            <v>0</v>
          </cell>
          <cell r="AC20">
            <v>0.5</v>
          </cell>
          <cell r="AD20">
            <v>0.5</v>
          </cell>
          <cell r="AE20">
            <v>0</v>
          </cell>
          <cell r="AF20">
            <v>0.5</v>
          </cell>
          <cell r="AG20">
            <v>0.5</v>
          </cell>
          <cell r="AH20">
            <v>0</v>
          </cell>
          <cell r="AI20">
            <v>0.5</v>
          </cell>
          <cell r="AJ20">
            <v>0.5</v>
          </cell>
          <cell r="AK20">
            <v>0</v>
          </cell>
          <cell r="AL20">
            <v>0.5</v>
          </cell>
          <cell r="AM20">
            <v>0.5</v>
          </cell>
          <cell r="AN20">
            <v>0</v>
          </cell>
          <cell r="AO20">
            <v>0.5</v>
          </cell>
          <cell r="AP20">
            <v>0.5</v>
          </cell>
          <cell r="AQ20">
            <v>0</v>
          </cell>
          <cell r="AR20">
            <v>0.5</v>
          </cell>
          <cell r="AS20">
            <v>0.5</v>
          </cell>
          <cell r="AT20">
            <v>0</v>
          </cell>
          <cell r="AU20">
            <v>0.5</v>
          </cell>
          <cell r="AV20">
            <v>0.5</v>
          </cell>
          <cell r="AW20">
            <v>0</v>
          </cell>
          <cell r="AX20">
            <v>0.5</v>
          </cell>
          <cell r="AY20">
            <v>0.5</v>
          </cell>
          <cell r="AZ20">
            <v>0</v>
          </cell>
          <cell r="BA20">
            <v>0.5</v>
          </cell>
          <cell r="BB20">
            <v>0.5</v>
          </cell>
          <cell r="BC20">
            <v>0</v>
          </cell>
          <cell r="BD20">
            <v>0.5</v>
          </cell>
          <cell r="BG20">
            <v>0.06</v>
          </cell>
          <cell r="BH20">
            <v>0.08</v>
          </cell>
          <cell r="BI20">
            <v>0.1</v>
          </cell>
          <cell r="BJ20">
            <v>0.06</v>
          </cell>
          <cell r="BK20">
            <v>0.08</v>
          </cell>
          <cell r="BL20">
            <v>0.1</v>
          </cell>
          <cell r="BM20">
            <v>0.06</v>
          </cell>
          <cell r="BN20">
            <v>0.08</v>
          </cell>
          <cell r="BO20">
            <v>0.1</v>
          </cell>
          <cell r="BP20">
            <v>0.06</v>
          </cell>
          <cell r="BQ20">
            <v>0.08</v>
          </cell>
          <cell r="BR20">
            <v>0.1</v>
          </cell>
          <cell r="BS20">
            <v>0.06</v>
          </cell>
          <cell r="BT20">
            <v>0.08</v>
          </cell>
          <cell r="BU20">
            <v>0.1</v>
          </cell>
          <cell r="BV20">
            <v>0.06</v>
          </cell>
          <cell r="BW20">
            <v>0.08</v>
          </cell>
          <cell r="BX20">
            <v>0.1</v>
          </cell>
          <cell r="BY20">
            <v>0.06</v>
          </cell>
          <cell r="BZ20">
            <v>0.08</v>
          </cell>
          <cell r="CA20">
            <v>0.1</v>
          </cell>
          <cell r="CB20">
            <v>0.06</v>
          </cell>
          <cell r="CC20">
            <v>0.08</v>
          </cell>
          <cell r="CD20">
            <v>0.1</v>
          </cell>
          <cell r="CE20">
            <v>0.06</v>
          </cell>
          <cell r="CF20">
            <v>0.08</v>
          </cell>
          <cell r="CG20">
            <v>0.1</v>
          </cell>
          <cell r="CH20">
            <v>0.06</v>
          </cell>
          <cell r="CI20">
            <v>0.08</v>
          </cell>
          <cell r="CJ20">
            <v>0.1</v>
          </cell>
          <cell r="CK20">
            <v>0.06</v>
          </cell>
          <cell r="CL20">
            <v>0.08</v>
          </cell>
          <cell r="CM20">
            <v>0.1</v>
          </cell>
          <cell r="CN20">
            <v>0.06</v>
          </cell>
          <cell r="CO20">
            <v>0.08</v>
          </cell>
          <cell r="CP20">
            <v>0.1</v>
          </cell>
          <cell r="CQ20">
            <v>0.06</v>
          </cell>
          <cell r="CR20">
            <v>0.08</v>
          </cell>
          <cell r="CS20">
            <v>0.1</v>
          </cell>
          <cell r="CV20">
            <v>5.5E-2</v>
          </cell>
          <cell r="CW20">
            <v>5.5E-2</v>
          </cell>
          <cell r="CX20">
            <v>0.03</v>
          </cell>
          <cell r="CY20">
            <v>5.5E-2</v>
          </cell>
          <cell r="CZ20">
            <v>5.5E-2</v>
          </cell>
          <cell r="DA20">
            <v>0.03</v>
          </cell>
          <cell r="DB20">
            <v>5.5E-2</v>
          </cell>
          <cell r="DC20">
            <v>5.5E-2</v>
          </cell>
          <cell r="DD20">
            <v>0.03</v>
          </cell>
          <cell r="DE20">
            <v>5.5E-2</v>
          </cell>
          <cell r="DF20">
            <v>5.5E-2</v>
          </cell>
          <cell r="DG20">
            <v>0.03</v>
          </cell>
          <cell r="DH20">
            <v>5.5E-2</v>
          </cell>
          <cell r="DI20">
            <v>5.5E-2</v>
          </cell>
          <cell r="DJ20">
            <v>0.03</v>
          </cell>
          <cell r="DK20">
            <v>5.5E-2</v>
          </cell>
          <cell r="DL20">
            <v>5.5E-2</v>
          </cell>
          <cell r="DM20">
            <v>0.03</v>
          </cell>
          <cell r="DN20">
            <v>5.5E-2</v>
          </cell>
          <cell r="DO20">
            <v>5.5E-2</v>
          </cell>
          <cell r="DP20">
            <v>0.03</v>
          </cell>
          <cell r="DQ20">
            <v>5.5E-2</v>
          </cell>
          <cell r="DR20">
            <v>5.5E-2</v>
          </cell>
          <cell r="DS20">
            <v>0.03</v>
          </cell>
          <cell r="DT20">
            <v>5.5E-2</v>
          </cell>
          <cell r="DU20">
            <v>5.5E-2</v>
          </cell>
          <cell r="DV20">
            <v>0.03</v>
          </cell>
          <cell r="DW20">
            <v>5.5E-2</v>
          </cell>
          <cell r="DX20">
            <v>5.5E-2</v>
          </cell>
          <cell r="DY20">
            <v>0.03</v>
          </cell>
          <cell r="DZ20">
            <v>5.5E-2</v>
          </cell>
          <cell r="EA20">
            <v>5.5E-2</v>
          </cell>
          <cell r="EB20">
            <v>0.03</v>
          </cell>
          <cell r="EC20">
            <v>5.5E-2</v>
          </cell>
          <cell r="ED20">
            <v>5.5E-2</v>
          </cell>
          <cell r="EE20">
            <v>0.03</v>
          </cell>
          <cell r="EG20">
            <v>3.2500000000000001E-2</v>
          </cell>
          <cell r="EH20">
            <v>3.2500000000000001E-2</v>
          </cell>
          <cell r="EI20">
            <v>3.2500000000000001E-2</v>
          </cell>
          <cell r="EJ20">
            <v>3.2500000000000001E-2</v>
          </cell>
          <cell r="EK20">
            <v>3.2500000000000001E-2</v>
          </cell>
          <cell r="EL20">
            <v>3.2500000000000001E-2</v>
          </cell>
          <cell r="EM20">
            <v>3.2500000000000001E-2</v>
          </cell>
          <cell r="EN20">
            <v>3.2500000000000001E-2</v>
          </cell>
          <cell r="EO20">
            <v>3.2500000000000001E-2</v>
          </cell>
          <cell r="EP20">
            <v>3.2500000000000001E-2</v>
          </cell>
          <cell r="EQ20">
            <v>3.2500000000000001E-2</v>
          </cell>
          <cell r="ER20">
            <v>3.2500000000000001E-2</v>
          </cell>
          <cell r="ES20">
            <v>3.2500000000000001E-2</v>
          </cell>
          <cell r="EU20">
            <v>0.08</v>
          </cell>
          <cell r="EV20">
            <v>0.08</v>
          </cell>
          <cell r="EW20">
            <v>0.08</v>
          </cell>
          <cell r="EX20">
            <v>0.08</v>
          </cell>
          <cell r="EY20">
            <v>0.08</v>
          </cell>
          <cell r="EZ20">
            <v>0.08</v>
          </cell>
          <cell r="FA20">
            <v>0.08</v>
          </cell>
          <cell r="FB20">
            <v>0.08</v>
          </cell>
          <cell r="FC20">
            <v>0.08</v>
          </cell>
          <cell r="FD20">
            <v>0.08</v>
          </cell>
          <cell r="FE20">
            <v>0.08</v>
          </cell>
          <cell r="FF20">
            <v>0.08</v>
          </cell>
          <cell r="FG20">
            <v>0.08</v>
          </cell>
        </row>
        <row r="21">
          <cell r="C21" t="str">
            <v>C3 Aircross Max Gasolina 100HP MT</v>
          </cell>
          <cell r="D21" t="str">
            <v>C3 Aircross Max Gasolina 100HP MT</v>
          </cell>
          <cell r="G21">
            <v>0.05</v>
          </cell>
          <cell r="H21">
            <v>0.05</v>
          </cell>
          <cell r="I21">
            <v>0.05</v>
          </cell>
          <cell r="J21">
            <v>0.05</v>
          </cell>
          <cell r="K21">
            <v>0.05</v>
          </cell>
          <cell r="L21">
            <v>0.05</v>
          </cell>
          <cell r="M21">
            <v>0.05</v>
          </cell>
          <cell r="N21">
            <v>0.05</v>
          </cell>
          <cell r="O21">
            <v>0.05</v>
          </cell>
          <cell r="P21">
            <v>0.05</v>
          </cell>
          <cell r="Q21">
            <v>0.05</v>
          </cell>
          <cell r="R21">
            <v>0.05</v>
          </cell>
          <cell r="U21">
            <v>0.5</v>
          </cell>
          <cell r="V21">
            <v>0</v>
          </cell>
          <cell r="W21">
            <v>0.5</v>
          </cell>
          <cell r="X21">
            <v>0.5</v>
          </cell>
          <cell r="Y21">
            <v>0</v>
          </cell>
          <cell r="Z21">
            <v>0.5</v>
          </cell>
          <cell r="AA21">
            <v>0.5</v>
          </cell>
          <cell r="AB21">
            <v>0</v>
          </cell>
          <cell r="AC21">
            <v>0.5</v>
          </cell>
          <cell r="AD21">
            <v>0.5</v>
          </cell>
          <cell r="AE21">
            <v>0</v>
          </cell>
          <cell r="AF21">
            <v>0.5</v>
          </cell>
          <cell r="AG21">
            <v>0.5</v>
          </cell>
          <cell r="AH21">
            <v>0</v>
          </cell>
          <cell r="AI21">
            <v>0.5</v>
          </cell>
          <cell r="AJ21">
            <v>0.5</v>
          </cell>
          <cell r="AK21">
            <v>0</v>
          </cell>
          <cell r="AL21">
            <v>0.5</v>
          </cell>
          <cell r="AM21">
            <v>0.5</v>
          </cell>
          <cell r="AN21">
            <v>0</v>
          </cell>
          <cell r="AO21">
            <v>0.5</v>
          </cell>
          <cell r="AP21">
            <v>0.5</v>
          </cell>
          <cell r="AQ21">
            <v>0</v>
          </cell>
          <cell r="AR21">
            <v>0.5</v>
          </cell>
          <cell r="AS21">
            <v>0.5</v>
          </cell>
          <cell r="AT21">
            <v>0</v>
          </cell>
          <cell r="AU21">
            <v>0.5</v>
          </cell>
          <cell r="AV21">
            <v>0.5</v>
          </cell>
          <cell r="AW21">
            <v>0</v>
          </cell>
          <cell r="AX21">
            <v>0.5</v>
          </cell>
          <cell r="AY21">
            <v>0.5</v>
          </cell>
          <cell r="AZ21">
            <v>0</v>
          </cell>
          <cell r="BA21">
            <v>0.5</v>
          </cell>
          <cell r="BB21">
            <v>0.5</v>
          </cell>
          <cell r="BC21">
            <v>0</v>
          </cell>
          <cell r="BD21">
            <v>0.5</v>
          </cell>
          <cell r="BG21">
            <v>0.06</v>
          </cell>
          <cell r="BH21">
            <v>0.08</v>
          </cell>
          <cell r="BI21">
            <v>0.1</v>
          </cell>
          <cell r="BJ21">
            <v>0.06</v>
          </cell>
          <cell r="BK21">
            <v>0.08</v>
          </cell>
          <cell r="BL21">
            <v>0.1</v>
          </cell>
          <cell r="BM21">
            <v>0.06</v>
          </cell>
          <cell r="BN21">
            <v>0.08</v>
          </cell>
          <cell r="BO21">
            <v>0.1</v>
          </cell>
          <cell r="BP21">
            <v>0.06</v>
          </cell>
          <cell r="BQ21">
            <v>0.08</v>
          </cell>
          <cell r="BR21">
            <v>0.1</v>
          </cell>
          <cell r="BS21">
            <v>0.06</v>
          </cell>
          <cell r="BT21">
            <v>0.08</v>
          </cell>
          <cell r="BU21">
            <v>0.1</v>
          </cell>
          <cell r="BV21">
            <v>0.06</v>
          </cell>
          <cell r="BW21">
            <v>0.08</v>
          </cell>
          <cell r="BX21">
            <v>0.1</v>
          </cell>
          <cell r="BY21">
            <v>0.06</v>
          </cell>
          <cell r="BZ21">
            <v>0.08</v>
          </cell>
          <cell r="CA21">
            <v>0.1</v>
          </cell>
          <cell r="CB21">
            <v>0.06</v>
          </cell>
          <cell r="CC21">
            <v>0.08</v>
          </cell>
          <cell r="CD21">
            <v>0.1</v>
          </cell>
          <cell r="CE21">
            <v>0.06</v>
          </cell>
          <cell r="CF21">
            <v>0.08</v>
          </cell>
          <cell r="CG21">
            <v>0.1</v>
          </cell>
          <cell r="CH21">
            <v>0.06</v>
          </cell>
          <cell r="CI21">
            <v>0.08</v>
          </cell>
          <cell r="CJ21">
            <v>0.1</v>
          </cell>
          <cell r="CK21">
            <v>0.06</v>
          </cell>
          <cell r="CL21">
            <v>0.08</v>
          </cell>
          <cell r="CM21">
            <v>0.1</v>
          </cell>
          <cell r="CN21">
            <v>0.06</v>
          </cell>
          <cell r="CO21">
            <v>0.08</v>
          </cell>
          <cell r="CP21">
            <v>0.1</v>
          </cell>
          <cell r="CQ21">
            <v>0.06</v>
          </cell>
          <cell r="CR21">
            <v>0.08</v>
          </cell>
          <cell r="CS21">
            <v>0.1</v>
          </cell>
          <cell r="CV21">
            <v>5.5E-2</v>
          </cell>
          <cell r="CW21">
            <v>5.5E-2</v>
          </cell>
          <cell r="CX21">
            <v>0.03</v>
          </cell>
          <cell r="CY21">
            <v>5.5E-2</v>
          </cell>
          <cell r="CZ21">
            <v>5.5E-2</v>
          </cell>
          <cell r="DA21">
            <v>0.03</v>
          </cell>
          <cell r="DB21">
            <v>5.5E-2</v>
          </cell>
          <cell r="DC21">
            <v>5.5E-2</v>
          </cell>
          <cell r="DD21">
            <v>0.03</v>
          </cell>
          <cell r="DE21">
            <v>5.5E-2</v>
          </cell>
          <cell r="DF21">
            <v>5.5E-2</v>
          </cell>
          <cell r="DG21">
            <v>0.03</v>
          </cell>
          <cell r="DH21">
            <v>5.5E-2</v>
          </cell>
          <cell r="DI21">
            <v>5.5E-2</v>
          </cell>
          <cell r="DJ21">
            <v>0.03</v>
          </cell>
          <cell r="DK21">
            <v>5.5E-2</v>
          </cell>
          <cell r="DL21">
            <v>5.5E-2</v>
          </cell>
          <cell r="DM21">
            <v>0.03</v>
          </cell>
          <cell r="DN21">
            <v>5.5E-2</v>
          </cell>
          <cell r="DO21">
            <v>5.5E-2</v>
          </cell>
          <cell r="DP21">
            <v>0.03</v>
          </cell>
          <cell r="DQ21">
            <v>5.5E-2</v>
          </cell>
          <cell r="DR21">
            <v>5.5E-2</v>
          </cell>
          <cell r="DS21">
            <v>0.03</v>
          </cell>
          <cell r="DT21">
            <v>5.5E-2</v>
          </cell>
          <cell r="DU21">
            <v>5.5E-2</v>
          </cell>
          <cell r="DV21">
            <v>0.03</v>
          </cell>
          <cell r="DW21">
            <v>5.5E-2</v>
          </cell>
          <cell r="DX21">
            <v>5.5E-2</v>
          </cell>
          <cell r="DY21">
            <v>0.03</v>
          </cell>
          <cell r="DZ21">
            <v>5.5E-2</v>
          </cell>
          <cell r="EA21">
            <v>5.5E-2</v>
          </cell>
          <cell r="EB21">
            <v>0.03</v>
          </cell>
          <cell r="EC21">
            <v>5.5E-2</v>
          </cell>
          <cell r="ED21">
            <v>5.5E-2</v>
          </cell>
          <cell r="EE21">
            <v>0.03</v>
          </cell>
          <cell r="EG21">
            <v>3.2500000000000001E-2</v>
          </cell>
          <cell r="EH21">
            <v>3.2500000000000001E-2</v>
          </cell>
          <cell r="EI21">
            <v>3.2500000000000001E-2</v>
          </cell>
          <cell r="EJ21">
            <v>3.2500000000000001E-2</v>
          </cell>
          <cell r="EK21">
            <v>3.2500000000000001E-2</v>
          </cell>
          <cell r="EL21">
            <v>3.2500000000000001E-2</v>
          </cell>
          <cell r="EM21">
            <v>3.2500000000000001E-2</v>
          </cell>
          <cell r="EN21">
            <v>3.2500000000000001E-2</v>
          </cell>
          <cell r="EO21">
            <v>3.2500000000000001E-2</v>
          </cell>
          <cell r="EP21">
            <v>3.2500000000000001E-2</v>
          </cell>
          <cell r="EQ21">
            <v>3.2500000000000001E-2</v>
          </cell>
          <cell r="ER21">
            <v>3.2500000000000001E-2</v>
          </cell>
          <cell r="ES21">
            <v>3.2500000000000001E-2</v>
          </cell>
          <cell r="EU21">
            <v>0.08</v>
          </cell>
          <cell r="EV21">
            <v>0.08</v>
          </cell>
          <cell r="EW21">
            <v>0.08</v>
          </cell>
          <cell r="EX21">
            <v>0.08</v>
          </cell>
          <cell r="EY21">
            <v>0.08</v>
          </cell>
          <cell r="EZ21">
            <v>0.08</v>
          </cell>
          <cell r="FA21">
            <v>0.08</v>
          </cell>
          <cell r="FB21">
            <v>0.08</v>
          </cell>
          <cell r="FC21">
            <v>0.08</v>
          </cell>
          <cell r="FD21">
            <v>0.08</v>
          </cell>
          <cell r="FE21">
            <v>0.08</v>
          </cell>
          <cell r="FF21">
            <v>0.08</v>
          </cell>
          <cell r="FG21">
            <v>0.08</v>
          </cell>
        </row>
        <row r="22">
          <cell r="C22" t="str">
            <v>Basalt Feel Pack Gasolina 96HP MT</v>
          </cell>
          <cell r="D22" t="str">
            <v>Basalt Feel Pack Gasolina 96HP MT</v>
          </cell>
          <cell r="G22">
            <v>0.05</v>
          </cell>
          <cell r="H22">
            <v>0.05</v>
          </cell>
          <cell r="I22">
            <v>0.05</v>
          </cell>
          <cell r="J22">
            <v>0.05</v>
          </cell>
          <cell r="K22">
            <v>0.05</v>
          </cell>
          <cell r="L22">
            <v>0.05</v>
          </cell>
          <cell r="M22">
            <v>0.05</v>
          </cell>
          <cell r="N22">
            <v>0.05</v>
          </cell>
          <cell r="O22">
            <v>0.05</v>
          </cell>
          <cell r="P22">
            <v>0.05</v>
          </cell>
          <cell r="Q22">
            <v>0.05</v>
          </cell>
          <cell r="R22">
            <v>0.05</v>
          </cell>
          <cell r="U22">
            <v>0.5</v>
          </cell>
          <cell r="V22">
            <v>0</v>
          </cell>
          <cell r="W22">
            <v>0.5</v>
          </cell>
          <cell r="X22">
            <v>0.5</v>
          </cell>
          <cell r="Y22">
            <v>0</v>
          </cell>
          <cell r="Z22">
            <v>0.5</v>
          </cell>
          <cell r="AA22">
            <v>0.5</v>
          </cell>
          <cell r="AB22">
            <v>0</v>
          </cell>
          <cell r="AC22">
            <v>0.5</v>
          </cell>
          <cell r="AD22">
            <v>0.5</v>
          </cell>
          <cell r="AE22">
            <v>0</v>
          </cell>
          <cell r="AF22">
            <v>0.5</v>
          </cell>
          <cell r="AG22">
            <v>0.5</v>
          </cell>
          <cell r="AH22">
            <v>0</v>
          </cell>
          <cell r="AI22">
            <v>0.5</v>
          </cell>
          <cell r="AJ22">
            <v>0.5</v>
          </cell>
          <cell r="AK22">
            <v>0</v>
          </cell>
          <cell r="AL22">
            <v>0.5</v>
          </cell>
          <cell r="AM22">
            <v>0.5</v>
          </cell>
          <cell r="AN22">
            <v>0</v>
          </cell>
          <cell r="AO22">
            <v>0.5</v>
          </cell>
          <cell r="AP22">
            <v>0.5</v>
          </cell>
          <cell r="AQ22">
            <v>0</v>
          </cell>
          <cell r="AR22">
            <v>0.5</v>
          </cell>
          <cell r="AS22">
            <v>0.5</v>
          </cell>
          <cell r="AT22">
            <v>0</v>
          </cell>
          <cell r="AU22">
            <v>0.5</v>
          </cell>
          <cell r="AV22">
            <v>0.5</v>
          </cell>
          <cell r="AW22">
            <v>0</v>
          </cell>
          <cell r="AX22">
            <v>0.5</v>
          </cell>
          <cell r="AY22">
            <v>0.5</v>
          </cell>
          <cell r="AZ22">
            <v>0</v>
          </cell>
          <cell r="BA22">
            <v>0.5</v>
          </cell>
          <cell r="BB22">
            <v>0.5</v>
          </cell>
          <cell r="BC22">
            <v>0</v>
          </cell>
          <cell r="BD22">
            <v>0.5</v>
          </cell>
          <cell r="BG22">
            <v>0.06</v>
          </cell>
          <cell r="BH22">
            <v>0.08</v>
          </cell>
          <cell r="BI22">
            <v>0.1</v>
          </cell>
          <cell r="BJ22">
            <v>0.06</v>
          </cell>
          <cell r="BK22">
            <v>0.08</v>
          </cell>
          <cell r="BL22">
            <v>0.1</v>
          </cell>
          <cell r="BM22">
            <v>0.06</v>
          </cell>
          <cell r="BN22">
            <v>0.08</v>
          </cell>
          <cell r="BO22">
            <v>0.1</v>
          </cell>
          <cell r="BP22">
            <v>0.06</v>
          </cell>
          <cell r="BQ22">
            <v>0.08</v>
          </cell>
          <cell r="BR22">
            <v>0.1</v>
          </cell>
          <cell r="BS22">
            <v>0.06</v>
          </cell>
          <cell r="BT22">
            <v>0.08</v>
          </cell>
          <cell r="BU22">
            <v>0.1</v>
          </cell>
          <cell r="BV22">
            <v>0.06</v>
          </cell>
          <cell r="BW22">
            <v>0.08</v>
          </cell>
          <cell r="BX22">
            <v>0.1</v>
          </cell>
          <cell r="BY22">
            <v>0.06</v>
          </cell>
          <cell r="BZ22">
            <v>0.08</v>
          </cell>
          <cell r="CA22">
            <v>0.1</v>
          </cell>
          <cell r="CB22">
            <v>0.06</v>
          </cell>
          <cell r="CC22">
            <v>0.08</v>
          </cell>
          <cell r="CD22">
            <v>0.1</v>
          </cell>
          <cell r="CE22">
            <v>0.06</v>
          </cell>
          <cell r="CF22">
            <v>0.08</v>
          </cell>
          <cell r="CG22">
            <v>0.1</v>
          </cell>
          <cell r="CH22">
            <v>0.06</v>
          </cell>
          <cell r="CI22">
            <v>0.08</v>
          </cell>
          <cell r="CJ22">
            <v>0.1</v>
          </cell>
          <cell r="CK22">
            <v>0.06</v>
          </cell>
          <cell r="CL22">
            <v>0.08</v>
          </cell>
          <cell r="CM22">
            <v>0.1</v>
          </cell>
          <cell r="CN22">
            <v>0.06</v>
          </cell>
          <cell r="CO22">
            <v>0.08</v>
          </cell>
          <cell r="CP22">
            <v>0.1</v>
          </cell>
          <cell r="CQ22">
            <v>0.06</v>
          </cell>
          <cell r="CR22">
            <v>0.08</v>
          </cell>
          <cell r="CS22">
            <v>0.1</v>
          </cell>
          <cell r="CV22">
            <v>5.5E-2</v>
          </cell>
          <cell r="CW22">
            <v>4.4999999999999998E-2</v>
          </cell>
          <cell r="CX22">
            <v>0.03</v>
          </cell>
          <cell r="CY22">
            <v>5.5E-2</v>
          </cell>
          <cell r="CZ22">
            <v>4.4999999999999998E-2</v>
          </cell>
          <cell r="DA22">
            <v>0.03</v>
          </cell>
          <cell r="DB22">
            <v>5.5E-2</v>
          </cell>
          <cell r="DC22">
            <v>4.4999999999999998E-2</v>
          </cell>
          <cell r="DD22">
            <v>0.03</v>
          </cell>
          <cell r="DE22">
            <v>5.5E-2</v>
          </cell>
          <cell r="DF22">
            <v>4.4999999999999998E-2</v>
          </cell>
          <cell r="DG22">
            <v>0.03</v>
          </cell>
          <cell r="DH22">
            <v>5.5E-2</v>
          </cell>
          <cell r="DI22">
            <v>4.4999999999999998E-2</v>
          </cell>
          <cell r="DJ22">
            <v>0.03</v>
          </cell>
          <cell r="DK22">
            <v>5.5E-2</v>
          </cell>
          <cell r="DL22">
            <v>4.4999999999999998E-2</v>
          </cell>
          <cell r="DM22">
            <v>0.03</v>
          </cell>
          <cell r="DN22">
            <v>5.5E-2</v>
          </cell>
          <cell r="DO22">
            <v>4.4999999999999998E-2</v>
          </cell>
          <cell r="DP22">
            <v>0.03</v>
          </cell>
          <cell r="DQ22">
            <v>5.5E-2</v>
          </cell>
          <cell r="DR22">
            <v>4.4999999999999998E-2</v>
          </cell>
          <cell r="DS22">
            <v>0.03</v>
          </cell>
          <cell r="DT22">
            <v>5.5E-2</v>
          </cell>
          <cell r="DU22">
            <v>4.4999999999999998E-2</v>
          </cell>
          <cell r="DV22">
            <v>0.03</v>
          </cell>
          <cell r="DW22">
            <v>5.5E-2</v>
          </cell>
          <cell r="DX22">
            <v>4.4999999999999998E-2</v>
          </cell>
          <cell r="DY22">
            <v>0.03</v>
          </cell>
          <cell r="DZ22">
            <v>5.5E-2</v>
          </cell>
          <cell r="EA22">
            <v>4.4999999999999998E-2</v>
          </cell>
          <cell r="EB22">
            <v>0.03</v>
          </cell>
          <cell r="EC22">
            <v>5.5E-2</v>
          </cell>
          <cell r="ED22">
            <v>4.4999999999999998E-2</v>
          </cell>
          <cell r="EE22">
            <v>0.03</v>
          </cell>
          <cell r="EG22">
            <v>3.2500000000000001E-2</v>
          </cell>
          <cell r="EH22">
            <v>3.2500000000000001E-2</v>
          </cell>
          <cell r="EI22">
            <v>3.2500000000000001E-2</v>
          </cell>
          <cell r="EJ22">
            <v>3.2500000000000001E-2</v>
          </cell>
          <cell r="EK22">
            <v>3.2500000000000001E-2</v>
          </cell>
          <cell r="EL22">
            <v>3.2500000000000001E-2</v>
          </cell>
          <cell r="EM22">
            <v>3.2500000000000001E-2</v>
          </cell>
          <cell r="EN22">
            <v>3.2500000000000001E-2</v>
          </cell>
          <cell r="EO22">
            <v>3.2500000000000001E-2</v>
          </cell>
          <cell r="EP22">
            <v>3.2500000000000001E-2</v>
          </cell>
          <cell r="EQ22">
            <v>3.2500000000000001E-2</v>
          </cell>
          <cell r="ER22">
            <v>3.2500000000000001E-2</v>
          </cell>
          <cell r="ES22">
            <v>3.2500000000000001E-2</v>
          </cell>
          <cell r="EU22">
            <v>0.08</v>
          </cell>
          <cell r="EV22">
            <v>0.08</v>
          </cell>
          <cell r="EW22">
            <v>0.08</v>
          </cell>
          <cell r="EX22">
            <v>0.08</v>
          </cell>
          <cell r="EY22">
            <v>0.08</v>
          </cell>
          <cell r="EZ22">
            <v>0.08</v>
          </cell>
          <cell r="FA22">
            <v>0.08</v>
          </cell>
          <cell r="FB22">
            <v>0.08</v>
          </cell>
          <cell r="FC22">
            <v>0.08</v>
          </cell>
          <cell r="FD22">
            <v>0.08</v>
          </cell>
          <cell r="FE22">
            <v>0.08</v>
          </cell>
          <cell r="FF22">
            <v>0.08</v>
          </cell>
          <cell r="FG22">
            <v>0.08</v>
          </cell>
        </row>
        <row r="23">
          <cell r="C23" t="str">
            <v>Basalt Turbo 125 CVT SHINE</v>
          </cell>
          <cell r="D23" t="str">
            <v>Basalt Turbo 125 CVT SHINE</v>
          </cell>
          <cell r="G23">
            <v>0.05</v>
          </cell>
          <cell r="H23">
            <v>0.05</v>
          </cell>
          <cell r="I23">
            <v>0.05</v>
          </cell>
          <cell r="J23">
            <v>0.05</v>
          </cell>
          <cell r="K23">
            <v>0.05</v>
          </cell>
          <cell r="L23">
            <v>0.05</v>
          </cell>
          <cell r="M23">
            <v>0.05</v>
          </cell>
          <cell r="N23">
            <v>0.05</v>
          </cell>
          <cell r="O23">
            <v>0.05</v>
          </cell>
          <cell r="P23">
            <v>0.05</v>
          </cell>
          <cell r="Q23">
            <v>0.05</v>
          </cell>
          <cell r="R23">
            <v>0.05</v>
          </cell>
          <cell r="U23">
            <v>0.5</v>
          </cell>
          <cell r="V23">
            <v>0</v>
          </cell>
          <cell r="W23">
            <v>0.5</v>
          </cell>
          <cell r="X23">
            <v>0.5</v>
          </cell>
          <cell r="Y23">
            <v>0</v>
          </cell>
          <cell r="Z23">
            <v>0.5</v>
          </cell>
          <cell r="AA23">
            <v>0.5</v>
          </cell>
          <cell r="AB23">
            <v>0</v>
          </cell>
          <cell r="AC23">
            <v>0.5</v>
          </cell>
          <cell r="AD23">
            <v>0.5</v>
          </cell>
          <cell r="AE23">
            <v>0</v>
          </cell>
          <cell r="AF23">
            <v>0.5</v>
          </cell>
          <cell r="AG23">
            <v>0.5</v>
          </cell>
          <cell r="AH23">
            <v>0</v>
          </cell>
          <cell r="AI23">
            <v>0.5</v>
          </cell>
          <cell r="AJ23">
            <v>0.5</v>
          </cell>
          <cell r="AK23">
            <v>0</v>
          </cell>
          <cell r="AL23">
            <v>0.5</v>
          </cell>
          <cell r="AM23">
            <v>0.5</v>
          </cell>
          <cell r="AN23">
            <v>0</v>
          </cell>
          <cell r="AO23">
            <v>0.5</v>
          </cell>
          <cell r="AP23">
            <v>0.5</v>
          </cell>
          <cell r="AQ23">
            <v>0</v>
          </cell>
          <cell r="AR23">
            <v>0.5</v>
          </cell>
          <cell r="AS23">
            <v>0.5</v>
          </cell>
          <cell r="AT23">
            <v>0</v>
          </cell>
          <cell r="AU23">
            <v>0.5</v>
          </cell>
          <cell r="AV23">
            <v>0.5</v>
          </cell>
          <cell r="AW23">
            <v>0</v>
          </cell>
          <cell r="AX23">
            <v>0.5</v>
          </cell>
          <cell r="AY23">
            <v>0.5</v>
          </cell>
          <cell r="AZ23">
            <v>0</v>
          </cell>
          <cell r="BA23">
            <v>0.5</v>
          </cell>
          <cell r="BB23">
            <v>0.5</v>
          </cell>
          <cell r="BC23">
            <v>0</v>
          </cell>
          <cell r="BD23">
            <v>0.5</v>
          </cell>
          <cell r="BG23">
            <v>0.06</v>
          </cell>
          <cell r="BH23">
            <v>0.08</v>
          </cell>
          <cell r="BI23">
            <v>0.1</v>
          </cell>
          <cell r="BJ23">
            <v>0.06</v>
          </cell>
          <cell r="BK23">
            <v>0.08</v>
          </cell>
          <cell r="BL23">
            <v>0.1</v>
          </cell>
          <cell r="BM23">
            <v>0.06</v>
          </cell>
          <cell r="BN23">
            <v>0.08</v>
          </cell>
          <cell r="BO23">
            <v>0.1</v>
          </cell>
          <cell r="BP23">
            <v>0.06</v>
          </cell>
          <cell r="BQ23">
            <v>0.08</v>
          </cell>
          <cell r="BR23">
            <v>0.1</v>
          </cell>
          <cell r="BS23">
            <v>0.06</v>
          </cell>
          <cell r="BT23">
            <v>0.08</v>
          </cell>
          <cell r="BU23">
            <v>0.1</v>
          </cell>
          <cell r="BV23">
            <v>0.06</v>
          </cell>
          <cell r="BW23">
            <v>0.08</v>
          </cell>
          <cell r="BX23">
            <v>0.1</v>
          </cell>
          <cell r="BY23">
            <v>0.06</v>
          </cell>
          <cell r="BZ23">
            <v>0.08</v>
          </cell>
          <cell r="CA23">
            <v>0.1</v>
          </cell>
          <cell r="CB23">
            <v>0.06</v>
          </cell>
          <cell r="CC23">
            <v>0.08</v>
          </cell>
          <cell r="CD23">
            <v>0.1</v>
          </cell>
          <cell r="CE23">
            <v>0.06</v>
          </cell>
          <cell r="CF23">
            <v>0.08</v>
          </cell>
          <cell r="CG23">
            <v>0.1</v>
          </cell>
          <cell r="CH23">
            <v>0.06</v>
          </cell>
          <cell r="CI23">
            <v>0.08</v>
          </cell>
          <cell r="CJ23">
            <v>0.1</v>
          </cell>
          <cell r="CK23">
            <v>0.06</v>
          </cell>
          <cell r="CL23">
            <v>0.08</v>
          </cell>
          <cell r="CM23">
            <v>0.1</v>
          </cell>
          <cell r="CN23">
            <v>0.06</v>
          </cell>
          <cell r="CO23">
            <v>0.08</v>
          </cell>
          <cell r="CP23">
            <v>0.1</v>
          </cell>
          <cell r="CQ23">
            <v>0.06</v>
          </cell>
          <cell r="CR23">
            <v>0.08</v>
          </cell>
          <cell r="CS23">
            <v>0.1</v>
          </cell>
          <cell r="CV23">
            <v>5.5E-2</v>
          </cell>
          <cell r="CW23">
            <v>4.4999999999999998E-2</v>
          </cell>
          <cell r="CX23">
            <v>0.03</v>
          </cell>
          <cell r="CY23">
            <v>5.5E-2</v>
          </cell>
          <cell r="CZ23">
            <v>4.4999999999999998E-2</v>
          </cell>
          <cell r="DA23">
            <v>0.03</v>
          </cell>
          <cell r="DB23">
            <v>5.5E-2</v>
          </cell>
          <cell r="DC23">
            <v>4.4999999999999998E-2</v>
          </cell>
          <cell r="DD23">
            <v>0.03</v>
          </cell>
          <cell r="DE23">
            <v>5.5E-2</v>
          </cell>
          <cell r="DF23">
            <v>4.4999999999999998E-2</v>
          </cell>
          <cell r="DG23">
            <v>0.03</v>
          </cell>
          <cell r="DH23">
            <v>5.5E-2</v>
          </cell>
          <cell r="DI23">
            <v>4.4999999999999998E-2</v>
          </cell>
          <cell r="DJ23">
            <v>0.03</v>
          </cell>
          <cell r="DK23">
            <v>5.5E-2</v>
          </cell>
          <cell r="DL23">
            <v>4.4999999999999998E-2</v>
          </cell>
          <cell r="DM23">
            <v>0.03</v>
          </cell>
          <cell r="DN23">
            <v>5.5E-2</v>
          </cell>
          <cell r="DO23">
            <v>4.4999999999999998E-2</v>
          </cell>
          <cell r="DP23">
            <v>0.03</v>
          </cell>
          <cell r="DQ23">
            <v>5.5E-2</v>
          </cell>
          <cell r="DR23">
            <v>4.4999999999999998E-2</v>
          </cell>
          <cell r="DS23">
            <v>0.03</v>
          </cell>
          <cell r="DT23">
            <v>5.5E-2</v>
          </cell>
          <cell r="DU23">
            <v>4.4999999999999998E-2</v>
          </cell>
          <cell r="DV23">
            <v>0.03</v>
          </cell>
          <cell r="DW23">
            <v>5.5E-2</v>
          </cell>
          <cell r="DX23">
            <v>4.4999999999999998E-2</v>
          </cell>
          <cell r="DY23">
            <v>0.03</v>
          </cell>
          <cell r="DZ23">
            <v>5.5E-2</v>
          </cell>
          <cell r="EA23">
            <v>4.4999999999999998E-2</v>
          </cell>
          <cell r="EB23">
            <v>0.03</v>
          </cell>
          <cell r="EC23">
            <v>5.5E-2</v>
          </cell>
          <cell r="ED23">
            <v>4.4999999999999998E-2</v>
          </cell>
          <cell r="EE23">
            <v>0.03</v>
          </cell>
          <cell r="EG23">
            <v>3.2500000000000001E-2</v>
          </cell>
          <cell r="EH23">
            <v>3.2500000000000001E-2</v>
          </cell>
          <cell r="EI23">
            <v>3.2500000000000001E-2</v>
          </cell>
          <cell r="EJ23">
            <v>3.2500000000000001E-2</v>
          </cell>
          <cell r="EK23">
            <v>3.2500000000000001E-2</v>
          </cell>
          <cell r="EL23">
            <v>3.2500000000000001E-2</v>
          </cell>
          <cell r="EM23">
            <v>3.2500000000000001E-2</v>
          </cell>
          <cell r="EN23">
            <v>3.2500000000000001E-2</v>
          </cell>
          <cell r="EO23">
            <v>3.2500000000000001E-2</v>
          </cell>
          <cell r="EP23">
            <v>3.2500000000000001E-2</v>
          </cell>
          <cell r="EQ23">
            <v>3.2500000000000001E-2</v>
          </cell>
          <cell r="ER23">
            <v>3.2500000000000001E-2</v>
          </cell>
          <cell r="ES23">
            <v>3.2500000000000001E-2</v>
          </cell>
          <cell r="EU23">
            <v>0.08</v>
          </cell>
          <cell r="EV23">
            <v>0.08</v>
          </cell>
          <cell r="EW23">
            <v>0.08</v>
          </cell>
          <cell r="EX23">
            <v>0.08</v>
          </cell>
          <cell r="EY23">
            <v>0.08</v>
          </cell>
          <cell r="EZ23">
            <v>0.08</v>
          </cell>
          <cell r="FA23">
            <v>0.08</v>
          </cell>
          <cell r="FB23">
            <v>0.08</v>
          </cell>
          <cell r="FC23">
            <v>0.08</v>
          </cell>
          <cell r="FD23">
            <v>0.08</v>
          </cell>
          <cell r="FE23">
            <v>0.08</v>
          </cell>
          <cell r="FF23">
            <v>0.08</v>
          </cell>
          <cell r="FG23">
            <v>0.08</v>
          </cell>
        </row>
        <row r="24">
          <cell r="D24" t="str">
            <v/>
          </cell>
          <cell r="G24">
            <v>0.05</v>
          </cell>
          <cell r="H24">
            <v>0.05</v>
          </cell>
          <cell r="I24">
            <v>0.05</v>
          </cell>
          <cell r="J24">
            <v>0.05</v>
          </cell>
          <cell r="K24">
            <v>0.05</v>
          </cell>
          <cell r="L24">
            <v>0.05</v>
          </cell>
          <cell r="M24">
            <v>0.05</v>
          </cell>
          <cell r="N24">
            <v>0.05</v>
          </cell>
          <cell r="O24">
            <v>0.05</v>
          </cell>
          <cell r="P24">
            <v>0.05</v>
          </cell>
          <cell r="Q24">
            <v>0.05</v>
          </cell>
          <cell r="R24">
            <v>0.05</v>
          </cell>
          <cell r="U24">
            <v>0.5</v>
          </cell>
          <cell r="V24">
            <v>0</v>
          </cell>
          <cell r="W24">
            <v>0.5</v>
          </cell>
          <cell r="X24">
            <v>0.5</v>
          </cell>
          <cell r="Y24">
            <v>0</v>
          </cell>
          <cell r="Z24">
            <v>0.5</v>
          </cell>
          <cell r="AA24">
            <v>0.5</v>
          </cell>
          <cell r="AB24">
            <v>0</v>
          </cell>
          <cell r="AC24">
            <v>0.5</v>
          </cell>
          <cell r="AD24">
            <v>0.5</v>
          </cell>
          <cell r="AE24">
            <v>0</v>
          </cell>
          <cell r="AF24">
            <v>0.5</v>
          </cell>
          <cell r="AG24">
            <v>0.5</v>
          </cell>
          <cell r="AH24">
            <v>0</v>
          </cell>
          <cell r="AI24">
            <v>0.5</v>
          </cell>
          <cell r="AJ24">
            <v>0.5</v>
          </cell>
          <cell r="AK24">
            <v>0</v>
          </cell>
          <cell r="AL24">
            <v>0.5</v>
          </cell>
          <cell r="AM24">
            <v>0.5</v>
          </cell>
          <cell r="AN24">
            <v>0</v>
          </cell>
          <cell r="AO24">
            <v>0.5</v>
          </cell>
          <cell r="AP24">
            <v>0.5</v>
          </cell>
          <cell r="AQ24">
            <v>0</v>
          </cell>
          <cell r="AR24">
            <v>0.5</v>
          </cell>
          <cell r="AS24">
            <v>0.5</v>
          </cell>
          <cell r="AT24">
            <v>0</v>
          </cell>
          <cell r="AU24">
            <v>0.5</v>
          </cell>
          <cell r="AV24">
            <v>0.5</v>
          </cell>
          <cell r="AW24">
            <v>0</v>
          </cell>
          <cell r="AX24">
            <v>0.5</v>
          </cell>
          <cell r="AY24">
            <v>0.5</v>
          </cell>
          <cell r="AZ24">
            <v>0</v>
          </cell>
          <cell r="BA24">
            <v>0.5</v>
          </cell>
          <cell r="BB24">
            <v>0.5</v>
          </cell>
          <cell r="BC24">
            <v>0</v>
          </cell>
          <cell r="BD24">
            <v>0.5</v>
          </cell>
          <cell r="BG24">
            <v>0.06</v>
          </cell>
          <cell r="BH24">
            <v>0.08</v>
          </cell>
          <cell r="BI24">
            <v>0.1</v>
          </cell>
          <cell r="BJ24">
            <v>0.06</v>
          </cell>
          <cell r="BK24">
            <v>0.08</v>
          </cell>
          <cell r="BL24">
            <v>0.1</v>
          </cell>
          <cell r="BM24">
            <v>0.06</v>
          </cell>
          <cell r="BN24">
            <v>0.08</v>
          </cell>
          <cell r="BO24">
            <v>0.1</v>
          </cell>
          <cell r="BP24">
            <v>0.06</v>
          </cell>
          <cell r="BQ24">
            <v>0.08</v>
          </cell>
          <cell r="BR24">
            <v>0.1</v>
          </cell>
          <cell r="BS24">
            <v>0.06</v>
          </cell>
          <cell r="BT24">
            <v>0.08</v>
          </cell>
          <cell r="BU24">
            <v>0.1</v>
          </cell>
          <cell r="BV24">
            <v>0.06</v>
          </cell>
          <cell r="BW24">
            <v>0.08</v>
          </cell>
          <cell r="BX24">
            <v>0.1</v>
          </cell>
          <cell r="BY24">
            <v>0.06</v>
          </cell>
          <cell r="BZ24">
            <v>0.08</v>
          </cell>
          <cell r="CA24">
            <v>0.1</v>
          </cell>
          <cell r="CB24">
            <v>0.06</v>
          </cell>
          <cell r="CC24">
            <v>0.08</v>
          </cell>
          <cell r="CD24">
            <v>0.1</v>
          </cell>
          <cell r="CE24">
            <v>0.06</v>
          </cell>
          <cell r="CF24">
            <v>0.08</v>
          </cell>
          <cell r="CG24">
            <v>0.1</v>
          </cell>
          <cell r="CH24">
            <v>0.06</v>
          </cell>
          <cell r="CI24">
            <v>0.08</v>
          </cell>
          <cell r="CJ24">
            <v>0.1</v>
          </cell>
          <cell r="CK24">
            <v>0.06</v>
          </cell>
          <cell r="CL24">
            <v>0.08</v>
          </cell>
          <cell r="CM24">
            <v>0.1</v>
          </cell>
          <cell r="CN24">
            <v>0.06</v>
          </cell>
          <cell r="CO24">
            <v>0.08</v>
          </cell>
          <cell r="CP24">
            <v>0.1</v>
          </cell>
          <cell r="CQ24">
            <v>0.06</v>
          </cell>
          <cell r="CR24">
            <v>0.08</v>
          </cell>
          <cell r="CS24">
            <v>0.1</v>
          </cell>
          <cell r="CV24">
            <v>5.5E-2</v>
          </cell>
          <cell r="CW24">
            <v>4.4999999999999998E-2</v>
          </cell>
          <cell r="CX24">
            <v>0.03</v>
          </cell>
          <cell r="CY24">
            <v>5.5E-2</v>
          </cell>
          <cell r="CZ24">
            <v>4.4999999999999998E-2</v>
          </cell>
          <cell r="DA24">
            <v>0.03</v>
          </cell>
          <cell r="DB24">
            <v>5.5E-2</v>
          </cell>
          <cell r="DC24">
            <v>4.4999999999999998E-2</v>
          </cell>
          <cell r="DD24">
            <v>0.03</v>
          </cell>
          <cell r="DE24">
            <v>5.5E-2</v>
          </cell>
          <cell r="DF24">
            <v>4.4999999999999998E-2</v>
          </cell>
          <cell r="DG24">
            <v>0.03</v>
          </cell>
          <cell r="DH24">
            <v>5.5E-2</v>
          </cell>
          <cell r="DI24">
            <v>4.4999999999999998E-2</v>
          </cell>
          <cell r="DJ24">
            <v>0.03</v>
          </cell>
          <cell r="DK24">
            <v>5.5E-2</v>
          </cell>
          <cell r="DL24">
            <v>4.4999999999999998E-2</v>
          </cell>
          <cell r="DM24">
            <v>0.03</v>
          </cell>
          <cell r="DN24">
            <v>5.5E-2</v>
          </cell>
          <cell r="DO24">
            <v>4.4999999999999998E-2</v>
          </cell>
          <cell r="DP24">
            <v>0.03</v>
          </cell>
          <cell r="DQ24">
            <v>5.5E-2</v>
          </cell>
          <cell r="DR24">
            <v>4.4999999999999998E-2</v>
          </cell>
          <cell r="DS24">
            <v>0.03</v>
          </cell>
          <cell r="DT24">
            <v>5.5E-2</v>
          </cell>
          <cell r="DU24">
            <v>4.4999999999999998E-2</v>
          </cell>
          <cell r="DV24">
            <v>0.03</v>
          </cell>
          <cell r="DW24">
            <v>5.5E-2</v>
          </cell>
          <cell r="DX24">
            <v>4.4999999999999998E-2</v>
          </cell>
          <cell r="DY24">
            <v>0.03</v>
          </cell>
          <cell r="DZ24">
            <v>5.5E-2</v>
          </cell>
          <cell r="EA24">
            <v>4.4999999999999998E-2</v>
          </cell>
          <cell r="EB24">
            <v>0.03</v>
          </cell>
          <cell r="EC24">
            <v>5.5E-2</v>
          </cell>
          <cell r="ED24">
            <v>4.4999999999999998E-2</v>
          </cell>
          <cell r="EE24">
            <v>0.03</v>
          </cell>
          <cell r="EG24">
            <v>3.2500000000000001E-2</v>
          </cell>
          <cell r="EH24">
            <v>3.2500000000000001E-2</v>
          </cell>
          <cell r="EI24">
            <v>3.2500000000000001E-2</v>
          </cell>
          <cell r="EJ24">
            <v>3.2500000000000001E-2</v>
          </cell>
          <cell r="EK24">
            <v>3.2500000000000001E-2</v>
          </cell>
          <cell r="EL24">
            <v>3.2500000000000001E-2</v>
          </cell>
          <cell r="EM24">
            <v>3.2500000000000001E-2</v>
          </cell>
          <cell r="EN24">
            <v>3.2500000000000001E-2</v>
          </cell>
          <cell r="EO24">
            <v>3.2500000000000001E-2</v>
          </cell>
          <cell r="EP24">
            <v>3.2500000000000001E-2</v>
          </cell>
          <cell r="EQ24">
            <v>3.2500000000000001E-2</v>
          </cell>
          <cell r="ER24">
            <v>3.2500000000000001E-2</v>
          </cell>
          <cell r="ES24">
            <v>3.2500000000000001E-2</v>
          </cell>
          <cell r="EU24">
            <v>0.08</v>
          </cell>
          <cell r="EV24">
            <v>0.08</v>
          </cell>
          <cell r="EW24">
            <v>0.08</v>
          </cell>
          <cell r="EX24">
            <v>0.08</v>
          </cell>
          <cell r="EY24">
            <v>0.08</v>
          </cell>
          <cell r="EZ24">
            <v>0.08</v>
          </cell>
          <cell r="FA24">
            <v>0.08</v>
          </cell>
          <cell r="FB24">
            <v>0.08</v>
          </cell>
          <cell r="FC24">
            <v>0.08</v>
          </cell>
          <cell r="FD24">
            <v>0.08</v>
          </cell>
          <cell r="FE24">
            <v>0.08</v>
          </cell>
          <cell r="FF24">
            <v>0.08</v>
          </cell>
          <cell r="FG24">
            <v>0.08</v>
          </cell>
        </row>
        <row r="25">
          <cell r="C25" t="str">
            <v>C4 MCA Hybrid 136 eDCT6 Plus</v>
          </cell>
          <cell r="D25" t="str">
            <v>C4 MCA Hybrid 136 eDCT6 Plus</v>
          </cell>
          <cell r="G25">
            <v>0.05</v>
          </cell>
          <cell r="H25">
            <v>0.05</v>
          </cell>
          <cell r="I25">
            <v>0.05</v>
          </cell>
          <cell r="J25">
            <v>0.05</v>
          </cell>
          <cell r="K25">
            <v>0.05</v>
          </cell>
          <cell r="L25">
            <v>0.05</v>
          </cell>
          <cell r="M25">
            <v>0.05</v>
          </cell>
          <cell r="N25">
            <v>0.05</v>
          </cell>
          <cell r="O25">
            <v>0.05</v>
          </cell>
          <cell r="P25">
            <v>0.05</v>
          </cell>
          <cell r="Q25">
            <v>0.05</v>
          </cell>
          <cell r="R25">
            <v>0.05</v>
          </cell>
          <cell r="U25">
            <v>0.5</v>
          </cell>
          <cell r="V25">
            <v>0</v>
          </cell>
          <cell r="W25">
            <v>0.5</v>
          </cell>
          <cell r="X25">
            <v>0.5</v>
          </cell>
          <cell r="Y25">
            <v>0</v>
          </cell>
          <cell r="Z25">
            <v>0.5</v>
          </cell>
          <cell r="AA25">
            <v>0.5</v>
          </cell>
          <cell r="AB25">
            <v>0</v>
          </cell>
          <cell r="AC25">
            <v>0.5</v>
          </cell>
          <cell r="AD25">
            <v>0.5</v>
          </cell>
          <cell r="AE25">
            <v>0</v>
          </cell>
          <cell r="AF25">
            <v>0.5</v>
          </cell>
          <cell r="AG25">
            <v>0.5</v>
          </cell>
          <cell r="AH25">
            <v>0</v>
          </cell>
          <cell r="AI25">
            <v>0.5</v>
          </cell>
          <cell r="AJ25">
            <v>0.5</v>
          </cell>
          <cell r="AK25">
            <v>0</v>
          </cell>
          <cell r="AL25">
            <v>0.5</v>
          </cell>
          <cell r="AM25">
            <v>0.5</v>
          </cell>
          <cell r="AN25">
            <v>0</v>
          </cell>
          <cell r="AO25">
            <v>0.5</v>
          </cell>
          <cell r="AP25">
            <v>0.5</v>
          </cell>
          <cell r="AQ25">
            <v>0</v>
          </cell>
          <cell r="AR25">
            <v>0.5</v>
          </cell>
          <cell r="AS25">
            <v>0.5</v>
          </cell>
          <cell r="AT25">
            <v>0</v>
          </cell>
          <cell r="AU25">
            <v>0.5</v>
          </cell>
          <cell r="AV25">
            <v>0.5</v>
          </cell>
          <cell r="AW25">
            <v>0</v>
          </cell>
          <cell r="AX25">
            <v>0.5</v>
          </cell>
          <cell r="AY25">
            <v>0.5</v>
          </cell>
          <cell r="AZ25">
            <v>0</v>
          </cell>
          <cell r="BA25">
            <v>0.5</v>
          </cell>
          <cell r="BB25">
            <v>0.5</v>
          </cell>
          <cell r="BC25">
            <v>0</v>
          </cell>
          <cell r="BD25">
            <v>0.5</v>
          </cell>
          <cell r="BG25">
            <v>0.06</v>
          </cell>
          <cell r="BH25">
            <v>0.08</v>
          </cell>
          <cell r="BI25">
            <v>0.1</v>
          </cell>
          <cell r="BJ25">
            <v>0.06</v>
          </cell>
          <cell r="BK25">
            <v>0.08</v>
          </cell>
          <cell r="BL25">
            <v>0.1</v>
          </cell>
          <cell r="BM25">
            <v>0.06</v>
          </cell>
          <cell r="BN25">
            <v>0.08</v>
          </cell>
          <cell r="BO25">
            <v>0.1</v>
          </cell>
          <cell r="BP25">
            <v>0.06</v>
          </cell>
          <cell r="BQ25">
            <v>0.08</v>
          </cell>
          <cell r="BR25">
            <v>0.1</v>
          </cell>
          <cell r="BS25">
            <v>0.06</v>
          </cell>
          <cell r="BT25">
            <v>0.08</v>
          </cell>
          <cell r="BU25">
            <v>0.1</v>
          </cell>
          <cell r="BV25">
            <v>0.06</v>
          </cell>
          <cell r="BW25">
            <v>0.08</v>
          </cell>
          <cell r="BX25">
            <v>0.1</v>
          </cell>
          <cell r="BY25">
            <v>0.06</v>
          </cell>
          <cell r="BZ25">
            <v>0.08</v>
          </cell>
          <cell r="CA25">
            <v>0.1</v>
          </cell>
          <cell r="CB25">
            <v>0.06</v>
          </cell>
          <cell r="CC25">
            <v>0.08</v>
          </cell>
          <cell r="CD25">
            <v>0.1</v>
          </cell>
          <cell r="CE25">
            <v>0.06</v>
          </cell>
          <cell r="CF25">
            <v>0.08</v>
          </cell>
          <cell r="CG25">
            <v>0.1</v>
          </cell>
          <cell r="CH25">
            <v>0.06</v>
          </cell>
          <cell r="CI25">
            <v>0.08</v>
          </cell>
          <cell r="CJ25">
            <v>0.1</v>
          </cell>
          <cell r="CK25">
            <v>0.06</v>
          </cell>
          <cell r="CL25">
            <v>0.08</v>
          </cell>
          <cell r="CM25">
            <v>0.1</v>
          </cell>
          <cell r="CN25">
            <v>0.06</v>
          </cell>
          <cell r="CO25">
            <v>0.08</v>
          </cell>
          <cell r="CP25">
            <v>0.1</v>
          </cell>
          <cell r="CQ25">
            <v>0.06</v>
          </cell>
          <cell r="CR25">
            <v>0.08</v>
          </cell>
          <cell r="CS25">
            <v>0.1</v>
          </cell>
          <cell r="CV25">
            <v>6.5000000000000002E-2</v>
          </cell>
          <cell r="CW25">
            <v>5.5E-2</v>
          </cell>
          <cell r="CX25">
            <v>0.03</v>
          </cell>
          <cell r="CY25">
            <v>6.5000000000000002E-2</v>
          </cell>
          <cell r="CZ25">
            <v>5.5E-2</v>
          </cell>
          <cell r="DA25">
            <v>0.03</v>
          </cell>
          <cell r="DB25">
            <v>6.5000000000000002E-2</v>
          </cell>
          <cell r="DC25">
            <v>5.5E-2</v>
          </cell>
          <cell r="DD25">
            <v>0.03</v>
          </cell>
          <cell r="DE25">
            <v>6.5000000000000002E-2</v>
          </cell>
          <cell r="DF25">
            <v>5.5E-2</v>
          </cell>
          <cell r="DG25">
            <v>0.03</v>
          </cell>
          <cell r="DH25">
            <v>6.5000000000000002E-2</v>
          </cell>
          <cell r="DI25">
            <v>5.5E-2</v>
          </cell>
          <cell r="DJ25">
            <v>0.03</v>
          </cell>
          <cell r="DK25">
            <v>6.5000000000000002E-2</v>
          </cell>
          <cell r="DL25">
            <v>5.5E-2</v>
          </cell>
          <cell r="DM25">
            <v>0.03</v>
          </cell>
          <cell r="DN25">
            <v>6.5000000000000002E-2</v>
          </cell>
          <cell r="DO25">
            <v>5.5E-2</v>
          </cell>
          <cell r="DP25">
            <v>0.03</v>
          </cell>
          <cell r="DQ25">
            <v>6.5000000000000002E-2</v>
          </cell>
          <cell r="DR25">
            <v>5.5E-2</v>
          </cell>
          <cell r="DS25">
            <v>0.03</v>
          </cell>
          <cell r="DT25">
            <v>6.5000000000000002E-2</v>
          </cell>
          <cell r="DU25">
            <v>5.5E-2</v>
          </cell>
          <cell r="DV25">
            <v>0.03</v>
          </cell>
          <cell r="DW25">
            <v>6.5000000000000002E-2</v>
          </cell>
          <cell r="DX25">
            <v>5.5E-2</v>
          </cell>
          <cell r="DY25">
            <v>0.03</v>
          </cell>
          <cell r="DZ25">
            <v>6.5000000000000002E-2</v>
          </cell>
          <cell r="EA25">
            <v>5.5E-2</v>
          </cell>
          <cell r="EB25">
            <v>0.03</v>
          </cell>
          <cell r="EC25">
            <v>6.5000000000000002E-2</v>
          </cell>
          <cell r="ED25">
            <v>5.5E-2</v>
          </cell>
          <cell r="EE25">
            <v>0.03</v>
          </cell>
          <cell r="EG25">
            <v>3.7500000000000006E-2</v>
          </cell>
          <cell r="EH25">
            <v>3.7500000000000006E-2</v>
          </cell>
          <cell r="EI25">
            <v>3.7500000000000006E-2</v>
          </cell>
          <cell r="EJ25">
            <v>3.7500000000000006E-2</v>
          </cell>
          <cell r="EK25">
            <v>3.7500000000000006E-2</v>
          </cell>
          <cell r="EL25">
            <v>3.7500000000000006E-2</v>
          </cell>
          <cell r="EM25">
            <v>3.7500000000000006E-2</v>
          </cell>
          <cell r="EN25">
            <v>3.7500000000000006E-2</v>
          </cell>
          <cell r="EO25">
            <v>3.7500000000000006E-2</v>
          </cell>
          <cell r="EP25">
            <v>3.7500000000000006E-2</v>
          </cell>
          <cell r="EQ25">
            <v>3.7500000000000006E-2</v>
          </cell>
          <cell r="ER25">
            <v>3.7500000000000006E-2</v>
          </cell>
          <cell r="ES25">
            <v>3.7500000000000006E-2</v>
          </cell>
          <cell r="EU25">
            <v>0.08</v>
          </cell>
          <cell r="EV25">
            <v>0.08</v>
          </cell>
          <cell r="EW25">
            <v>0.08</v>
          </cell>
          <cell r="EX25">
            <v>0.08</v>
          </cell>
          <cell r="EY25">
            <v>0.08</v>
          </cell>
          <cell r="EZ25">
            <v>0.08</v>
          </cell>
          <cell r="FA25">
            <v>0.08</v>
          </cell>
          <cell r="FB25">
            <v>0.08</v>
          </cell>
          <cell r="FC25">
            <v>0.08</v>
          </cell>
          <cell r="FD25">
            <v>0.08</v>
          </cell>
          <cell r="FE25">
            <v>0.08</v>
          </cell>
          <cell r="FF25">
            <v>0.08</v>
          </cell>
          <cell r="FG25">
            <v>0.08</v>
          </cell>
        </row>
        <row r="26">
          <cell r="C26" t="str">
            <v>C4 MCA Hybrid 136 eDCT6 Max</v>
          </cell>
          <cell r="D26" t="str">
            <v>C4 MCA Hybrid 136 eDCT6 Max</v>
          </cell>
          <cell r="G26">
            <v>0.05</v>
          </cell>
          <cell r="H26">
            <v>0.05</v>
          </cell>
          <cell r="I26">
            <v>0.05</v>
          </cell>
          <cell r="J26">
            <v>0.05</v>
          </cell>
          <cell r="K26">
            <v>0.05</v>
          </cell>
          <cell r="L26">
            <v>0.05</v>
          </cell>
          <cell r="M26">
            <v>0.05</v>
          </cell>
          <cell r="N26">
            <v>0.05</v>
          </cell>
          <cell r="O26">
            <v>0.05</v>
          </cell>
          <cell r="P26">
            <v>0.05</v>
          </cell>
          <cell r="Q26">
            <v>0.05</v>
          </cell>
          <cell r="R26">
            <v>0.05</v>
          </cell>
          <cell r="U26">
            <v>0.5</v>
          </cell>
          <cell r="V26">
            <v>0</v>
          </cell>
          <cell r="W26">
            <v>0.5</v>
          </cell>
          <cell r="X26">
            <v>0.5</v>
          </cell>
          <cell r="Y26">
            <v>0</v>
          </cell>
          <cell r="Z26">
            <v>0.5</v>
          </cell>
          <cell r="AA26">
            <v>0.5</v>
          </cell>
          <cell r="AB26">
            <v>0</v>
          </cell>
          <cell r="AC26">
            <v>0.5</v>
          </cell>
          <cell r="AD26">
            <v>0.5</v>
          </cell>
          <cell r="AE26">
            <v>0</v>
          </cell>
          <cell r="AF26">
            <v>0.5</v>
          </cell>
          <cell r="AG26">
            <v>0.5</v>
          </cell>
          <cell r="AH26">
            <v>0</v>
          </cell>
          <cell r="AI26">
            <v>0.5</v>
          </cell>
          <cell r="AJ26">
            <v>0.5</v>
          </cell>
          <cell r="AK26">
            <v>0</v>
          </cell>
          <cell r="AL26">
            <v>0.5</v>
          </cell>
          <cell r="AM26">
            <v>0.5</v>
          </cell>
          <cell r="AN26">
            <v>0</v>
          </cell>
          <cell r="AO26">
            <v>0.5</v>
          </cell>
          <cell r="AP26">
            <v>0.5</v>
          </cell>
          <cell r="AQ26">
            <v>0</v>
          </cell>
          <cell r="AR26">
            <v>0.5</v>
          </cell>
          <cell r="AS26">
            <v>0.5</v>
          </cell>
          <cell r="AT26">
            <v>0</v>
          </cell>
          <cell r="AU26">
            <v>0.5</v>
          </cell>
          <cell r="AV26">
            <v>0.5</v>
          </cell>
          <cell r="AW26">
            <v>0</v>
          </cell>
          <cell r="AX26">
            <v>0.5</v>
          </cell>
          <cell r="AY26">
            <v>0.5</v>
          </cell>
          <cell r="AZ26">
            <v>0</v>
          </cell>
          <cell r="BA26">
            <v>0.5</v>
          </cell>
          <cell r="BB26">
            <v>0.5</v>
          </cell>
          <cell r="BC26">
            <v>0</v>
          </cell>
          <cell r="BD26">
            <v>0.5</v>
          </cell>
          <cell r="BG26">
            <v>0.06</v>
          </cell>
          <cell r="BH26">
            <v>0.08</v>
          </cell>
          <cell r="BI26">
            <v>0.1</v>
          </cell>
          <cell r="BJ26">
            <v>0.06</v>
          </cell>
          <cell r="BK26">
            <v>0.08</v>
          </cell>
          <cell r="BL26">
            <v>0.1</v>
          </cell>
          <cell r="BM26">
            <v>0.06</v>
          </cell>
          <cell r="BN26">
            <v>0.08</v>
          </cell>
          <cell r="BO26">
            <v>0.1</v>
          </cell>
          <cell r="BP26">
            <v>0.06</v>
          </cell>
          <cell r="BQ26">
            <v>0.08</v>
          </cell>
          <cell r="BR26">
            <v>0.1</v>
          </cell>
          <cell r="BS26">
            <v>0.06</v>
          </cell>
          <cell r="BT26">
            <v>0.08</v>
          </cell>
          <cell r="BU26">
            <v>0.1</v>
          </cell>
          <cell r="BV26">
            <v>0.06</v>
          </cell>
          <cell r="BW26">
            <v>0.08</v>
          </cell>
          <cell r="BX26">
            <v>0.1</v>
          </cell>
          <cell r="BY26">
            <v>0.06</v>
          </cell>
          <cell r="BZ26">
            <v>0.08</v>
          </cell>
          <cell r="CA26">
            <v>0.1</v>
          </cell>
          <cell r="CB26">
            <v>0.06</v>
          </cell>
          <cell r="CC26">
            <v>0.08</v>
          </cell>
          <cell r="CD26">
            <v>0.1</v>
          </cell>
          <cell r="CE26">
            <v>0.06</v>
          </cell>
          <cell r="CF26">
            <v>0.08</v>
          </cell>
          <cell r="CG26">
            <v>0.1</v>
          </cell>
          <cell r="CH26">
            <v>0.06</v>
          </cell>
          <cell r="CI26">
            <v>0.08</v>
          </cell>
          <cell r="CJ26">
            <v>0.1</v>
          </cell>
          <cell r="CK26">
            <v>0.06</v>
          </cell>
          <cell r="CL26">
            <v>0.08</v>
          </cell>
          <cell r="CM26">
            <v>0.1</v>
          </cell>
          <cell r="CN26">
            <v>0.06</v>
          </cell>
          <cell r="CO26">
            <v>0.08</v>
          </cell>
          <cell r="CP26">
            <v>0.1</v>
          </cell>
          <cell r="CQ26">
            <v>0.06</v>
          </cell>
          <cell r="CR26">
            <v>0.08</v>
          </cell>
          <cell r="CS26">
            <v>0.1</v>
          </cell>
          <cell r="CV26">
            <v>6.5000000000000002E-2</v>
          </cell>
          <cell r="CW26">
            <v>5.5E-2</v>
          </cell>
          <cell r="CX26">
            <v>0.03</v>
          </cell>
          <cell r="CY26">
            <v>6.5000000000000002E-2</v>
          </cell>
          <cell r="CZ26">
            <v>5.5E-2</v>
          </cell>
          <cell r="DA26">
            <v>0.03</v>
          </cell>
          <cell r="DB26">
            <v>6.5000000000000002E-2</v>
          </cell>
          <cell r="DC26">
            <v>5.5E-2</v>
          </cell>
          <cell r="DD26">
            <v>0.03</v>
          </cell>
          <cell r="DE26">
            <v>6.5000000000000002E-2</v>
          </cell>
          <cell r="DF26">
            <v>5.5E-2</v>
          </cell>
          <cell r="DG26">
            <v>0.03</v>
          </cell>
          <cell r="DH26">
            <v>6.5000000000000002E-2</v>
          </cell>
          <cell r="DI26">
            <v>5.5E-2</v>
          </cell>
          <cell r="DJ26">
            <v>0.03</v>
          </cell>
          <cell r="DK26">
            <v>6.5000000000000002E-2</v>
          </cell>
          <cell r="DL26">
            <v>5.5E-2</v>
          </cell>
          <cell r="DM26">
            <v>0.03</v>
          </cell>
          <cell r="DN26">
            <v>6.5000000000000002E-2</v>
          </cell>
          <cell r="DO26">
            <v>5.5E-2</v>
          </cell>
          <cell r="DP26">
            <v>0.03</v>
          </cell>
          <cell r="DQ26">
            <v>6.5000000000000002E-2</v>
          </cell>
          <cell r="DR26">
            <v>5.5E-2</v>
          </cell>
          <cell r="DS26">
            <v>0.03</v>
          </cell>
          <cell r="DT26">
            <v>6.5000000000000002E-2</v>
          </cell>
          <cell r="DU26">
            <v>5.5E-2</v>
          </cell>
          <cell r="DV26">
            <v>0.03</v>
          </cell>
          <cell r="DW26">
            <v>6.5000000000000002E-2</v>
          </cell>
          <cell r="DX26">
            <v>5.5E-2</v>
          </cell>
          <cell r="DY26">
            <v>0.03</v>
          </cell>
          <cell r="DZ26">
            <v>6.5000000000000002E-2</v>
          </cell>
          <cell r="EA26">
            <v>5.5E-2</v>
          </cell>
          <cell r="EB26">
            <v>0.03</v>
          </cell>
          <cell r="EC26">
            <v>6.5000000000000002E-2</v>
          </cell>
          <cell r="ED26">
            <v>5.5E-2</v>
          </cell>
          <cell r="EE26">
            <v>0.03</v>
          </cell>
          <cell r="EG26">
            <v>3.7500000000000006E-2</v>
          </cell>
          <cell r="EH26">
            <v>3.7500000000000006E-2</v>
          </cell>
          <cell r="EI26">
            <v>3.7500000000000006E-2</v>
          </cell>
          <cell r="EJ26">
            <v>3.7500000000000006E-2</v>
          </cell>
          <cell r="EK26">
            <v>3.7500000000000006E-2</v>
          </cell>
          <cell r="EL26">
            <v>3.7500000000000006E-2</v>
          </cell>
          <cell r="EM26">
            <v>3.7500000000000006E-2</v>
          </cell>
          <cell r="EN26">
            <v>3.7500000000000006E-2</v>
          </cell>
          <cell r="EO26">
            <v>3.7500000000000006E-2</v>
          </cell>
          <cell r="EP26">
            <v>3.7500000000000006E-2</v>
          </cell>
          <cell r="EQ26">
            <v>3.7500000000000006E-2</v>
          </cell>
          <cell r="ER26">
            <v>3.7500000000000006E-2</v>
          </cell>
          <cell r="ES26">
            <v>3.7500000000000006E-2</v>
          </cell>
          <cell r="EU26">
            <v>0.08</v>
          </cell>
          <cell r="EV26">
            <v>0.08</v>
          </cell>
          <cell r="EW26">
            <v>0.08</v>
          </cell>
          <cell r="EX26">
            <v>0.08</v>
          </cell>
          <cell r="EY26">
            <v>0.08</v>
          </cell>
          <cell r="EZ26">
            <v>0.08</v>
          </cell>
          <cell r="FA26">
            <v>0.08</v>
          </cell>
          <cell r="FB26">
            <v>0.08</v>
          </cell>
          <cell r="FC26">
            <v>0.08</v>
          </cell>
          <cell r="FD26">
            <v>0.08</v>
          </cell>
          <cell r="FE26">
            <v>0.08</v>
          </cell>
          <cell r="FF26">
            <v>0.08</v>
          </cell>
          <cell r="FG26">
            <v>0.08</v>
          </cell>
        </row>
        <row r="27">
          <cell r="C27" t="str">
            <v>C5 Aircross Plus Gasolina 180HP AT</v>
          </cell>
          <cell r="D27" t="str">
            <v>C5 Aircross Plus Gasolina 180HP AT</v>
          </cell>
          <cell r="G27">
            <v>0.05</v>
          </cell>
          <cell r="H27">
            <v>0.05</v>
          </cell>
          <cell r="I27">
            <v>0.05</v>
          </cell>
          <cell r="J27">
            <v>0.05</v>
          </cell>
          <cell r="K27">
            <v>0.05</v>
          </cell>
          <cell r="L27">
            <v>0.05</v>
          </cell>
          <cell r="M27">
            <v>0.05</v>
          </cell>
          <cell r="N27">
            <v>0.05</v>
          </cell>
          <cell r="O27">
            <v>0.05</v>
          </cell>
          <cell r="P27">
            <v>0.05</v>
          </cell>
          <cell r="Q27">
            <v>0.05</v>
          </cell>
          <cell r="R27">
            <v>0.05</v>
          </cell>
          <cell r="U27">
            <v>0.5</v>
          </cell>
          <cell r="V27">
            <v>0</v>
          </cell>
          <cell r="W27">
            <v>0.5</v>
          </cell>
          <cell r="X27">
            <v>0.5</v>
          </cell>
          <cell r="Y27">
            <v>0</v>
          </cell>
          <cell r="Z27">
            <v>0.5</v>
          </cell>
          <cell r="AA27">
            <v>0.5</v>
          </cell>
          <cell r="AB27">
            <v>0</v>
          </cell>
          <cell r="AC27">
            <v>0.5</v>
          </cell>
          <cell r="AD27">
            <v>0.5</v>
          </cell>
          <cell r="AE27">
            <v>0</v>
          </cell>
          <cell r="AF27">
            <v>0.5</v>
          </cell>
          <cell r="AG27">
            <v>0.5</v>
          </cell>
          <cell r="AH27">
            <v>0</v>
          </cell>
          <cell r="AI27">
            <v>0.5</v>
          </cell>
          <cell r="AJ27">
            <v>0.5</v>
          </cell>
          <cell r="AK27">
            <v>0</v>
          </cell>
          <cell r="AL27">
            <v>0.5</v>
          </cell>
          <cell r="AM27">
            <v>0.5</v>
          </cell>
          <cell r="AN27">
            <v>0</v>
          </cell>
          <cell r="AO27">
            <v>0.5</v>
          </cell>
          <cell r="AP27">
            <v>0.5</v>
          </cell>
          <cell r="AQ27">
            <v>0</v>
          </cell>
          <cell r="AR27">
            <v>0.5</v>
          </cell>
          <cell r="AS27">
            <v>0.5</v>
          </cell>
          <cell r="AT27">
            <v>0</v>
          </cell>
          <cell r="AU27">
            <v>0.5</v>
          </cell>
          <cell r="AV27">
            <v>0.5</v>
          </cell>
          <cell r="AW27">
            <v>0</v>
          </cell>
          <cell r="AX27">
            <v>0.5</v>
          </cell>
          <cell r="AY27">
            <v>0.5</v>
          </cell>
          <cell r="AZ27">
            <v>0</v>
          </cell>
          <cell r="BA27">
            <v>0.5</v>
          </cell>
          <cell r="BB27">
            <v>0.5</v>
          </cell>
          <cell r="BC27">
            <v>0</v>
          </cell>
          <cell r="BD27">
            <v>0.5</v>
          </cell>
          <cell r="BG27">
            <v>0.06</v>
          </cell>
          <cell r="BH27">
            <v>0.08</v>
          </cell>
          <cell r="BI27">
            <v>0.1</v>
          </cell>
          <cell r="BJ27">
            <v>0.06</v>
          </cell>
          <cell r="BK27">
            <v>0.08</v>
          </cell>
          <cell r="BL27">
            <v>0.1</v>
          </cell>
          <cell r="BM27">
            <v>0.06</v>
          </cell>
          <cell r="BN27">
            <v>0.08</v>
          </cell>
          <cell r="BO27">
            <v>0.1</v>
          </cell>
          <cell r="BP27">
            <v>0.06</v>
          </cell>
          <cell r="BQ27">
            <v>0.08</v>
          </cell>
          <cell r="BR27">
            <v>0.1</v>
          </cell>
          <cell r="BS27">
            <v>0.06</v>
          </cell>
          <cell r="BT27">
            <v>0.08</v>
          </cell>
          <cell r="BU27">
            <v>0.1</v>
          </cell>
          <cell r="BV27">
            <v>0.06</v>
          </cell>
          <cell r="BW27">
            <v>0.08</v>
          </cell>
          <cell r="BX27">
            <v>0.1</v>
          </cell>
          <cell r="BY27">
            <v>0.06</v>
          </cell>
          <cell r="BZ27">
            <v>0.08</v>
          </cell>
          <cell r="CA27">
            <v>0.1</v>
          </cell>
          <cell r="CB27">
            <v>0.06</v>
          </cell>
          <cell r="CC27">
            <v>0.08</v>
          </cell>
          <cell r="CD27">
            <v>0.1</v>
          </cell>
          <cell r="CE27">
            <v>0.06</v>
          </cell>
          <cell r="CF27">
            <v>0.08</v>
          </cell>
          <cell r="CG27">
            <v>0.1</v>
          </cell>
          <cell r="CH27">
            <v>0.06</v>
          </cell>
          <cell r="CI27">
            <v>0.08</v>
          </cell>
          <cell r="CJ27">
            <v>0.1</v>
          </cell>
          <cell r="CK27">
            <v>0.06</v>
          </cell>
          <cell r="CL27">
            <v>0.08</v>
          </cell>
          <cell r="CM27">
            <v>0.1</v>
          </cell>
          <cell r="CN27">
            <v>0.06</v>
          </cell>
          <cell r="CO27">
            <v>0.08</v>
          </cell>
          <cell r="CP27">
            <v>0.1</v>
          </cell>
          <cell r="CQ27">
            <v>0.06</v>
          </cell>
          <cell r="CR27">
            <v>0.08</v>
          </cell>
          <cell r="CS27">
            <v>0.1</v>
          </cell>
          <cell r="CV27">
            <v>6.5000000000000002E-2</v>
          </cell>
          <cell r="CW27">
            <v>5.5E-2</v>
          </cell>
          <cell r="CX27">
            <v>0.03</v>
          </cell>
          <cell r="CY27">
            <v>6.5000000000000002E-2</v>
          </cell>
          <cell r="CZ27">
            <v>5.5E-2</v>
          </cell>
          <cell r="DA27">
            <v>0.03</v>
          </cell>
          <cell r="DB27">
            <v>6.5000000000000002E-2</v>
          </cell>
          <cell r="DC27">
            <v>5.5E-2</v>
          </cell>
          <cell r="DD27">
            <v>0.03</v>
          </cell>
          <cell r="DE27">
            <v>6.5000000000000002E-2</v>
          </cell>
          <cell r="DF27">
            <v>5.5E-2</v>
          </cell>
          <cell r="DG27">
            <v>0.03</v>
          </cell>
          <cell r="DH27">
            <v>6.5000000000000002E-2</v>
          </cell>
          <cell r="DI27">
            <v>5.5E-2</v>
          </cell>
          <cell r="DJ27">
            <v>0.03</v>
          </cell>
          <cell r="DK27">
            <v>6.5000000000000002E-2</v>
          </cell>
          <cell r="DL27">
            <v>5.5E-2</v>
          </cell>
          <cell r="DM27">
            <v>0.03</v>
          </cell>
          <cell r="DN27">
            <v>6.5000000000000002E-2</v>
          </cell>
          <cell r="DO27">
            <v>5.5E-2</v>
          </cell>
          <cell r="DP27">
            <v>0.03</v>
          </cell>
          <cell r="DQ27">
            <v>6.5000000000000002E-2</v>
          </cell>
          <cell r="DR27">
            <v>5.5E-2</v>
          </cell>
          <cell r="DS27">
            <v>0.03</v>
          </cell>
          <cell r="DT27">
            <v>6.5000000000000002E-2</v>
          </cell>
          <cell r="DU27">
            <v>5.5E-2</v>
          </cell>
          <cell r="DV27">
            <v>0.03</v>
          </cell>
          <cell r="DW27">
            <v>6.5000000000000002E-2</v>
          </cell>
          <cell r="DX27">
            <v>5.5E-2</v>
          </cell>
          <cell r="DY27">
            <v>0.03</v>
          </cell>
          <cell r="DZ27">
            <v>6.5000000000000002E-2</v>
          </cell>
          <cell r="EA27">
            <v>5.5E-2</v>
          </cell>
          <cell r="EB27">
            <v>0.03</v>
          </cell>
          <cell r="EC27">
            <v>6.5000000000000002E-2</v>
          </cell>
          <cell r="ED27">
            <v>5.5E-2</v>
          </cell>
          <cell r="EE27">
            <v>0.03</v>
          </cell>
          <cell r="EG27">
            <v>3.7500000000000006E-2</v>
          </cell>
          <cell r="EH27">
            <v>3.7500000000000006E-2</v>
          </cell>
          <cell r="EI27">
            <v>3.7500000000000006E-2</v>
          </cell>
          <cell r="EJ27">
            <v>3.7500000000000006E-2</v>
          </cell>
          <cell r="EK27">
            <v>3.7500000000000006E-2</v>
          </cell>
          <cell r="EL27">
            <v>3.7500000000000006E-2</v>
          </cell>
          <cell r="EM27">
            <v>3.7500000000000006E-2</v>
          </cell>
          <cell r="EN27">
            <v>3.7500000000000006E-2</v>
          </cell>
          <cell r="EO27">
            <v>3.7500000000000006E-2</v>
          </cell>
          <cell r="EP27">
            <v>3.7500000000000006E-2</v>
          </cell>
          <cell r="EQ27">
            <v>3.7500000000000006E-2</v>
          </cell>
          <cell r="ER27">
            <v>3.7500000000000006E-2</v>
          </cell>
          <cell r="ES27">
            <v>3.7500000000000006E-2</v>
          </cell>
          <cell r="EU27">
            <v>0.08</v>
          </cell>
          <cell r="EV27">
            <v>0.08</v>
          </cell>
          <cell r="EW27">
            <v>0.08</v>
          </cell>
          <cell r="EX27">
            <v>0.08</v>
          </cell>
          <cell r="EY27">
            <v>0.08</v>
          </cell>
          <cell r="EZ27">
            <v>0.08</v>
          </cell>
          <cell r="FA27">
            <v>0.08</v>
          </cell>
          <cell r="FB27">
            <v>0.08</v>
          </cell>
          <cell r="FC27">
            <v>0.08</v>
          </cell>
          <cell r="FD27">
            <v>0.08</v>
          </cell>
          <cell r="FE27">
            <v>0.08</v>
          </cell>
          <cell r="FF27">
            <v>0.08</v>
          </cell>
          <cell r="FG27">
            <v>0.08</v>
          </cell>
        </row>
        <row r="28">
          <cell r="C28" t="str">
            <v>C5 Aircross Max Gasolina 180HP AT</v>
          </cell>
          <cell r="D28" t="str">
            <v>C5 Aircross Max Gasolina 180HP AT</v>
          </cell>
          <cell r="G28">
            <v>0.05</v>
          </cell>
          <cell r="H28">
            <v>0.05</v>
          </cell>
          <cell r="I28">
            <v>0.05</v>
          </cell>
          <cell r="J28">
            <v>0.05</v>
          </cell>
          <cell r="K28">
            <v>0.05</v>
          </cell>
          <cell r="L28">
            <v>0.05</v>
          </cell>
          <cell r="M28">
            <v>0.05</v>
          </cell>
          <cell r="N28">
            <v>0.05</v>
          </cell>
          <cell r="O28">
            <v>0.05</v>
          </cell>
          <cell r="P28">
            <v>0.05</v>
          </cell>
          <cell r="Q28">
            <v>0.05</v>
          </cell>
          <cell r="R28">
            <v>0.05</v>
          </cell>
          <cell r="U28">
            <v>0.5</v>
          </cell>
          <cell r="V28">
            <v>0</v>
          </cell>
          <cell r="W28">
            <v>0.5</v>
          </cell>
          <cell r="X28">
            <v>0.5</v>
          </cell>
          <cell r="Y28">
            <v>0</v>
          </cell>
          <cell r="Z28">
            <v>0.5</v>
          </cell>
          <cell r="AA28">
            <v>0.5</v>
          </cell>
          <cell r="AB28">
            <v>0</v>
          </cell>
          <cell r="AC28">
            <v>0.5</v>
          </cell>
          <cell r="AD28">
            <v>0.5</v>
          </cell>
          <cell r="AE28">
            <v>0</v>
          </cell>
          <cell r="AF28">
            <v>0.5</v>
          </cell>
          <cell r="AG28">
            <v>0.5</v>
          </cell>
          <cell r="AH28">
            <v>0</v>
          </cell>
          <cell r="AI28">
            <v>0.5</v>
          </cell>
          <cell r="AJ28">
            <v>0.5</v>
          </cell>
          <cell r="AK28">
            <v>0</v>
          </cell>
          <cell r="AL28">
            <v>0.5</v>
          </cell>
          <cell r="AM28">
            <v>0.5</v>
          </cell>
          <cell r="AN28">
            <v>0</v>
          </cell>
          <cell r="AO28">
            <v>0.5</v>
          </cell>
          <cell r="AP28">
            <v>0.5</v>
          </cell>
          <cell r="AQ28">
            <v>0</v>
          </cell>
          <cell r="AR28">
            <v>0.5</v>
          </cell>
          <cell r="AS28">
            <v>0.5</v>
          </cell>
          <cell r="AT28">
            <v>0</v>
          </cell>
          <cell r="AU28">
            <v>0.5</v>
          </cell>
          <cell r="AV28">
            <v>0.5</v>
          </cell>
          <cell r="AW28">
            <v>0</v>
          </cell>
          <cell r="AX28">
            <v>0.5</v>
          </cell>
          <cell r="AY28">
            <v>0.5</v>
          </cell>
          <cell r="AZ28">
            <v>0</v>
          </cell>
          <cell r="BA28">
            <v>0.5</v>
          </cell>
          <cell r="BB28">
            <v>0.5</v>
          </cell>
          <cell r="BC28">
            <v>0</v>
          </cell>
          <cell r="BD28">
            <v>0.5</v>
          </cell>
          <cell r="BG28">
            <v>0.06</v>
          </cell>
          <cell r="BH28">
            <v>0.08</v>
          </cell>
          <cell r="BI28">
            <v>0.1</v>
          </cell>
          <cell r="BJ28">
            <v>0.06</v>
          </cell>
          <cell r="BK28">
            <v>0.08</v>
          </cell>
          <cell r="BL28">
            <v>0.1</v>
          </cell>
          <cell r="BM28">
            <v>0.06</v>
          </cell>
          <cell r="BN28">
            <v>0.08</v>
          </cell>
          <cell r="BO28">
            <v>0.1</v>
          </cell>
          <cell r="BP28">
            <v>0.06</v>
          </cell>
          <cell r="BQ28">
            <v>0.08</v>
          </cell>
          <cell r="BR28">
            <v>0.1</v>
          </cell>
          <cell r="BS28">
            <v>0.06</v>
          </cell>
          <cell r="BT28">
            <v>0.08</v>
          </cell>
          <cell r="BU28">
            <v>0.1</v>
          </cell>
          <cell r="BV28">
            <v>0.06</v>
          </cell>
          <cell r="BW28">
            <v>0.08</v>
          </cell>
          <cell r="BX28">
            <v>0.1</v>
          </cell>
          <cell r="BY28">
            <v>0.06</v>
          </cell>
          <cell r="BZ28">
            <v>0.08</v>
          </cell>
          <cell r="CA28">
            <v>0.1</v>
          </cell>
          <cell r="CB28">
            <v>0.06</v>
          </cell>
          <cell r="CC28">
            <v>0.08</v>
          </cell>
          <cell r="CD28">
            <v>0.1</v>
          </cell>
          <cell r="CE28">
            <v>0.06</v>
          </cell>
          <cell r="CF28">
            <v>0.08</v>
          </cell>
          <cell r="CG28">
            <v>0.1</v>
          </cell>
          <cell r="CH28">
            <v>0.06</v>
          </cell>
          <cell r="CI28">
            <v>0.08</v>
          </cell>
          <cell r="CJ28">
            <v>0.1</v>
          </cell>
          <cell r="CK28">
            <v>0.06</v>
          </cell>
          <cell r="CL28">
            <v>0.08</v>
          </cell>
          <cell r="CM28">
            <v>0.1</v>
          </cell>
          <cell r="CN28">
            <v>0.06</v>
          </cell>
          <cell r="CO28">
            <v>0.08</v>
          </cell>
          <cell r="CP28">
            <v>0.1</v>
          </cell>
          <cell r="CQ28">
            <v>0.06</v>
          </cell>
          <cell r="CR28">
            <v>0.08</v>
          </cell>
          <cell r="CS28">
            <v>0.1</v>
          </cell>
          <cell r="CV28">
            <v>6.5000000000000002E-2</v>
          </cell>
          <cell r="CW28">
            <v>5.5E-2</v>
          </cell>
          <cell r="CX28">
            <v>0.03</v>
          </cell>
          <cell r="CY28">
            <v>6.5000000000000002E-2</v>
          </cell>
          <cell r="CZ28">
            <v>5.5E-2</v>
          </cell>
          <cell r="DA28">
            <v>0.03</v>
          </cell>
          <cell r="DB28">
            <v>6.5000000000000002E-2</v>
          </cell>
          <cell r="DC28">
            <v>5.5E-2</v>
          </cell>
          <cell r="DD28">
            <v>0.03</v>
          </cell>
          <cell r="DE28">
            <v>6.5000000000000002E-2</v>
          </cell>
          <cell r="DF28">
            <v>5.5E-2</v>
          </cell>
          <cell r="DG28">
            <v>0.03</v>
          </cell>
          <cell r="DH28">
            <v>6.5000000000000002E-2</v>
          </cell>
          <cell r="DI28">
            <v>5.5E-2</v>
          </cell>
          <cell r="DJ28">
            <v>0.03</v>
          </cell>
          <cell r="DK28">
            <v>6.5000000000000002E-2</v>
          </cell>
          <cell r="DL28">
            <v>5.5E-2</v>
          </cell>
          <cell r="DM28">
            <v>0.03</v>
          </cell>
          <cell r="DN28">
            <v>6.5000000000000002E-2</v>
          </cell>
          <cell r="DO28">
            <v>5.5E-2</v>
          </cell>
          <cell r="DP28">
            <v>0.03</v>
          </cell>
          <cell r="DQ28">
            <v>6.5000000000000002E-2</v>
          </cell>
          <cell r="DR28">
            <v>5.5E-2</v>
          </cell>
          <cell r="DS28">
            <v>0.03</v>
          </cell>
          <cell r="DT28">
            <v>6.5000000000000002E-2</v>
          </cell>
          <cell r="DU28">
            <v>5.5E-2</v>
          </cell>
          <cell r="DV28">
            <v>0.03</v>
          </cell>
          <cell r="DW28">
            <v>6.5000000000000002E-2</v>
          </cell>
          <cell r="DX28">
            <v>5.5E-2</v>
          </cell>
          <cell r="DY28">
            <v>0.03</v>
          </cell>
          <cell r="DZ28">
            <v>6.5000000000000002E-2</v>
          </cell>
          <cell r="EA28">
            <v>5.5E-2</v>
          </cell>
          <cell r="EB28">
            <v>0.03</v>
          </cell>
          <cell r="EC28">
            <v>6.5000000000000002E-2</v>
          </cell>
          <cell r="ED28">
            <v>5.5E-2</v>
          </cell>
          <cell r="EE28">
            <v>0.03</v>
          </cell>
          <cell r="EG28">
            <v>3.7500000000000006E-2</v>
          </cell>
          <cell r="EH28">
            <v>3.7500000000000006E-2</v>
          </cell>
          <cell r="EI28">
            <v>3.7500000000000006E-2</v>
          </cell>
          <cell r="EJ28">
            <v>3.7500000000000006E-2</v>
          </cell>
          <cell r="EK28">
            <v>3.7500000000000006E-2</v>
          </cell>
          <cell r="EL28">
            <v>3.7500000000000006E-2</v>
          </cell>
          <cell r="EM28">
            <v>3.7500000000000006E-2</v>
          </cell>
          <cell r="EN28">
            <v>3.7500000000000006E-2</v>
          </cell>
          <cell r="EO28">
            <v>3.7500000000000006E-2</v>
          </cell>
          <cell r="EP28">
            <v>3.7500000000000006E-2</v>
          </cell>
          <cell r="EQ28">
            <v>3.7500000000000006E-2</v>
          </cell>
          <cell r="ER28">
            <v>3.7500000000000006E-2</v>
          </cell>
          <cell r="ES28">
            <v>3.7500000000000006E-2</v>
          </cell>
          <cell r="EU28">
            <v>0.08</v>
          </cell>
          <cell r="EV28">
            <v>0.08</v>
          </cell>
          <cell r="EW28">
            <v>0.08</v>
          </cell>
          <cell r="EX28">
            <v>0.08</v>
          </cell>
          <cell r="EY28">
            <v>0.08</v>
          </cell>
          <cell r="EZ28">
            <v>0.08</v>
          </cell>
          <cell r="FA28">
            <v>0.08</v>
          </cell>
          <cell r="FB28">
            <v>0.08</v>
          </cell>
          <cell r="FC28">
            <v>0.08</v>
          </cell>
          <cell r="FD28">
            <v>0.08</v>
          </cell>
          <cell r="FE28">
            <v>0.08</v>
          </cell>
          <cell r="FF28">
            <v>0.08</v>
          </cell>
          <cell r="FG28">
            <v>0.08</v>
          </cell>
        </row>
        <row r="29">
          <cell r="D29" t="str">
            <v/>
          </cell>
          <cell r="G29">
            <v>0.05</v>
          </cell>
          <cell r="H29">
            <v>0.05</v>
          </cell>
          <cell r="I29">
            <v>0.05</v>
          </cell>
          <cell r="J29">
            <v>0.05</v>
          </cell>
          <cell r="K29">
            <v>0.05</v>
          </cell>
          <cell r="L29">
            <v>0.05</v>
          </cell>
          <cell r="M29">
            <v>0.05</v>
          </cell>
          <cell r="N29">
            <v>0.05</v>
          </cell>
          <cell r="O29">
            <v>0.05</v>
          </cell>
          <cell r="P29">
            <v>0.05</v>
          </cell>
          <cell r="Q29">
            <v>0.05</v>
          </cell>
          <cell r="R29">
            <v>0.05</v>
          </cell>
          <cell r="U29">
            <v>0.5</v>
          </cell>
          <cell r="V29">
            <v>0</v>
          </cell>
          <cell r="W29">
            <v>0.5</v>
          </cell>
          <cell r="X29">
            <v>0.5</v>
          </cell>
          <cell r="Y29">
            <v>0</v>
          </cell>
          <cell r="Z29">
            <v>0.5</v>
          </cell>
          <cell r="AA29">
            <v>0.5</v>
          </cell>
          <cell r="AB29">
            <v>0</v>
          </cell>
          <cell r="AC29">
            <v>0.5</v>
          </cell>
          <cell r="AD29">
            <v>0.5</v>
          </cell>
          <cell r="AE29">
            <v>0</v>
          </cell>
          <cell r="AF29">
            <v>0.5</v>
          </cell>
          <cell r="AG29">
            <v>0.5</v>
          </cell>
          <cell r="AH29">
            <v>0</v>
          </cell>
          <cell r="AI29">
            <v>0.5</v>
          </cell>
          <cell r="AJ29">
            <v>0.5</v>
          </cell>
          <cell r="AK29">
            <v>0</v>
          </cell>
          <cell r="AL29">
            <v>0.5</v>
          </cell>
          <cell r="AM29">
            <v>0.5</v>
          </cell>
          <cell r="AN29">
            <v>0</v>
          </cell>
          <cell r="AO29">
            <v>0.5</v>
          </cell>
          <cell r="AP29">
            <v>0.5</v>
          </cell>
          <cell r="AQ29">
            <v>0</v>
          </cell>
          <cell r="AR29">
            <v>0.5</v>
          </cell>
          <cell r="AS29">
            <v>0.5</v>
          </cell>
          <cell r="AT29">
            <v>0</v>
          </cell>
          <cell r="AU29">
            <v>0.5</v>
          </cell>
          <cell r="AV29">
            <v>0.5</v>
          </cell>
          <cell r="AW29">
            <v>0</v>
          </cell>
          <cell r="AX29">
            <v>0.5</v>
          </cell>
          <cell r="AY29">
            <v>0.5</v>
          </cell>
          <cell r="AZ29">
            <v>0</v>
          </cell>
          <cell r="BA29">
            <v>0.5</v>
          </cell>
          <cell r="BB29">
            <v>0.5</v>
          </cell>
          <cell r="BC29">
            <v>0</v>
          </cell>
          <cell r="BD29">
            <v>0.5</v>
          </cell>
          <cell r="BG29">
            <v>0.06</v>
          </cell>
          <cell r="BH29">
            <v>0.08</v>
          </cell>
          <cell r="BI29">
            <v>0.1</v>
          </cell>
          <cell r="BJ29">
            <v>0.06</v>
          </cell>
          <cell r="BK29">
            <v>0.08</v>
          </cell>
          <cell r="BL29">
            <v>0.1</v>
          </cell>
          <cell r="BM29">
            <v>0.06</v>
          </cell>
          <cell r="BN29">
            <v>0.08</v>
          </cell>
          <cell r="BO29">
            <v>0.1</v>
          </cell>
          <cell r="BP29">
            <v>0.06</v>
          </cell>
          <cell r="BQ29">
            <v>0.08</v>
          </cell>
          <cell r="BR29">
            <v>0.1</v>
          </cell>
          <cell r="BS29">
            <v>0.06</v>
          </cell>
          <cell r="BT29">
            <v>0.08</v>
          </cell>
          <cell r="BU29">
            <v>0.1</v>
          </cell>
          <cell r="BV29">
            <v>0.06</v>
          </cell>
          <cell r="BW29">
            <v>0.08</v>
          </cell>
          <cell r="BX29">
            <v>0.1</v>
          </cell>
          <cell r="BY29">
            <v>0.06</v>
          </cell>
          <cell r="BZ29">
            <v>0.08</v>
          </cell>
          <cell r="CA29">
            <v>0.1</v>
          </cell>
          <cell r="CB29">
            <v>0.06</v>
          </cell>
          <cell r="CC29">
            <v>0.08</v>
          </cell>
          <cell r="CD29">
            <v>0.1</v>
          </cell>
          <cell r="CE29">
            <v>0.06</v>
          </cell>
          <cell r="CF29">
            <v>0.08</v>
          </cell>
          <cell r="CG29">
            <v>0.1</v>
          </cell>
          <cell r="CH29">
            <v>0.06</v>
          </cell>
          <cell r="CI29">
            <v>0.08</v>
          </cell>
          <cell r="CJ29">
            <v>0.1</v>
          </cell>
          <cell r="CK29">
            <v>0.06</v>
          </cell>
          <cell r="CL29">
            <v>0.08</v>
          </cell>
          <cell r="CM29">
            <v>0.1</v>
          </cell>
          <cell r="CN29">
            <v>0.06</v>
          </cell>
          <cell r="CO29">
            <v>0.08</v>
          </cell>
          <cell r="CP29">
            <v>0.1</v>
          </cell>
          <cell r="CQ29">
            <v>0.06</v>
          </cell>
          <cell r="CR29">
            <v>0.08</v>
          </cell>
          <cell r="CS29">
            <v>0.1</v>
          </cell>
          <cell r="CV29">
            <v>6.5000000000000002E-2</v>
          </cell>
          <cell r="CW29">
            <v>5.5E-2</v>
          </cell>
          <cell r="CX29">
            <v>0.03</v>
          </cell>
          <cell r="CY29">
            <v>6.5000000000000002E-2</v>
          </cell>
          <cell r="CZ29">
            <v>5.5E-2</v>
          </cell>
          <cell r="DA29">
            <v>0.03</v>
          </cell>
          <cell r="DB29">
            <v>6.5000000000000002E-2</v>
          </cell>
          <cell r="DC29">
            <v>5.5E-2</v>
          </cell>
          <cell r="DD29">
            <v>0.03</v>
          </cell>
          <cell r="DE29">
            <v>6.5000000000000002E-2</v>
          </cell>
          <cell r="DF29">
            <v>5.5E-2</v>
          </cell>
          <cell r="DG29">
            <v>0.03</v>
          </cell>
          <cell r="DH29">
            <v>6.5000000000000002E-2</v>
          </cell>
          <cell r="DI29">
            <v>5.5E-2</v>
          </cell>
          <cell r="DJ29">
            <v>0.03</v>
          </cell>
          <cell r="DK29">
            <v>6.5000000000000002E-2</v>
          </cell>
          <cell r="DL29">
            <v>5.5E-2</v>
          </cell>
          <cell r="DM29">
            <v>0.03</v>
          </cell>
          <cell r="DN29">
            <v>6.5000000000000002E-2</v>
          </cell>
          <cell r="DO29">
            <v>5.5E-2</v>
          </cell>
          <cell r="DP29">
            <v>0.03</v>
          </cell>
          <cell r="DQ29">
            <v>6.5000000000000002E-2</v>
          </cell>
          <cell r="DR29">
            <v>5.5E-2</v>
          </cell>
          <cell r="DS29">
            <v>0.03</v>
          </cell>
          <cell r="DT29">
            <v>6.5000000000000002E-2</v>
          </cell>
          <cell r="DU29">
            <v>5.5E-2</v>
          </cell>
          <cell r="DV29">
            <v>0.03</v>
          </cell>
          <cell r="DW29">
            <v>6.5000000000000002E-2</v>
          </cell>
          <cell r="DX29">
            <v>5.5E-2</v>
          </cell>
          <cell r="DY29">
            <v>0.03</v>
          </cell>
          <cell r="DZ29">
            <v>6.5000000000000002E-2</v>
          </cell>
          <cell r="EA29">
            <v>5.5E-2</v>
          </cell>
          <cell r="EB29">
            <v>0.03</v>
          </cell>
          <cell r="EC29">
            <v>6.5000000000000002E-2</v>
          </cell>
          <cell r="ED29">
            <v>5.5E-2</v>
          </cell>
          <cell r="EE29">
            <v>0.03</v>
          </cell>
          <cell r="EG29">
            <v>3.7500000000000006E-2</v>
          </cell>
          <cell r="EH29">
            <v>3.7500000000000006E-2</v>
          </cell>
          <cell r="EI29">
            <v>3.7500000000000006E-2</v>
          </cell>
          <cell r="EJ29">
            <v>3.7500000000000006E-2</v>
          </cell>
          <cell r="EK29">
            <v>3.7500000000000006E-2</v>
          </cell>
          <cell r="EL29">
            <v>3.7500000000000006E-2</v>
          </cell>
          <cell r="EM29">
            <v>3.7500000000000006E-2</v>
          </cell>
          <cell r="EN29">
            <v>3.7500000000000006E-2</v>
          </cell>
          <cell r="EO29">
            <v>3.7500000000000006E-2</v>
          </cell>
          <cell r="EP29">
            <v>3.7500000000000006E-2</v>
          </cell>
          <cell r="EQ29">
            <v>3.7500000000000006E-2</v>
          </cell>
          <cell r="ER29">
            <v>3.7500000000000006E-2</v>
          </cell>
          <cell r="ES29">
            <v>3.7500000000000006E-2</v>
          </cell>
          <cell r="EU29">
            <v>0.08</v>
          </cell>
          <cell r="EV29">
            <v>0.08</v>
          </cell>
          <cell r="EW29">
            <v>0.08</v>
          </cell>
          <cell r="EX29">
            <v>0.08</v>
          </cell>
          <cell r="EY29">
            <v>0.08</v>
          </cell>
          <cell r="EZ29">
            <v>0.08</v>
          </cell>
          <cell r="FA29">
            <v>0.08</v>
          </cell>
          <cell r="FB29">
            <v>0.08</v>
          </cell>
          <cell r="FC29">
            <v>0.08</v>
          </cell>
          <cell r="FD29">
            <v>0.08</v>
          </cell>
          <cell r="FE29">
            <v>0.08</v>
          </cell>
          <cell r="FF29">
            <v>0.08</v>
          </cell>
          <cell r="FG29">
            <v>0.08</v>
          </cell>
        </row>
        <row r="30">
          <cell r="C30" t="str">
            <v>Berlingo MCA Multispace XL BlueHDi 100 Feel</v>
          </cell>
          <cell r="D30" t="str">
            <v>BERLINGO MULTISPACE MCA BlueHdi 100 Plus</v>
          </cell>
          <cell r="G30">
            <v>0.5</v>
          </cell>
          <cell r="H30">
            <v>0.5</v>
          </cell>
          <cell r="I30">
            <v>0.5</v>
          </cell>
          <cell r="J30">
            <v>0.5</v>
          </cell>
          <cell r="K30">
            <v>0.5</v>
          </cell>
          <cell r="L30">
            <v>0.5</v>
          </cell>
          <cell r="M30">
            <v>0.5</v>
          </cell>
          <cell r="N30">
            <v>0.5</v>
          </cell>
          <cell r="O30">
            <v>0.5</v>
          </cell>
          <cell r="P30">
            <v>0.5</v>
          </cell>
          <cell r="Q30">
            <v>0.5</v>
          </cell>
          <cell r="R30">
            <v>0.5</v>
          </cell>
          <cell r="U30">
            <v>0.5</v>
          </cell>
          <cell r="V30">
            <v>0</v>
          </cell>
          <cell r="W30">
            <v>0.5</v>
          </cell>
          <cell r="X30">
            <v>0.5</v>
          </cell>
          <cell r="Y30">
            <v>0</v>
          </cell>
          <cell r="Z30">
            <v>0.5</v>
          </cell>
          <cell r="AA30">
            <v>0.5</v>
          </cell>
          <cell r="AB30">
            <v>0</v>
          </cell>
          <cell r="AC30">
            <v>0.5</v>
          </cell>
          <cell r="AD30">
            <v>0</v>
          </cell>
          <cell r="AE30">
            <v>0</v>
          </cell>
          <cell r="AF30">
            <v>1</v>
          </cell>
          <cell r="AG30">
            <v>0.5</v>
          </cell>
          <cell r="AH30">
            <v>0</v>
          </cell>
          <cell r="AI30">
            <v>0.5</v>
          </cell>
          <cell r="AJ30">
            <v>0.5</v>
          </cell>
          <cell r="AK30">
            <v>0</v>
          </cell>
          <cell r="AL30">
            <v>0.5</v>
          </cell>
          <cell r="AM30">
            <v>0.5</v>
          </cell>
          <cell r="AN30">
            <v>0</v>
          </cell>
          <cell r="AO30">
            <v>0.5</v>
          </cell>
          <cell r="AP30">
            <v>0.5</v>
          </cell>
          <cell r="AQ30">
            <v>0</v>
          </cell>
          <cell r="AR30">
            <v>0.5</v>
          </cell>
          <cell r="AS30">
            <v>0.5</v>
          </cell>
          <cell r="AT30">
            <v>0</v>
          </cell>
          <cell r="AU30">
            <v>0.5</v>
          </cell>
          <cell r="AV30">
            <v>0.5</v>
          </cell>
          <cell r="AW30">
            <v>0</v>
          </cell>
          <cell r="AX30">
            <v>0.5</v>
          </cell>
          <cell r="AY30">
            <v>0.5</v>
          </cell>
          <cell r="AZ30">
            <v>0</v>
          </cell>
          <cell r="BA30">
            <v>0.5</v>
          </cell>
          <cell r="BB30">
            <v>0.5</v>
          </cell>
          <cell r="BC30">
            <v>0</v>
          </cell>
          <cell r="BD30">
            <v>0.5</v>
          </cell>
          <cell r="BG30">
            <v>9.9999999999999992E-2</v>
          </cell>
          <cell r="BH30">
            <v>9.9999999999999992E-2</v>
          </cell>
          <cell r="BI30">
            <v>0.12000000000000001</v>
          </cell>
          <cell r="BJ30">
            <v>9.9999999999999992E-2</v>
          </cell>
          <cell r="BK30">
            <v>9.9999999999999992E-2</v>
          </cell>
          <cell r="BL30">
            <v>0.14000000000000001</v>
          </cell>
          <cell r="BM30">
            <v>9.9999999999999992E-2</v>
          </cell>
          <cell r="BN30">
            <v>9.9999999999999992E-2</v>
          </cell>
          <cell r="BO30">
            <v>0.14000000000000001</v>
          </cell>
          <cell r="BP30">
            <v>9.9999999999999992E-2</v>
          </cell>
          <cell r="BQ30">
            <v>9.9999999999999992E-2</v>
          </cell>
          <cell r="BR30">
            <v>0.14000000000000001</v>
          </cell>
          <cell r="BS30">
            <v>9.9999999999999992E-2</v>
          </cell>
          <cell r="BT30">
            <v>9.9999999999999992E-2</v>
          </cell>
          <cell r="BU30">
            <v>0.16</v>
          </cell>
          <cell r="BV30">
            <v>9.9999999999999992E-2</v>
          </cell>
          <cell r="BW30">
            <v>9.9999999999999992E-2</v>
          </cell>
          <cell r="BX30">
            <v>0.14000000000000001</v>
          </cell>
          <cell r="BY30">
            <v>9.9999999999999992E-2</v>
          </cell>
          <cell r="BZ30">
            <v>9.9999999999999992E-2</v>
          </cell>
          <cell r="CA30">
            <v>0.14000000000000001</v>
          </cell>
          <cell r="CB30">
            <v>9.9999999999999992E-2</v>
          </cell>
          <cell r="CC30">
            <v>9.9999999999999992E-2</v>
          </cell>
          <cell r="CD30">
            <v>0.14000000000000001</v>
          </cell>
          <cell r="CE30">
            <v>9.9999999999999992E-2</v>
          </cell>
          <cell r="CF30">
            <v>9.9999999999999992E-2</v>
          </cell>
          <cell r="CG30">
            <v>0.14000000000000001</v>
          </cell>
          <cell r="CH30">
            <v>9.9999999999999992E-2</v>
          </cell>
          <cell r="CI30">
            <v>9.9999999999999992E-2</v>
          </cell>
          <cell r="CJ30">
            <v>0.14000000000000001</v>
          </cell>
          <cell r="CK30">
            <v>9.9999999999999992E-2</v>
          </cell>
          <cell r="CL30">
            <v>9.9999999999999992E-2</v>
          </cell>
          <cell r="CM30">
            <v>0.14000000000000001</v>
          </cell>
          <cell r="CN30">
            <v>9.9999999999999992E-2</v>
          </cell>
          <cell r="CO30">
            <v>9.9999999999999992E-2</v>
          </cell>
          <cell r="CP30">
            <v>0.14000000000000001</v>
          </cell>
          <cell r="CQ30">
            <v>9.9999999999999992E-2</v>
          </cell>
          <cell r="CR30">
            <v>9.9999999999999992E-2</v>
          </cell>
          <cell r="CS30">
            <v>0.14000000000000001</v>
          </cell>
          <cell r="CV30">
            <v>4.4999999999999998E-2</v>
          </cell>
          <cell r="CW30">
            <v>4.4999999999999998E-2</v>
          </cell>
          <cell r="CX30">
            <v>0.03</v>
          </cell>
          <cell r="CY30">
            <v>4.4999999999999998E-2</v>
          </cell>
          <cell r="CZ30">
            <v>4.4999999999999998E-2</v>
          </cell>
          <cell r="DA30">
            <v>0.03</v>
          </cell>
          <cell r="DB30">
            <v>4.4999999999999998E-2</v>
          </cell>
          <cell r="DC30">
            <v>4.4999999999999998E-2</v>
          </cell>
          <cell r="DD30">
            <v>0.03</v>
          </cell>
          <cell r="DE30">
            <v>4.4999999999999998E-2</v>
          </cell>
          <cell r="DF30">
            <v>4.4999999999999998E-2</v>
          </cell>
          <cell r="DG30">
            <v>0.03</v>
          </cell>
          <cell r="DH30">
            <v>4.4999999999999998E-2</v>
          </cell>
          <cell r="DI30">
            <v>4.4999999999999998E-2</v>
          </cell>
          <cell r="DJ30">
            <v>0.03</v>
          </cell>
          <cell r="DK30">
            <v>4.4999999999999998E-2</v>
          </cell>
          <cell r="DL30">
            <v>4.4999999999999998E-2</v>
          </cell>
          <cell r="DM30">
            <v>0.03</v>
          </cell>
          <cell r="DN30">
            <v>4.4999999999999998E-2</v>
          </cell>
          <cell r="DO30">
            <v>4.4999999999999998E-2</v>
          </cell>
          <cell r="DP30">
            <v>0.03</v>
          </cell>
          <cell r="DQ30">
            <v>4.4999999999999998E-2</v>
          </cell>
          <cell r="DR30">
            <v>4.4999999999999998E-2</v>
          </cell>
          <cell r="DS30">
            <v>0.03</v>
          </cell>
          <cell r="DT30">
            <v>4.4999999999999998E-2</v>
          </cell>
          <cell r="DU30">
            <v>4.4999999999999998E-2</v>
          </cell>
          <cell r="DV30">
            <v>0.03</v>
          </cell>
          <cell r="DW30">
            <v>4.4999999999999998E-2</v>
          </cell>
          <cell r="DX30">
            <v>4.4999999999999998E-2</v>
          </cell>
          <cell r="DY30">
            <v>0.03</v>
          </cell>
          <cell r="DZ30">
            <v>4.4999999999999998E-2</v>
          </cell>
          <cell r="EA30">
            <v>4.4999999999999998E-2</v>
          </cell>
          <cell r="EB30">
            <v>0.03</v>
          </cell>
          <cell r="EC30">
            <v>4.4999999999999998E-2</v>
          </cell>
          <cell r="ED30">
            <v>4.4999999999999998E-2</v>
          </cell>
          <cell r="EE30">
            <v>0.03</v>
          </cell>
          <cell r="EG30">
            <v>5.7500000000000002E-2</v>
          </cell>
          <cell r="EH30">
            <v>6.7500000000000004E-2</v>
          </cell>
          <cell r="EI30">
            <v>6.7500000000000004E-2</v>
          </cell>
          <cell r="EJ30">
            <v>6.7500000000000004E-2</v>
          </cell>
          <cell r="EK30">
            <v>0.1</v>
          </cell>
          <cell r="EL30">
            <v>6.7500000000000004E-2</v>
          </cell>
          <cell r="EM30">
            <v>6.7500000000000004E-2</v>
          </cell>
          <cell r="EN30">
            <v>6.7500000000000004E-2</v>
          </cell>
          <cell r="EO30">
            <v>6.7500000000000004E-2</v>
          </cell>
          <cell r="EP30">
            <v>6.7500000000000004E-2</v>
          </cell>
          <cell r="EQ30">
            <v>6.7500000000000004E-2</v>
          </cell>
          <cell r="ER30">
            <v>6.7500000000000004E-2</v>
          </cell>
          <cell r="ES30">
            <v>6.7500000000000004E-2</v>
          </cell>
          <cell r="EU30">
            <v>0.11</v>
          </cell>
          <cell r="EV30">
            <v>0.12</v>
          </cell>
          <cell r="EW30">
            <v>0.12</v>
          </cell>
          <cell r="EX30">
            <v>0.12</v>
          </cell>
          <cell r="EY30">
            <v>0.16</v>
          </cell>
          <cell r="EZ30">
            <v>0.12</v>
          </cell>
          <cell r="FA30">
            <v>0.12</v>
          </cell>
          <cell r="FB30">
            <v>0.12</v>
          </cell>
          <cell r="FC30">
            <v>0.12</v>
          </cell>
          <cell r="FD30">
            <v>0.12</v>
          </cell>
          <cell r="FE30">
            <v>0.12</v>
          </cell>
          <cell r="FF30">
            <v>0.12</v>
          </cell>
          <cell r="FG30">
            <v>0.12</v>
          </cell>
        </row>
        <row r="31">
          <cell r="C31" t="str">
            <v>Berlingo MCA Multispace XL BlueHDi 130 EAT8 Feel</v>
          </cell>
          <cell r="D31" t="str">
            <v>BERLINGO MULTISPACE MCA BlueHdi 130 EAT8 Plus</v>
          </cell>
          <cell r="G31">
            <v>0.5</v>
          </cell>
          <cell r="H31">
            <v>0.5</v>
          </cell>
          <cell r="I31">
            <v>0.5</v>
          </cell>
          <cell r="J31">
            <v>0.5</v>
          </cell>
          <cell r="K31">
            <v>0.5</v>
          </cell>
          <cell r="L31">
            <v>0.5</v>
          </cell>
          <cell r="M31">
            <v>0.5</v>
          </cell>
          <cell r="N31">
            <v>0.5</v>
          </cell>
          <cell r="O31">
            <v>0.5</v>
          </cell>
          <cell r="P31">
            <v>0.5</v>
          </cell>
          <cell r="Q31">
            <v>0.5</v>
          </cell>
          <cell r="R31">
            <v>0.5</v>
          </cell>
          <cell r="U31">
            <v>0.5</v>
          </cell>
          <cell r="V31">
            <v>0</v>
          </cell>
          <cell r="W31">
            <v>0.5</v>
          </cell>
          <cell r="X31">
            <v>0.5</v>
          </cell>
          <cell r="Y31">
            <v>0</v>
          </cell>
          <cell r="Z31">
            <v>0.5</v>
          </cell>
          <cell r="AA31">
            <v>0.5</v>
          </cell>
          <cell r="AB31">
            <v>0</v>
          </cell>
          <cell r="AC31">
            <v>0.5</v>
          </cell>
          <cell r="AD31">
            <v>0.5</v>
          </cell>
          <cell r="AE31">
            <v>0</v>
          </cell>
          <cell r="AF31">
            <v>0.5</v>
          </cell>
          <cell r="AG31">
            <v>0.5</v>
          </cell>
          <cell r="AH31">
            <v>0</v>
          </cell>
          <cell r="AI31">
            <v>0.5</v>
          </cell>
          <cell r="AJ31">
            <v>0.5</v>
          </cell>
          <cell r="AK31">
            <v>0</v>
          </cell>
          <cell r="AL31">
            <v>0.5</v>
          </cell>
          <cell r="AM31">
            <v>0.5</v>
          </cell>
          <cell r="AN31">
            <v>0</v>
          </cell>
          <cell r="AO31">
            <v>0.5</v>
          </cell>
          <cell r="AP31">
            <v>0.5</v>
          </cell>
          <cell r="AQ31">
            <v>0</v>
          </cell>
          <cell r="AR31">
            <v>0.5</v>
          </cell>
          <cell r="AS31">
            <v>0.5</v>
          </cell>
          <cell r="AT31">
            <v>0</v>
          </cell>
          <cell r="AU31">
            <v>0.5</v>
          </cell>
          <cell r="AV31">
            <v>0.5</v>
          </cell>
          <cell r="AW31">
            <v>0</v>
          </cell>
          <cell r="AX31">
            <v>0.5</v>
          </cell>
          <cell r="AY31">
            <v>0.5</v>
          </cell>
          <cell r="AZ31">
            <v>0</v>
          </cell>
          <cell r="BA31">
            <v>0.5</v>
          </cell>
          <cell r="BB31">
            <v>0.5</v>
          </cell>
          <cell r="BC31">
            <v>0</v>
          </cell>
          <cell r="BD31">
            <v>0.5</v>
          </cell>
          <cell r="BG31">
            <v>9.9999999999999992E-2</v>
          </cell>
          <cell r="BH31">
            <v>9.9999999999999992E-2</v>
          </cell>
          <cell r="BI31">
            <v>0.12</v>
          </cell>
          <cell r="BJ31">
            <v>9.9999999999999992E-2</v>
          </cell>
          <cell r="BK31">
            <v>9.9999999999999992E-2</v>
          </cell>
          <cell r="BL31">
            <v>0.14000000000000001</v>
          </cell>
          <cell r="BM31">
            <v>9.9999999999999992E-2</v>
          </cell>
          <cell r="BN31">
            <v>9.9999999999999992E-2</v>
          </cell>
          <cell r="BO31">
            <v>0.14000000000000001</v>
          </cell>
          <cell r="BP31">
            <v>9.9999999999999992E-2</v>
          </cell>
          <cell r="BQ31">
            <v>9.9999999999999992E-2</v>
          </cell>
          <cell r="BR31">
            <v>0.14000000000000001</v>
          </cell>
          <cell r="BS31">
            <v>9.9999999999999992E-2</v>
          </cell>
          <cell r="BT31">
            <v>9.9999999999999992E-2</v>
          </cell>
          <cell r="BU31">
            <v>0.14000000000000001</v>
          </cell>
          <cell r="BV31">
            <v>9.9999999999999992E-2</v>
          </cell>
          <cell r="BW31">
            <v>9.9999999999999992E-2</v>
          </cell>
          <cell r="BX31">
            <v>0.14000000000000001</v>
          </cell>
          <cell r="BY31">
            <v>9.9999999999999992E-2</v>
          </cell>
          <cell r="BZ31">
            <v>9.9999999999999992E-2</v>
          </cell>
          <cell r="CA31">
            <v>0.14000000000000001</v>
          </cell>
          <cell r="CB31">
            <v>9.9999999999999992E-2</v>
          </cell>
          <cell r="CC31">
            <v>9.9999999999999992E-2</v>
          </cell>
          <cell r="CD31">
            <v>0.14000000000000001</v>
          </cell>
          <cell r="CE31">
            <v>9.9999999999999992E-2</v>
          </cell>
          <cell r="CF31">
            <v>9.9999999999999992E-2</v>
          </cell>
          <cell r="CG31">
            <v>0.14000000000000001</v>
          </cell>
          <cell r="CH31">
            <v>9.9999999999999992E-2</v>
          </cell>
          <cell r="CI31">
            <v>9.9999999999999992E-2</v>
          </cell>
          <cell r="CJ31">
            <v>0.14000000000000001</v>
          </cell>
          <cell r="CK31">
            <v>9.9999999999999992E-2</v>
          </cell>
          <cell r="CL31">
            <v>9.9999999999999992E-2</v>
          </cell>
          <cell r="CM31">
            <v>0.14000000000000001</v>
          </cell>
          <cell r="CN31">
            <v>9.9999999999999992E-2</v>
          </cell>
          <cell r="CO31">
            <v>9.9999999999999992E-2</v>
          </cell>
          <cell r="CP31">
            <v>0.14000000000000001</v>
          </cell>
          <cell r="CQ31">
            <v>9.9999999999999992E-2</v>
          </cell>
          <cell r="CR31">
            <v>9.9999999999999992E-2</v>
          </cell>
          <cell r="CS31">
            <v>0.14000000000000001</v>
          </cell>
          <cell r="CV31">
            <v>4.4999999999999998E-2</v>
          </cell>
          <cell r="CW31">
            <v>4.4999999999999998E-2</v>
          </cell>
          <cell r="CX31">
            <v>0.03</v>
          </cell>
          <cell r="CY31">
            <v>4.4999999999999998E-2</v>
          </cell>
          <cell r="CZ31">
            <v>4.4999999999999998E-2</v>
          </cell>
          <cell r="DA31">
            <v>0.03</v>
          </cell>
          <cell r="DB31">
            <v>4.4999999999999998E-2</v>
          </cell>
          <cell r="DC31">
            <v>4.4999999999999998E-2</v>
          </cell>
          <cell r="DD31">
            <v>0.03</v>
          </cell>
          <cell r="DE31">
            <v>4.4999999999999998E-2</v>
          </cell>
          <cell r="DF31">
            <v>4.4999999999999998E-2</v>
          </cell>
          <cell r="DG31">
            <v>0.03</v>
          </cell>
          <cell r="DH31">
            <v>4.4999999999999998E-2</v>
          </cell>
          <cell r="DI31">
            <v>4.4999999999999998E-2</v>
          </cell>
          <cell r="DJ31">
            <v>0.03</v>
          </cell>
          <cell r="DK31">
            <v>4.4999999999999998E-2</v>
          </cell>
          <cell r="DL31">
            <v>4.4999999999999998E-2</v>
          </cell>
          <cell r="DM31">
            <v>0.03</v>
          </cell>
          <cell r="DN31">
            <v>4.4999999999999998E-2</v>
          </cell>
          <cell r="DO31">
            <v>4.4999999999999998E-2</v>
          </cell>
          <cell r="DP31">
            <v>0.03</v>
          </cell>
          <cell r="DQ31">
            <v>4.4999999999999998E-2</v>
          </cell>
          <cell r="DR31">
            <v>4.4999999999999998E-2</v>
          </cell>
          <cell r="DS31">
            <v>0.03</v>
          </cell>
          <cell r="DT31">
            <v>4.4999999999999998E-2</v>
          </cell>
          <cell r="DU31">
            <v>4.4999999999999998E-2</v>
          </cell>
          <cell r="DV31">
            <v>0.03</v>
          </cell>
          <cell r="DW31">
            <v>4.4999999999999998E-2</v>
          </cell>
          <cell r="DX31">
            <v>4.4999999999999998E-2</v>
          </cell>
          <cell r="DY31">
            <v>0.03</v>
          </cell>
          <cell r="DZ31">
            <v>4.4999999999999998E-2</v>
          </cell>
          <cell r="EA31">
            <v>4.4999999999999998E-2</v>
          </cell>
          <cell r="EB31">
            <v>0.03</v>
          </cell>
          <cell r="EC31">
            <v>4.4999999999999998E-2</v>
          </cell>
          <cell r="ED31">
            <v>4.4999999999999998E-2</v>
          </cell>
          <cell r="EE31">
            <v>0.03</v>
          </cell>
          <cell r="EG31">
            <v>5.7499999999999989E-2</v>
          </cell>
          <cell r="EH31">
            <v>6.7500000000000004E-2</v>
          </cell>
          <cell r="EI31">
            <v>6.7500000000000004E-2</v>
          </cell>
          <cell r="EJ31">
            <v>6.7500000000000004E-2</v>
          </cell>
          <cell r="EK31">
            <v>6.7500000000000004E-2</v>
          </cell>
          <cell r="EL31">
            <v>6.7500000000000004E-2</v>
          </cell>
          <cell r="EM31">
            <v>6.7500000000000004E-2</v>
          </cell>
          <cell r="EN31">
            <v>6.7500000000000004E-2</v>
          </cell>
          <cell r="EO31">
            <v>6.7500000000000004E-2</v>
          </cell>
          <cell r="EP31">
            <v>6.7500000000000004E-2</v>
          </cell>
          <cell r="EQ31">
            <v>6.7500000000000004E-2</v>
          </cell>
          <cell r="ER31">
            <v>6.7500000000000004E-2</v>
          </cell>
          <cell r="ES31">
            <v>6.7500000000000004E-2</v>
          </cell>
          <cell r="EU31">
            <v>0.10999999999999999</v>
          </cell>
          <cell r="EV31">
            <v>0.12</v>
          </cell>
          <cell r="EW31">
            <v>0.12</v>
          </cell>
          <cell r="EX31">
            <v>0.12</v>
          </cell>
          <cell r="EY31">
            <v>0.12</v>
          </cell>
          <cell r="EZ31">
            <v>0.12</v>
          </cell>
          <cell r="FA31">
            <v>0.12</v>
          </cell>
          <cell r="FB31">
            <v>0.12</v>
          </cell>
          <cell r="FC31">
            <v>0.12</v>
          </cell>
          <cell r="FD31">
            <v>0.12</v>
          </cell>
          <cell r="FE31">
            <v>0.12</v>
          </cell>
          <cell r="FF31">
            <v>0.12</v>
          </cell>
          <cell r="FG31">
            <v>0.12</v>
          </cell>
        </row>
        <row r="32">
          <cell r="C32" t="str">
            <v>Berlingo MCA Multispace XL BlueHDi 100 Feel 5P</v>
          </cell>
          <cell r="D32" t="str">
            <v>Berlingo MCA Multispace XL BlueHDi 100 Feel 5P</v>
          </cell>
          <cell r="G32">
            <v>0.5</v>
          </cell>
          <cell r="H32">
            <v>0.5</v>
          </cell>
          <cell r="I32">
            <v>0.5</v>
          </cell>
          <cell r="J32">
            <v>0.5</v>
          </cell>
          <cell r="K32">
            <v>0.5</v>
          </cell>
          <cell r="L32">
            <v>0.5</v>
          </cell>
          <cell r="M32">
            <v>0.5</v>
          </cell>
          <cell r="N32">
            <v>0.5</v>
          </cell>
          <cell r="O32">
            <v>0.5</v>
          </cell>
          <cell r="P32">
            <v>0.5</v>
          </cell>
          <cell r="Q32">
            <v>0.5</v>
          </cell>
          <cell r="R32">
            <v>0.5</v>
          </cell>
          <cell r="U32">
            <v>0.5</v>
          </cell>
          <cell r="V32">
            <v>0</v>
          </cell>
          <cell r="W32">
            <v>0.5</v>
          </cell>
          <cell r="X32">
            <v>0.5</v>
          </cell>
          <cell r="Y32">
            <v>0</v>
          </cell>
          <cell r="Z32">
            <v>0.5</v>
          </cell>
          <cell r="AA32">
            <v>0.5</v>
          </cell>
          <cell r="AB32">
            <v>0</v>
          </cell>
          <cell r="AC32">
            <v>0.5</v>
          </cell>
          <cell r="AD32">
            <v>0.5</v>
          </cell>
          <cell r="AE32">
            <v>0</v>
          </cell>
          <cell r="AF32">
            <v>0.5</v>
          </cell>
          <cell r="AG32">
            <v>0.5</v>
          </cell>
          <cell r="AH32">
            <v>0</v>
          </cell>
          <cell r="AI32">
            <v>0.5</v>
          </cell>
          <cell r="AJ32">
            <v>0.5</v>
          </cell>
          <cell r="AK32">
            <v>0</v>
          </cell>
          <cell r="AL32">
            <v>0.5</v>
          </cell>
          <cell r="AM32">
            <v>0.5</v>
          </cell>
          <cell r="AN32">
            <v>0</v>
          </cell>
          <cell r="AO32">
            <v>0.5</v>
          </cell>
          <cell r="AP32">
            <v>0.5</v>
          </cell>
          <cell r="AQ32">
            <v>0</v>
          </cell>
          <cell r="AR32">
            <v>0.5</v>
          </cell>
          <cell r="AS32">
            <v>0.5</v>
          </cell>
          <cell r="AT32">
            <v>0</v>
          </cell>
          <cell r="AU32">
            <v>0.5</v>
          </cell>
          <cell r="AV32">
            <v>0.5</v>
          </cell>
          <cell r="AW32">
            <v>0</v>
          </cell>
          <cell r="AX32">
            <v>0.5</v>
          </cell>
          <cell r="AY32">
            <v>0.5</v>
          </cell>
          <cell r="AZ32">
            <v>0</v>
          </cell>
          <cell r="BA32">
            <v>0.5</v>
          </cell>
          <cell r="BB32">
            <v>0.5</v>
          </cell>
          <cell r="BC32">
            <v>0</v>
          </cell>
          <cell r="BD32">
            <v>0.5</v>
          </cell>
          <cell r="BG32">
            <v>9.9999999999999992E-2</v>
          </cell>
          <cell r="BH32">
            <v>9.9999999999999992E-2</v>
          </cell>
          <cell r="BI32">
            <v>0.12</v>
          </cell>
          <cell r="BJ32">
            <v>9.9999999999999992E-2</v>
          </cell>
          <cell r="BK32">
            <v>9.9999999999999992E-2</v>
          </cell>
          <cell r="BL32">
            <v>0.14000000000000001</v>
          </cell>
          <cell r="BM32">
            <v>9.9999999999999992E-2</v>
          </cell>
          <cell r="BN32">
            <v>9.9999999999999992E-2</v>
          </cell>
          <cell r="BO32">
            <v>0.14000000000000001</v>
          </cell>
          <cell r="BP32">
            <v>9.9999999999999992E-2</v>
          </cell>
          <cell r="BQ32">
            <v>9.9999999999999992E-2</v>
          </cell>
          <cell r="BR32">
            <v>0.14000000000000001</v>
          </cell>
          <cell r="BS32">
            <v>9.9999999999999992E-2</v>
          </cell>
          <cell r="BT32">
            <v>9.9999999999999992E-2</v>
          </cell>
          <cell r="BU32">
            <v>0.14000000000000001</v>
          </cell>
          <cell r="BV32">
            <v>9.9999999999999992E-2</v>
          </cell>
          <cell r="BW32">
            <v>9.9999999999999992E-2</v>
          </cell>
          <cell r="BX32">
            <v>0.14000000000000001</v>
          </cell>
          <cell r="BY32">
            <v>9.9999999999999992E-2</v>
          </cell>
          <cell r="BZ32">
            <v>9.9999999999999992E-2</v>
          </cell>
          <cell r="CA32">
            <v>0.14000000000000001</v>
          </cell>
          <cell r="CB32">
            <v>9.9999999999999992E-2</v>
          </cell>
          <cell r="CC32">
            <v>9.9999999999999992E-2</v>
          </cell>
          <cell r="CD32">
            <v>0.14000000000000001</v>
          </cell>
          <cell r="CE32">
            <v>9.9999999999999992E-2</v>
          </cell>
          <cell r="CF32">
            <v>9.9999999999999992E-2</v>
          </cell>
          <cell r="CG32">
            <v>0.14000000000000001</v>
          </cell>
          <cell r="CH32">
            <v>9.9999999999999992E-2</v>
          </cell>
          <cell r="CI32">
            <v>9.9999999999999992E-2</v>
          </cell>
          <cell r="CJ32">
            <v>0.14000000000000001</v>
          </cell>
          <cell r="CK32">
            <v>9.9999999999999992E-2</v>
          </cell>
          <cell r="CL32">
            <v>9.9999999999999992E-2</v>
          </cell>
          <cell r="CM32">
            <v>0.14000000000000001</v>
          </cell>
          <cell r="CN32">
            <v>9.9999999999999992E-2</v>
          </cell>
          <cell r="CO32">
            <v>9.9999999999999992E-2</v>
          </cell>
          <cell r="CP32">
            <v>0.14000000000000001</v>
          </cell>
          <cell r="CQ32">
            <v>9.9999999999999992E-2</v>
          </cell>
          <cell r="CR32">
            <v>9.9999999999999992E-2</v>
          </cell>
          <cell r="CS32">
            <v>0.14000000000000001</v>
          </cell>
          <cell r="CV32">
            <v>4.4999999999999998E-2</v>
          </cell>
          <cell r="CW32">
            <v>4.4999999999999998E-2</v>
          </cell>
          <cell r="CX32">
            <v>0.03</v>
          </cell>
          <cell r="CY32">
            <v>4.4999999999999998E-2</v>
          </cell>
          <cell r="CZ32">
            <v>4.4999999999999998E-2</v>
          </cell>
          <cell r="DA32">
            <v>0.03</v>
          </cell>
          <cell r="DB32">
            <v>4.4999999999999998E-2</v>
          </cell>
          <cell r="DC32">
            <v>4.4999999999999998E-2</v>
          </cell>
          <cell r="DD32">
            <v>0.03</v>
          </cell>
          <cell r="DE32">
            <v>4.4999999999999998E-2</v>
          </cell>
          <cell r="DF32">
            <v>4.4999999999999998E-2</v>
          </cell>
          <cell r="DG32">
            <v>0.03</v>
          </cell>
          <cell r="DH32">
            <v>4.4999999999999998E-2</v>
          </cell>
          <cell r="DI32">
            <v>4.4999999999999998E-2</v>
          </cell>
          <cell r="DJ32">
            <v>0.03</v>
          </cell>
          <cell r="DK32">
            <v>4.4999999999999998E-2</v>
          </cell>
          <cell r="DL32">
            <v>4.4999999999999998E-2</v>
          </cell>
          <cell r="DM32">
            <v>0.03</v>
          </cell>
          <cell r="DN32">
            <v>4.4999999999999998E-2</v>
          </cell>
          <cell r="DO32">
            <v>4.4999999999999998E-2</v>
          </cell>
          <cell r="DP32">
            <v>0.03</v>
          </cell>
          <cell r="DQ32">
            <v>4.4999999999999998E-2</v>
          </cell>
          <cell r="DR32">
            <v>4.4999999999999998E-2</v>
          </cell>
          <cell r="DS32">
            <v>0.03</v>
          </cell>
          <cell r="DT32">
            <v>4.4999999999999998E-2</v>
          </cell>
          <cell r="DU32">
            <v>4.4999999999999998E-2</v>
          </cell>
          <cell r="DV32">
            <v>0.03</v>
          </cell>
          <cell r="DW32">
            <v>4.4999999999999998E-2</v>
          </cell>
          <cell r="DX32">
            <v>4.4999999999999998E-2</v>
          </cell>
          <cell r="DY32">
            <v>0.03</v>
          </cell>
          <cell r="DZ32">
            <v>4.4999999999999998E-2</v>
          </cell>
          <cell r="EA32">
            <v>4.4999999999999998E-2</v>
          </cell>
          <cell r="EB32">
            <v>0.03</v>
          </cell>
          <cell r="EC32">
            <v>4.4999999999999998E-2</v>
          </cell>
          <cell r="ED32">
            <v>4.4999999999999998E-2</v>
          </cell>
          <cell r="EE32">
            <v>0.03</v>
          </cell>
          <cell r="EG32">
            <v>5.7499999999999989E-2</v>
          </cell>
          <cell r="EH32">
            <v>6.7500000000000004E-2</v>
          </cell>
          <cell r="EI32">
            <v>6.7500000000000004E-2</v>
          </cell>
          <cell r="EJ32">
            <v>6.7500000000000004E-2</v>
          </cell>
          <cell r="EK32">
            <v>6.7500000000000004E-2</v>
          </cell>
          <cell r="EL32">
            <v>6.7500000000000004E-2</v>
          </cell>
          <cell r="EM32">
            <v>6.7500000000000004E-2</v>
          </cell>
          <cell r="EN32">
            <v>6.7500000000000004E-2</v>
          </cell>
          <cell r="EO32">
            <v>6.7500000000000004E-2</v>
          </cell>
          <cell r="EP32">
            <v>6.7500000000000004E-2</v>
          </cell>
          <cell r="EQ32">
            <v>6.7500000000000004E-2</v>
          </cell>
          <cell r="ER32">
            <v>6.7500000000000004E-2</v>
          </cell>
          <cell r="ES32">
            <v>6.7500000000000004E-2</v>
          </cell>
          <cell r="EU32">
            <v>0.10999999999999999</v>
          </cell>
          <cell r="EV32">
            <v>0.12</v>
          </cell>
          <cell r="EW32">
            <v>0.12</v>
          </cell>
          <cell r="EX32">
            <v>0.12</v>
          </cell>
          <cell r="EY32">
            <v>0.12</v>
          </cell>
          <cell r="EZ32">
            <v>0.12</v>
          </cell>
          <cell r="FA32">
            <v>0.12</v>
          </cell>
          <cell r="FB32">
            <v>0.12</v>
          </cell>
          <cell r="FC32">
            <v>0.12</v>
          </cell>
          <cell r="FD32">
            <v>0.12</v>
          </cell>
          <cell r="FE32">
            <v>0.12</v>
          </cell>
          <cell r="FF32">
            <v>0.12</v>
          </cell>
          <cell r="FG32">
            <v>0.12</v>
          </cell>
        </row>
        <row r="33">
          <cell r="C33" t="str">
            <v>Berlingo MCA Multispace XL BlueHDi 130 EAT8 Feel 5P</v>
          </cell>
          <cell r="D33" t="str">
            <v>Berlingo MCA Multispace XL BlueHDi 130 EAT8 Feel 5P</v>
          </cell>
          <cell r="G33">
            <v>0.5</v>
          </cell>
          <cell r="H33">
            <v>0.5</v>
          </cell>
          <cell r="I33">
            <v>0.5</v>
          </cell>
          <cell r="J33">
            <v>0.5</v>
          </cell>
          <cell r="K33">
            <v>0.5</v>
          </cell>
          <cell r="L33">
            <v>0.5</v>
          </cell>
          <cell r="M33">
            <v>0.5</v>
          </cell>
          <cell r="N33">
            <v>0.5</v>
          </cell>
          <cell r="O33">
            <v>0.5</v>
          </cell>
          <cell r="P33">
            <v>0.5</v>
          </cell>
          <cell r="Q33">
            <v>0.5</v>
          </cell>
          <cell r="R33">
            <v>0.5</v>
          </cell>
          <cell r="U33">
            <v>0.5</v>
          </cell>
          <cell r="V33">
            <v>0</v>
          </cell>
          <cell r="W33">
            <v>0.5</v>
          </cell>
          <cell r="X33">
            <v>0.5</v>
          </cell>
          <cell r="Y33">
            <v>0</v>
          </cell>
          <cell r="Z33">
            <v>0.5</v>
          </cell>
          <cell r="AA33">
            <v>0.5</v>
          </cell>
          <cell r="AB33">
            <v>0</v>
          </cell>
          <cell r="AC33">
            <v>0.5</v>
          </cell>
          <cell r="AD33">
            <v>0.5</v>
          </cell>
          <cell r="AE33">
            <v>0</v>
          </cell>
          <cell r="AF33">
            <v>0.5</v>
          </cell>
          <cell r="AG33">
            <v>0.5</v>
          </cell>
          <cell r="AH33">
            <v>0</v>
          </cell>
          <cell r="AI33">
            <v>0.5</v>
          </cell>
          <cell r="AJ33">
            <v>0.5</v>
          </cell>
          <cell r="AK33">
            <v>0</v>
          </cell>
          <cell r="AL33">
            <v>0.5</v>
          </cell>
          <cell r="AM33">
            <v>0.5</v>
          </cell>
          <cell r="AN33">
            <v>0</v>
          </cell>
          <cell r="AO33">
            <v>0.5</v>
          </cell>
          <cell r="AP33">
            <v>0.5</v>
          </cell>
          <cell r="AQ33">
            <v>0</v>
          </cell>
          <cell r="AR33">
            <v>0.5</v>
          </cell>
          <cell r="AS33">
            <v>0.5</v>
          </cell>
          <cell r="AT33">
            <v>0</v>
          </cell>
          <cell r="AU33">
            <v>0.5</v>
          </cell>
          <cell r="AV33">
            <v>0.5</v>
          </cell>
          <cell r="AW33">
            <v>0</v>
          </cell>
          <cell r="AX33">
            <v>0.5</v>
          </cell>
          <cell r="AY33">
            <v>0.5</v>
          </cell>
          <cell r="AZ33">
            <v>0</v>
          </cell>
          <cell r="BA33">
            <v>0.5</v>
          </cell>
          <cell r="BB33">
            <v>0.5</v>
          </cell>
          <cell r="BC33">
            <v>0</v>
          </cell>
          <cell r="BD33">
            <v>0.5</v>
          </cell>
          <cell r="BG33">
            <v>9.9999999999999992E-2</v>
          </cell>
          <cell r="BH33">
            <v>9.9999999999999992E-2</v>
          </cell>
          <cell r="BI33">
            <v>0.12</v>
          </cell>
          <cell r="BJ33">
            <v>9.9999999999999992E-2</v>
          </cell>
          <cell r="BK33">
            <v>9.9999999999999992E-2</v>
          </cell>
          <cell r="BL33">
            <v>0.14000000000000001</v>
          </cell>
          <cell r="BM33">
            <v>9.9999999999999992E-2</v>
          </cell>
          <cell r="BN33">
            <v>9.9999999999999992E-2</v>
          </cell>
          <cell r="BO33">
            <v>0.14000000000000001</v>
          </cell>
          <cell r="BP33">
            <v>9.9999999999999992E-2</v>
          </cell>
          <cell r="BQ33">
            <v>9.9999999999999992E-2</v>
          </cell>
          <cell r="BR33">
            <v>0.14000000000000001</v>
          </cell>
          <cell r="BS33">
            <v>9.9999999999999992E-2</v>
          </cell>
          <cell r="BT33">
            <v>9.9999999999999992E-2</v>
          </cell>
          <cell r="BU33">
            <v>0.14000000000000001</v>
          </cell>
          <cell r="BV33">
            <v>9.9999999999999992E-2</v>
          </cell>
          <cell r="BW33">
            <v>9.9999999999999992E-2</v>
          </cell>
          <cell r="BX33">
            <v>0.14000000000000001</v>
          </cell>
          <cell r="BY33">
            <v>9.9999999999999992E-2</v>
          </cell>
          <cell r="BZ33">
            <v>9.9999999999999992E-2</v>
          </cell>
          <cell r="CA33">
            <v>0.14000000000000001</v>
          </cell>
          <cell r="CB33">
            <v>9.9999999999999992E-2</v>
          </cell>
          <cell r="CC33">
            <v>9.9999999999999992E-2</v>
          </cell>
          <cell r="CD33">
            <v>0.14000000000000001</v>
          </cell>
          <cell r="CE33">
            <v>9.9999999999999992E-2</v>
          </cell>
          <cell r="CF33">
            <v>9.9999999999999992E-2</v>
          </cell>
          <cell r="CG33">
            <v>0.14000000000000001</v>
          </cell>
          <cell r="CH33">
            <v>9.9999999999999992E-2</v>
          </cell>
          <cell r="CI33">
            <v>9.9999999999999992E-2</v>
          </cell>
          <cell r="CJ33">
            <v>0.14000000000000001</v>
          </cell>
          <cell r="CK33">
            <v>9.9999999999999992E-2</v>
          </cell>
          <cell r="CL33">
            <v>9.9999999999999992E-2</v>
          </cell>
          <cell r="CM33">
            <v>0.14000000000000001</v>
          </cell>
          <cell r="CN33">
            <v>9.9999999999999992E-2</v>
          </cell>
          <cell r="CO33">
            <v>9.9999999999999992E-2</v>
          </cell>
          <cell r="CP33">
            <v>0.14000000000000001</v>
          </cell>
          <cell r="CQ33">
            <v>9.9999999999999992E-2</v>
          </cell>
          <cell r="CR33">
            <v>9.9999999999999992E-2</v>
          </cell>
          <cell r="CS33">
            <v>0.14000000000000001</v>
          </cell>
          <cell r="CV33">
            <v>4.4999999999999998E-2</v>
          </cell>
          <cell r="CW33">
            <v>4.4999999999999998E-2</v>
          </cell>
          <cell r="CX33">
            <v>0.03</v>
          </cell>
          <cell r="CY33">
            <v>4.4999999999999998E-2</v>
          </cell>
          <cell r="CZ33">
            <v>4.4999999999999998E-2</v>
          </cell>
          <cell r="DA33">
            <v>0.03</v>
          </cell>
          <cell r="DB33">
            <v>4.4999999999999998E-2</v>
          </cell>
          <cell r="DC33">
            <v>4.4999999999999998E-2</v>
          </cell>
          <cell r="DD33">
            <v>0.03</v>
          </cell>
          <cell r="DE33">
            <v>4.4999999999999998E-2</v>
          </cell>
          <cell r="DF33">
            <v>4.4999999999999998E-2</v>
          </cell>
          <cell r="DG33">
            <v>0.03</v>
          </cell>
          <cell r="DH33">
            <v>4.4999999999999998E-2</v>
          </cell>
          <cell r="DI33">
            <v>4.4999999999999998E-2</v>
          </cell>
          <cell r="DJ33">
            <v>0.03</v>
          </cell>
          <cell r="DK33">
            <v>4.4999999999999998E-2</v>
          </cell>
          <cell r="DL33">
            <v>4.4999999999999998E-2</v>
          </cell>
          <cell r="DM33">
            <v>0.03</v>
          </cell>
          <cell r="DN33">
            <v>4.4999999999999998E-2</v>
          </cell>
          <cell r="DO33">
            <v>4.4999999999999998E-2</v>
          </cell>
          <cell r="DP33">
            <v>0.03</v>
          </cell>
          <cell r="DQ33">
            <v>4.4999999999999998E-2</v>
          </cell>
          <cell r="DR33">
            <v>4.4999999999999998E-2</v>
          </cell>
          <cell r="DS33">
            <v>0.03</v>
          </cell>
          <cell r="DT33">
            <v>4.4999999999999998E-2</v>
          </cell>
          <cell r="DU33">
            <v>4.4999999999999998E-2</v>
          </cell>
          <cell r="DV33">
            <v>0.03</v>
          </cell>
          <cell r="DW33">
            <v>4.4999999999999998E-2</v>
          </cell>
          <cell r="DX33">
            <v>4.4999999999999998E-2</v>
          </cell>
          <cell r="DY33">
            <v>0.03</v>
          </cell>
          <cell r="DZ33">
            <v>4.4999999999999998E-2</v>
          </cell>
          <cell r="EA33">
            <v>4.4999999999999998E-2</v>
          </cell>
          <cell r="EB33">
            <v>0.03</v>
          </cell>
          <cell r="EC33">
            <v>4.4999999999999998E-2</v>
          </cell>
          <cell r="ED33">
            <v>4.4999999999999998E-2</v>
          </cell>
          <cell r="EE33">
            <v>0.03</v>
          </cell>
          <cell r="EG33">
            <v>5.7499999999999989E-2</v>
          </cell>
          <cell r="EH33">
            <v>6.7500000000000004E-2</v>
          </cell>
          <cell r="EI33">
            <v>6.7500000000000004E-2</v>
          </cell>
          <cell r="EJ33">
            <v>6.7500000000000004E-2</v>
          </cell>
          <cell r="EK33">
            <v>6.7500000000000004E-2</v>
          </cell>
          <cell r="EL33">
            <v>6.7500000000000004E-2</v>
          </cell>
          <cell r="EM33">
            <v>6.7500000000000004E-2</v>
          </cell>
          <cell r="EN33">
            <v>6.7500000000000004E-2</v>
          </cell>
          <cell r="EO33">
            <v>6.7500000000000004E-2</v>
          </cell>
          <cell r="EP33">
            <v>6.7500000000000004E-2</v>
          </cell>
          <cell r="EQ33">
            <v>6.7500000000000004E-2</v>
          </cell>
          <cell r="ER33">
            <v>6.7500000000000004E-2</v>
          </cell>
          <cell r="ES33">
            <v>6.7500000000000004E-2</v>
          </cell>
          <cell r="EU33">
            <v>0.10999999999999999</v>
          </cell>
          <cell r="EV33">
            <v>0.12</v>
          </cell>
          <cell r="EW33">
            <v>0.12</v>
          </cell>
          <cell r="EX33">
            <v>0.12</v>
          </cell>
          <cell r="EY33">
            <v>0.12</v>
          </cell>
          <cell r="EZ33">
            <v>0.12</v>
          </cell>
          <cell r="FA33">
            <v>0.12</v>
          </cell>
          <cell r="FB33">
            <v>0.12</v>
          </cell>
          <cell r="FC33">
            <v>0.12</v>
          </cell>
          <cell r="FD33">
            <v>0.12</v>
          </cell>
          <cell r="FE33">
            <v>0.12</v>
          </cell>
          <cell r="FF33">
            <v>0.12</v>
          </cell>
          <cell r="FG33">
            <v>0.12</v>
          </cell>
        </row>
        <row r="34">
          <cell r="C34" t="str">
            <v>Berlingo MCA M BlueHDi 100</v>
          </cell>
          <cell r="D34" t="str">
            <v>BERLINGO MCA M BlueHDi 100</v>
          </cell>
          <cell r="G34">
            <v>0.8</v>
          </cell>
          <cell r="H34">
            <v>0.8</v>
          </cell>
          <cell r="I34">
            <v>0.8</v>
          </cell>
          <cell r="J34">
            <v>0.8</v>
          </cell>
          <cell r="K34">
            <v>0.8</v>
          </cell>
          <cell r="L34">
            <v>0.8</v>
          </cell>
          <cell r="M34">
            <v>0.8</v>
          </cell>
          <cell r="N34">
            <v>0.8</v>
          </cell>
          <cell r="O34">
            <v>0.8</v>
          </cell>
          <cell r="P34">
            <v>0.8</v>
          </cell>
          <cell r="Q34">
            <v>0.8</v>
          </cell>
          <cell r="R34">
            <v>0.8</v>
          </cell>
          <cell r="U34">
            <v>0.5</v>
          </cell>
          <cell r="V34">
            <v>0.25</v>
          </cell>
          <cell r="W34">
            <v>0.25</v>
          </cell>
          <cell r="X34">
            <v>0.1</v>
          </cell>
          <cell r="Y34">
            <v>0.1</v>
          </cell>
          <cell r="Z34">
            <v>0.8</v>
          </cell>
          <cell r="AA34">
            <v>0.1</v>
          </cell>
          <cell r="AB34">
            <v>0.2</v>
          </cell>
          <cell r="AC34">
            <v>0.7</v>
          </cell>
          <cell r="AD34">
            <v>0.1</v>
          </cell>
          <cell r="AE34">
            <v>0.1</v>
          </cell>
          <cell r="AF34">
            <v>0.8</v>
          </cell>
          <cell r="AG34">
            <v>0.45</v>
          </cell>
          <cell r="AH34">
            <v>0.2</v>
          </cell>
          <cell r="AI34">
            <v>0.35</v>
          </cell>
          <cell r="AJ34">
            <v>0.45</v>
          </cell>
          <cell r="AK34">
            <v>0.2</v>
          </cell>
          <cell r="AL34">
            <v>0.35</v>
          </cell>
          <cell r="AM34">
            <v>0.5</v>
          </cell>
          <cell r="AN34">
            <v>0.25</v>
          </cell>
          <cell r="AO34">
            <v>0.25</v>
          </cell>
          <cell r="AP34">
            <v>0.5</v>
          </cell>
          <cell r="AQ34">
            <v>0.25</v>
          </cell>
          <cell r="AR34">
            <v>0.25</v>
          </cell>
          <cell r="AS34">
            <v>0.5</v>
          </cell>
          <cell r="AT34">
            <v>0.25</v>
          </cell>
          <cell r="AU34">
            <v>0.25</v>
          </cell>
          <cell r="AV34">
            <v>0.5</v>
          </cell>
          <cell r="AW34">
            <v>0.25</v>
          </cell>
          <cell r="AX34">
            <v>0.25</v>
          </cell>
          <cell r="AY34">
            <v>0.5</v>
          </cell>
          <cell r="AZ34">
            <v>0.25</v>
          </cell>
          <cell r="BA34">
            <v>0.25</v>
          </cell>
          <cell r="BB34">
            <v>0.5</v>
          </cell>
          <cell r="BC34">
            <v>0.25</v>
          </cell>
          <cell r="BD34">
            <v>0.25</v>
          </cell>
          <cell r="BG34">
            <v>0.105</v>
          </cell>
          <cell r="BH34">
            <v>0.14499999999999999</v>
          </cell>
          <cell r="BI34">
            <v>0.22500000000000001</v>
          </cell>
          <cell r="BJ34">
            <v>0.1</v>
          </cell>
          <cell r="BK34">
            <v>0.14000000000000001</v>
          </cell>
          <cell r="BL34">
            <v>0.22</v>
          </cell>
          <cell r="BM34">
            <v>0.1</v>
          </cell>
          <cell r="BN34">
            <v>0.14000000000000001</v>
          </cell>
          <cell r="BO34">
            <v>0.24</v>
          </cell>
          <cell r="BP34">
            <v>0.1</v>
          </cell>
          <cell r="BQ34">
            <v>0.14000000000000001</v>
          </cell>
          <cell r="BR34">
            <v>0.18</v>
          </cell>
          <cell r="BS34">
            <v>0.1</v>
          </cell>
          <cell r="BT34">
            <v>0.14000000000000001</v>
          </cell>
          <cell r="BU34">
            <v>0.22</v>
          </cell>
          <cell r="BV34">
            <v>0.12</v>
          </cell>
          <cell r="BW34">
            <v>0.16</v>
          </cell>
          <cell r="BX34">
            <v>0.2</v>
          </cell>
          <cell r="BY34">
            <v>0.14000000000000001</v>
          </cell>
          <cell r="BZ34">
            <v>0.18</v>
          </cell>
          <cell r="CA34">
            <v>0.22</v>
          </cell>
          <cell r="CB34">
            <v>0.14000000000000001</v>
          </cell>
          <cell r="CC34">
            <v>0.18</v>
          </cell>
          <cell r="CD34">
            <v>0.22</v>
          </cell>
          <cell r="CE34">
            <v>0.14000000000000001</v>
          </cell>
          <cell r="CF34">
            <v>0.18</v>
          </cell>
          <cell r="CG34">
            <v>0.22</v>
          </cell>
          <cell r="CH34">
            <v>0.14000000000000001</v>
          </cell>
          <cell r="CI34">
            <v>0.18</v>
          </cell>
          <cell r="CJ34">
            <v>0.22</v>
          </cell>
          <cell r="CK34">
            <v>0.14000000000000001</v>
          </cell>
          <cell r="CL34">
            <v>0.18</v>
          </cell>
          <cell r="CM34">
            <v>0.22</v>
          </cell>
          <cell r="CN34">
            <v>0.14000000000000001</v>
          </cell>
          <cell r="CO34">
            <v>0.18</v>
          </cell>
          <cell r="CP34">
            <v>0.22</v>
          </cell>
          <cell r="CQ34">
            <v>0.14000000000000001</v>
          </cell>
          <cell r="CR34">
            <v>0.18</v>
          </cell>
          <cell r="CS34">
            <v>0.22</v>
          </cell>
          <cell r="CV34">
            <v>5.5E-2</v>
          </cell>
          <cell r="CW34">
            <v>0.05</v>
          </cell>
          <cell r="CX34">
            <v>0.03</v>
          </cell>
          <cell r="CY34">
            <v>5.5E-2</v>
          </cell>
          <cell r="CZ34">
            <v>0.05</v>
          </cell>
          <cell r="DA34">
            <v>0.03</v>
          </cell>
          <cell r="DB34">
            <v>5.5E-2</v>
          </cell>
          <cell r="DC34">
            <v>0.05</v>
          </cell>
          <cell r="DD34">
            <v>0.04</v>
          </cell>
          <cell r="DE34">
            <v>5.5E-2</v>
          </cell>
          <cell r="DF34">
            <v>0.05</v>
          </cell>
          <cell r="DG34">
            <v>0.03</v>
          </cell>
          <cell r="DH34">
            <v>5.5E-2</v>
          </cell>
          <cell r="DI34">
            <v>0.05</v>
          </cell>
          <cell r="DJ34">
            <v>0.03</v>
          </cell>
          <cell r="DK34">
            <v>5.5E-2</v>
          </cell>
          <cell r="DL34">
            <v>0.05</v>
          </cell>
          <cell r="DM34">
            <v>0.03</v>
          </cell>
          <cell r="DN34">
            <v>5.5E-2</v>
          </cell>
          <cell r="DO34">
            <v>0.05</v>
          </cell>
          <cell r="DP34">
            <v>0.03</v>
          </cell>
          <cell r="DQ34">
            <v>5.5E-2</v>
          </cell>
          <cell r="DR34">
            <v>0.05</v>
          </cell>
          <cell r="DS34">
            <v>0.03</v>
          </cell>
          <cell r="DT34">
            <v>5.5E-2</v>
          </cell>
          <cell r="DU34">
            <v>0.05</v>
          </cell>
          <cell r="DV34">
            <v>0.03</v>
          </cell>
          <cell r="DW34">
            <v>5.5E-2</v>
          </cell>
          <cell r="DX34">
            <v>0.05</v>
          </cell>
          <cell r="DY34">
            <v>0.03</v>
          </cell>
          <cell r="DZ34">
            <v>5.5E-2</v>
          </cell>
          <cell r="EA34">
            <v>0.05</v>
          </cell>
          <cell r="EB34">
            <v>0.03</v>
          </cell>
          <cell r="EC34">
            <v>5.5E-2</v>
          </cell>
          <cell r="ED34">
            <v>0.05</v>
          </cell>
          <cell r="EE34">
            <v>0.03</v>
          </cell>
          <cell r="EG34">
            <v>9.2499999999999985E-2</v>
          </cell>
          <cell r="EH34">
            <v>8.7500000000000008E-2</v>
          </cell>
          <cell r="EI34">
            <v>0.15049999999999999</v>
          </cell>
          <cell r="EJ34">
            <v>0.1075</v>
          </cell>
          <cell r="EK34">
            <v>0.13450000000000001</v>
          </cell>
          <cell r="EL34">
            <v>0.10124999999999997</v>
          </cell>
          <cell r="EM34">
            <v>0.12124999999999998</v>
          </cell>
          <cell r="EN34">
            <v>0.11750000000000001</v>
          </cell>
          <cell r="EO34">
            <v>0.11750000000000001</v>
          </cell>
          <cell r="EP34">
            <v>0.11750000000000001</v>
          </cell>
          <cell r="EQ34">
            <v>0.11750000000000001</v>
          </cell>
          <cell r="ER34">
            <v>0.11750000000000001</v>
          </cell>
          <cell r="ES34">
            <v>0.11750000000000001</v>
          </cell>
          <cell r="EU34">
            <v>0.14499999999999999</v>
          </cell>
          <cell r="EV34">
            <v>0.14000000000000001</v>
          </cell>
          <cell r="EW34">
            <v>0.216</v>
          </cell>
          <cell r="EX34">
            <v>0.16400000000000001</v>
          </cell>
          <cell r="EY34">
            <v>0.2</v>
          </cell>
          <cell r="EZ34">
            <v>0.15599999999999997</v>
          </cell>
          <cell r="FA34">
            <v>0.17599999999999999</v>
          </cell>
          <cell r="FB34">
            <v>0.17</v>
          </cell>
          <cell r="FC34">
            <v>0.17</v>
          </cell>
          <cell r="FD34">
            <v>0.17</v>
          </cell>
          <cell r="FE34">
            <v>0.17</v>
          </cell>
          <cell r="FF34">
            <v>0.17</v>
          </cell>
          <cell r="FG34">
            <v>0.17</v>
          </cell>
        </row>
        <row r="35">
          <cell r="C35" t="str">
            <v>Berlingo MCA XL BlueHDi 100</v>
          </cell>
          <cell r="D35" t="str">
            <v>BERLINGO MCA XL BlueHDi 100</v>
          </cell>
          <cell r="G35">
            <v>0.8</v>
          </cell>
          <cell r="H35">
            <v>0.8</v>
          </cell>
          <cell r="I35">
            <v>0.8</v>
          </cell>
          <cell r="J35">
            <v>0.8</v>
          </cell>
          <cell r="K35">
            <v>0.8</v>
          </cell>
          <cell r="L35">
            <v>0.8</v>
          </cell>
          <cell r="M35">
            <v>0.8</v>
          </cell>
          <cell r="N35">
            <v>0.8</v>
          </cell>
          <cell r="O35">
            <v>0.8</v>
          </cell>
          <cell r="P35">
            <v>0.8</v>
          </cell>
          <cell r="Q35">
            <v>0.8</v>
          </cell>
          <cell r="R35">
            <v>0.8</v>
          </cell>
          <cell r="U35">
            <v>0.5</v>
          </cell>
          <cell r="V35">
            <v>0.25</v>
          </cell>
          <cell r="W35">
            <v>0.25</v>
          </cell>
          <cell r="X35">
            <v>0.5</v>
          </cell>
          <cell r="Y35">
            <v>0.25</v>
          </cell>
          <cell r="Z35">
            <v>0.25</v>
          </cell>
          <cell r="AA35">
            <v>0.1</v>
          </cell>
          <cell r="AB35">
            <v>0.2</v>
          </cell>
          <cell r="AC35">
            <v>0.7</v>
          </cell>
          <cell r="AD35">
            <v>0.45</v>
          </cell>
          <cell r="AE35">
            <v>0.2</v>
          </cell>
          <cell r="AF35">
            <v>0.35</v>
          </cell>
          <cell r="AG35">
            <v>0.45</v>
          </cell>
          <cell r="AH35">
            <v>0.2</v>
          </cell>
          <cell r="AI35">
            <v>0.35</v>
          </cell>
          <cell r="AJ35">
            <v>0.45</v>
          </cell>
          <cell r="AK35">
            <v>0.2</v>
          </cell>
          <cell r="AL35">
            <v>0.35</v>
          </cell>
          <cell r="AM35">
            <v>0.5</v>
          </cell>
          <cell r="AN35">
            <v>0.25</v>
          </cell>
          <cell r="AO35">
            <v>0.25</v>
          </cell>
          <cell r="AP35">
            <v>0.5</v>
          </cell>
          <cell r="AQ35">
            <v>0.25</v>
          </cell>
          <cell r="AR35">
            <v>0.25</v>
          </cell>
          <cell r="AS35">
            <v>0.5</v>
          </cell>
          <cell r="AT35">
            <v>0.25</v>
          </cell>
          <cell r="AU35">
            <v>0.25</v>
          </cell>
          <cell r="AV35">
            <v>0.5</v>
          </cell>
          <cell r="AW35">
            <v>0.25</v>
          </cell>
          <cell r="AX35">
            <v>0.25</v>
          </cell>
          <cell r="AY35">
            <v>0.5</v>
          </cell>
          <cell r="AZ35">
            <v>0.25</v>
          </cell>
          <cell r="BA35">
            <v>0.25</v>
          </cell>
          <cell r="BB35">
            <v>0.5</v>
          </cell>
          <cell r="BC35">
            <v>0.25</v>
          </cell>
          <cell r="BD35">
            <v>0.25</v>
          </cell>
          <cell r="BG35">
            <v>0.105</v>
          </cell>
          <cell r="BH35">
            <v>0.14499999999999999</v>
          </cell>
          <cell r="BI35">
            <v>0.20499999999999999</v>
          </cell>
          <cell r="BJ35">
            <v>0.1</v>
          </cell>
          <cell r="BK35">
            <v>0.14000000000000001</v>
          </cell>
          <cell r="BL35">
            <v>0.22</v>
          </cell>
          <cell r="BM35">
            <v>0.1</v>
          </cell>
          <cell r="BN35">
            <v>0.14000000000000001</v>
          </cell>
          <cell r="BO35">
            <v>0.22</v>
          </cell>
          <cell r="BP35">
            <v>0.1</v>
          </cell>
          <cell r="BQ35">
            <v>0.14000000000000001</v>
          </cell>
          <cell r="BR35">
            <v>0.18</v>
          </cell>
          <cell r="BS35">
            <v>0.1</v>
          </cell>
          <cell r="BT35">
            <v>0.14000000000000001</v>
          </cell>
          <cell r="BU35">
            <v>0.22</v>
          </cell>
          <cell r="BV35">
            <v>0.12</v>
          </cell>
          <cell r="BW35">
            <v>0.16</v>
          </cell>
          <cell r="BX35">
            <v>0.2</v>
          </cell>
          <cell r="BY35">
            <v>0.14000000000000001</v>
          </cell>
          <cell r="BZ35">
            <v>0.18</v>
          </cell>
          <cell r="CA35">
            <v>0.22</v>
          </cell>
          <cell r="CB35">
            <v>0.14000000000000001</v>
          </cell>
          <cell r="CC35">
            <v>0.18</v>
          </cell>
          <cell r="CD35">
            <v>0.22</v>
          </cell>
          <cell r="CE35">
            <v>0.14000000000000001</v>
          </cell>
          <cell r="CF35">
            <v>0.18</v>
          </cell>
          <cell r="CG35">
            <v>0.22</v>
          </cell>
          <cell r="CH35">
            <v>0.14000000000000001</v>
          </cell>
          <cell r="CI35">
            <v>0.18</v>
          </cell>
          <cell r="CJ35">
            <v>0.22</v>
          </cell>
          <cell r="CK35">
            <v>0.14000000000000001</v>
          </cell>
          <cell r="CL35">
            <v>0.18</v>
          </cell>
          <cell r="CM35">
            <v>0.22</v>
          </cell>
          <cell r="CN35">
            <v>0.14000000000000001</v>
          </cell>
          <cell r="CO35">
            <v>0.18</v>
          </cell>
          <cell r="CP35">
            <v>0.22</v>
          </cell>
          <cell r="CQ35">
            <v>0.14000000000000001</v>
          </cell>
          <cell r="CR35">
            <v>0.18</v>
          </cell>
          <cell r="CS35">
            <v>0.22</v>
          </cell>
          <cell r="CV35">
            <v>5.5E-2</v>
          </cell>
          <cell r="CW35">
            <v>0.05</v>
          </cell>
          <cell r="CX35">
            <v>0.03</v>
          </cell>
          <cell r="CY35">
            <v>5.5E-2</v>
          </cell>
          <cell r="CZ35">
            <v>0.05</v>
          </cell>
          <cell r="DA35">
            <v>0.03</v>
          </cell>
          <cell r="DB35">
            <v>5.5E-2</v>
          </cell>
          <cell r="DC35">
            <v>0.05</v>
          </cell>
          <cell r="DD35">
            <v>0.04</v>
          </cell>
          <cell r="DE35">
            <v>5.5E-2</v>
          </cell>
          <cell r="DF35">
            <v>0.05</v>
          </cell>
          <cell r="DG35">
            <v>0.03</v>
          </cell>
          <cell r="DH35">
            <v>5.5E-2</v>
          </cell>
          <cell r="DI35">
            <v>0.05</v>
          </cell>
          <cell r="DJ35">
            <v>0.03</v>
          </cell>
          <cell r="DK35">
            <v>5.5E-2</v>
          </cell>
          <cell r="DL35">
            <v>0.05</v>
          </cell>
          <cell r="DM35">
            <v>0.03</v>
          </cell>
          <cell r="DN35">
            <v>5.5E-2</v>
          </cell>
          <cell r="DO35">
            <v>0.05</v>
          </cell>
          <cell r="DP35">
            <v>0.03</v>
          </cell>
          <cell r="DQ35">
            <v>5.5E-2</v>
          </cell>
          <cell r="DR35">
            <v>0.05</v>
          </cell>
          <cell r="DS35">
            <v>0.03</v>
          </cell>
          <cell r="DT35">
            <v>5.5E-2</v>
          </cell>
          <cell r="DU35">
            <v>0.05</v>
          </cell>
          <cell r="DV35">
            <v>0.03</v>
          </cell>
          <cell r="DW35">
            <v>5.5E-2</v>
          </cell>
          <cell r="DX35">
            <v>0.05</v>
          </cell>
          <cell r="DY35">
            <v>0.03</v>
          </cell>
          <cell r="DZ35">
            <v>5.5E-2</v>
          </cell>
          <cell r="EA35">
            <v>0.05</v>
          </cell>
          <cell r="EB35">
            <v>0.03</v>
          </cell>
          <cell r="EC35">
            <v>5.5E-2</v>
          </cell>
          <cell r="ED35">
            <v>0.05</v>
          </cell>
          <cell r="EE35">
            <v>0.03</v>
          </cell>
          <cell r="EG35">
            <v>8.7499999999999981E-2</v>
          </cell>
          <cell r="EH35">
            <v>8.7500000000000008E-2</v>
          </cell>
          <cell r="EI35">
            <v>8.7500000000000008E-2</v>
          </cell>
          <cell r="EJ35">
            <v>0.1075</v>
          </cell>
          <cell r="EK35">
            <v>9.5250000000000015E-2</v>
          </cell>
          <cell r="EL35">
            <v>0.10124999999999997</v>
          </cell>
          <cell r="EM35">
            <v>0.12124999999999998</v>
          </cell>
          <cell r="EN35">
            <v>0.11750000000000001</v>
          </cell>
          <cell r="EO35">
            <v>0.11750000000000001</v>
          </cell>
          <cell r="EP35">
            <v>0.11750000000000001</v>
          </cell>
          <cell r="EQ35">
            <v>0.11750000000000001</v>
          </cell>
          <cell r="ER35">
            <v>0.11750000000000001</v>
          </cell>
          <cell r="ES35">
            <v>0.11750000000000001</v>
          </cell>
          <cell r="EU35">
            <v>0.13999999999999999</v>
          </cell>
          <cell r="EV35">
            <v>0.14000000000000001</v>
          </cell>
          <cell r="EW35">
            <v>0.14000000000000001</v>
          </cell>
          <cell r="EX35">
            <v>0.16400000000000001</v>
          </cell>
          <cell r="EY35">
            <v>0.15000000000000002</v>
          </cell>
          <cell r="EZ35">
            <v>0.15599999999999997</v>
          </cell>
          <cell r="FA35">
            <v>0.17599999999999999</v>
          </cell>
          <cell r="FB35">
            <v>0.17</v>
          </cell>
          <cell r="FC35">
            <v>0.17</v>
          </cell>
          <cell r="FD35">
            <v>0.17</v>
          </cell>
          <cell r="FE35">
            <v>0.17</v>
          </cell>
          <cell r="FF35">
            <v>0.17</v>
          </cell>
          <cell r="FG35">
            <v>0.17</v>
          </cell>
        </row>
        <row r="36">
          <cell r="C36" t="str">
            <v>Spacetourer MCA BlueHDi 180 EAT8 8P</v>
          </cell>
          <cell r="D36" t="str">
            <v>Spacetourer MCA BlueHDi 180 EAT8 8P</v>
          </cell>
          <cell r="G36">
            <v>0.7</v>
          </cell>
          <cell r="H36">
            <v>0.7</v>
          </cell>
          <cell r="I36">
            <v>0.7</v>
          </cell>
          <cell r="J36">
            <v>0.7</v>
          </cell>
          <cell r="K36">
            <v>0.7</v>
          </cell>
          <cell r="L36">
            <v>0.7</v>
          </cell>
          <cell r="M36">
            <v>0.7</v>
          </cell>
          <cell r="N36">
            <v>0.7</v>
          </cell>
          <cell r="O36">
            <v>0.7</v>
          </cell>
          <cell r="P36">
            <v>0.7</v>
          </cell>
          <cell r="Q36">
            <v>0.7</v>
          </cell>
          <cell r="R36">
            <v>0.7</v>
          </cell>
          <cell r="U36">
            <v>0.5</v>
          </cell>
          <cell r="V36">
            <v>0.25</v>
          </cell>
          <cell r="W36">
            <v>0.25</v>
          </cell>
          <cell r="X36">
            <v>0.5</v>
          </cell>
          <cell r="Y36">
            <v>0.25</v>
          </cell>
          <cell r="Z36">
            <v>0.25</v>
          </cell>
          <cell r="AA36">
            <v>0.1</v>
          </cell>
          <cell r="AB36">
            <v>0.2</v>
          </cell>
          <cell r="AC36">
            <v>0.7</v>
          </cell>
          <cell r="AD36">
            <v>0</v>
          </cell>
          <cell r="AE36">
            <v>0</v>
          </cell>
          <cell r="AF36">
            <v>1</v>
          </cell>
          <cell r="AG36">
            <v>0.35</v>
          </cell>
          <cell r="AH36">
            <v>0.25</v>
          </cell>
          <cell r="AI36">
            <v>0.4</v>
          </cell>
          <cell r="AJ36">
            <v>0.35</v>
          </cell>
          <cell r="AK36">
            <v>0.25</v>
          </cell>
          <cell r="AL36">
            <v>0.4</v>
          </cell>
          <cell r="AM36">
            <v>0.5</v>
          </cell>
          <cell r="AN36">
            <v>0.25</v>
          </cell>
          <cell r="AO36">
            <v>0.25</v>
          </cell>
          <cell r="AP36">
            <v>0.5</v>
          </cell>
          <cell r="AQ36">
            <v>0.25</v>
          </cell>
          <cell r="AR36">
            <v>0.25</v>
          </cell>
          <cell r="AS36">
            <v>0.5</v>
          </cell>
          <cell r="AT36">
            <v>0.25</v>
          </cell>
          <cell r="AU36">
            <v>0.25</v>
          </cell>
          <cell r="AV36">
            <v>0.5</v>
          </cell>
          <cell r="AW36">
            <v>0.25</v>
          </cell>
          <cell r="AX36">
            <v>0.25</v>
          </cell>
          <cell r="AY36">
            <v>0.5</v>
          </cell>
          <cell r="AZ36">
            <v>0.25</v>
          </cell>
          <cell r="BA36">
            <v>0.25</v>
          </cell>
          <cell r="BB36">
            <v>0.5</v>
          </cell>
          <cell r="BC36">
            <v>0.25</v>
          </cell>
          <cell r="BD36">
            <v>0.25</v>
          </cell>
          <cell r="BG36">
            <v>0.1</v>
          </cell>
          <cell r="BH36">
            <v>0.14000000000000001</v>
          </cell>
          <cell r="BI36">
            <v>0.16</v>
          </cell>
          <cell r="BJ36">
            <v>0.1</v>
          </cell>
          <cell r="BK36">
            <v>0.14000000000000001</v>
          </cell>
          <cell r="BL36">
            <v>0.16</v>
          </cell>
          <cell r="BM36">
            <v>0.14000000000000001</v>
          </cell>
          <cell r="BN36">
            <v>0.14000000000000001</v>
          </cell>
          <cell r="BO36">
            <v>0.16</v>
          </cell>
          <cell r="BP36">
            <v>0.14000000000000001</v>
          </cell>
          <cell r="BQ36">
            <v>0.14000000000000001</v>
          </cell>
          <cell r="BR36">
            <v>0.16</v>
          </cell>
          <cell r="BS36">
            <v>0.14000000000000001</v>
          </cell>
          <cell r="BT36">
            <v>0.14000000000000001</v>
          </cell>
          <cell r="BU36">
            <v>0.16</v>
          </cell>
          <cell r="BV36">
            <v>0.14000000000000001</v>
          </cell>
          <cell r="BW36">
            <v>0.14000000000000001</v>
          </cell>
          <cell r="BX36">
            <v>0.16</v>
          </cell>
          <cell r="BY36">
            <v>0.14000000000000001</v>
          </cell>
          <cell r="BZ36">
            <v>0.14000000000000001</v>
          </cell>
          <cell r="CA36">
            <v>0.16</v>
          </cell>
          <cell r="CB36">
            <v>0.14000000000000001</v>
          </cell>
          <cell r="CC36">
            <v>0.14000000000000001</v>
          </cell>
          <cell r="CD36">
            <v>0.16</v>
          </cell>
          <cell r="CE36">
            <v>0.14000000000000001</v>
          </cell>
          <cell r="CF36">
            <v>0.14000000000000001</v>
          </cell>
          <cell r="CG36">
            <v>0.16</v>
          </cell>
          <cell r="CH36">
            <v>0.14000000000000001</v>
          </cell>
          <cell r="CI36">
            <v>0.14000000000000001</v>
          </cell>
          <cell r="CJ36">
            <v>0.16</v>
          </cell>
          <cell r="CK36">
            <v>0.14000000000000001</v>
          </cell>
          <cell r="CL36">
            <v>0.14000000000000001</v>
          </cell>
          <cell r="CM36">
            <v>0.16</v>
          </cell>
          <cell r="CN36">
            <v>0.14000000000000001</v>
          </cell>
          <cell r="CO36">
            <v>0.14000000000000001</v>
          </cell>
          <cell r="CP36">
            <v>0.16</v>
          </cell>
          <cell r="CQ36">
            <v>0.14000000000000001</v>
          </cell>
          <cell r="CR36">
            <v>0.14000000000000001</v>
          </cell>
          <cell r="CS36">
            <v>0.16</v>
          </cell>
          <cell r="CV36">
            <v>0.06</v>
          </cell>
          <cell r="CW36">
            <v>0.05</v>
          </cell>
          <cell r="CX36">
            <v>0.03</v>
          </cell>
          <cell r="CY36">
            <v>0.06</v>
          </cell>
          <cell r="CZ36">
            <v>0.05</v>
          </cell>
          <cell r="DA36">
            <v>0.03</v>
          </cell>
          <cell r="DB36">
            <v>0.05</v>
          </cell>
          <cell r="DC36">
            <v>0.05</v>
          </cell>
          <cell r="DD36">
            <v>0.04</v>
          </cell>
          <cell r="DE36">
            <v>0.05</v>
          </cell>
          <cell r="DF36">
            <v>0.05</v>
          </cell>
          <cell r="DG36">
            <v>0.04</v>
          </cell>
          <cell r="DH36">
            <v>0.05</v>
          </cell>
          <cell r="DI36">
            <v>0.05</v>
          </cell>
          <cell r="DJ36">
            <v>0.04</v>
          </cell>
          <cell r="DK36">
            <v>0.05</v>
          </cell>
          <cell r="DL36">
            <v>0.05</v>
          </cell>
          <cell r="DM36">
            <v>0.04</v>
          </cell>
          <cell r="DN36">
            <v>0.05</v>
          </cell>
          <cell r="DO36">
            <v>0.05</v>
          </cell>
          <cell r="DP36">
            <v>0.04</v>
          </cell>
          <cell r="DQ36">
            <v>0.05</v>
          </cell>
          <cell r="DR36">
            <v>0.05</v>
          </cell>
          <cell r="DS36">
            <v>0.04</v>
          </cell>
          <cell r="DT36">
            <v>0.05</v>
          </cell>
          <cell r="DU36">
            <v>0.05</v>
          </cell>
          <cell r="DV36">
            <v>0.04</v>
          </cell>
          <cell r="DW36">
            <v>0.05</v>
          </cell>
          <cell r="DX36">
            <v>0.05</v>
          </cell>
          <cell r="DY36">
            <v>0.04</v>
          </cell>
          <cell r="DZ36">
            <v>0.05</v>
          </cell>
          <cell r="EA36">
            <v>0.05</v>
          </cell>
          <cell r="EB36">
            <v>0.04</v>
          </cell>
          <cell r="EC36">
            <v>0.05</v>
          </cell>
          <cell r="ED36">
            <v>0.05</v>
          </cell>
          <cell r="EE36">
            <v>0.04</v>
          </cell>
          <cell r="EG36">
            <v>7.4999999999999983E-2</v>
          </cell>
          <cell r="EH36">
            <v>7.4999999999999983E-2</v>
          </cell>
          <cell r="EI36">
            <v>9.5000000000000001E-2</v>
          </cell>
          <cell r="EJ36">
            <v>9.6999999999999989E-2</v>
          </cell>
          <cell r="EK36">
            <v>0.1</v>
          </cell>
          <cell r="EL36">
            <v>9.4000000000000014E-2</v>
          </cell>
          <cell r="EM36">
            <v>9.4000000000000014E-2</v>
          </cell>
          <cell r="EN36">
            <v>9.2500000000000027E-2</v>
          </cell>
          <cell r="EO36">
            <v>9.2500000000000027E-2</v>
          </cell>
          <cell r="EP36">
            <v>9.2500000000000027E-2</v>
          </cell>
          <cell r="EQ36">
            <v>9.2500000000000027E-2</v>
          </cell>
          <cell r="ER36">
            <v>9.2500000000000027E-2</v>
          </cell>
          <cell r="ES36">
            <v>9.2500000000000027E-2</v>
          </cell>
          <cell r="EU36">
            <v>0.125</v>
          </cell>
          <cell r="EV36">
            <v>0.125</v>
          </cell>
          <cell r="EW36">
            <v>0.14500000000000002</v>
          </cell>
          <cell r="EX36">
            <v>0.154</v>
          </cell>
          <cell r="EY36">
            <v>0.16</v>
          </cell>
          <cell r="EZ36">
            <v>0.14800000000000002</v>
          </cell>
          <cell r="FA36">
            <v>0.14800000000000002</v>
          </cell>
          <cell r="FB36">
            <v>0.14500000000000002</v>
          </cell>
          <cell r="FC36">
            <v>0.14500000000000002</v>
          </cell>
          <cell r="FD36">
            <v>0.14500000000000002</v>
          </cell>
          <cell r="FE36">
            <v>0.14500000000000002</v>
          </cell>
          <cell r="FF36">
            <v>0.14500000000000002</v>
          </cell>
          <cell r="FG36">
            <v>0.14500000000000002</v>
          </cell>
        </row>
        <row r="37">
          <cell r="C37" t="str">
            <v>Spacetourer MCA BlueHDi 180 EAT8 9P</v>
          </cell>
          <cell r="D37" t="str">
            <v>Spacetourer MCA BlueHDi 180 EAT8 9P</v>
          </cell>
          <cell r="G37">
            <v>0.7</v>
          </cell>
          <cell r="H37">
            <v>0.7</v>
          </cell>
          <cell r="I37">
            <v>0.7</v>
          </cell>
          <cell r="J37">
            <v>0.7</v>
          </cell>
          <cell r="K37">
            <v>0.7</v>
          </cell>
          <cell r="L37">
            <v>0.7</v>
          </cell>
          <cell r="M37">
            <v>0.7</v>
          </cell>
          <cell r="N37">
            <v>0.7</v>
          </cell>
          <cell r="O37">
            <v>0.7</v>
          </cell>
          <cell r="P37">
            <v>0.7</v>
          </cell>
          <cell r="Q37">
            <v>0.7</v>
          </cell>
          <cell r="R37">
            <v>0.7</v>
          </cell>
          <cell r="U37">
            <v>0.5</v>
          </cell>
          <cell r="V37">
            <v>0.25</v>
          </cell>
          <cell r="W37">
            <v>0.25</v>
          </cell>
          <cell r="X37">
            <v>0.5</v>
          </cell>
          <cell r="Y37">
            <v>0.25</v>
          </cell>
          <cell r="Z37">
            <v>0.25</v>
          </cell>
          <cell r="AA37">
            <v>0.1</v>
          </cell>
          <cell r="AB37">
            <v>0.2</v>
          </cell>
          <cell r="AC37">
            <v>0.7</v>
          </cell>
          <cell r="AD37">
            <v>0.35</v>
          </cell>
          <cell r="AE37">
            <v>0.25</v>
          </cell>
          <cell r="AF37">
            <v>0.4</v>
          </cell>
          <cell r="AG37">
            <v>0.35</v>
          </cell>
          <cell r="AH37">
            <v>0.25</v>
          </cell>
          <cell r="AI37">
            <v>0.4</v>
          </cell>
          <cell r="AJ37">
            <v>0.35</v>
          </cell>
          <cell r="AK37">
            <v>0.25</v>
          </cell>
          <cell r="AL37">
            <v>0.4</v>
          </cell>
          <cell r="AM37">
            <v>0.5</v>
          </cell>
          <cell r="AN37">
            <v>0.25</v>
          </cell>
          <cell r="AO37">
            <v>0.25</v>
          </cell>
          <cell r="AP37">
            <v>0.5</v>
          </cell>
          <cell r="AQ37">
            <v>0.25</v>
          </cell>
          <cell r="AR37">
            <v>0.25</v>
          </cell>
          <cell r="AS37">
            <v>0.5</v>
          </cell>
          <cell r="AT37">
            <v>0.25</v>
          </cell>
          <cell r="AU37">
            <v>0.25</v>
          </cell>
          <cell r="AV37">
            <v>0.5</v>
          </cell>
          <cell r="AW37">
            <v>0.25</v>
          </cell>
          <cell r="AX37">
            <v>0.25</v>
          </cell>
          <cell r="AY37">
            <v>0.5</v>
          </cell>
          <cell r="AZ37">
            <v>0.25</v>
          </cell>
          <cell r="BA37">
            <v>0.25</v>
          </cell>
          <cell r="BB37">
            <v>0.5</v>
          </cell>
          <cell r="BC37">
            <v>0.25</v>
          </cell>
          <cell r="BD37">
            <v>0.25</v>
          </cell>
          <cell r="BG37">
            <v>0.1</v>
          </cell>
          <cell r="BH37">
            <v>0.14000000000000001</v>
          </cell>
          <cell r="BI37">
            <v>0.16</v>
          </cell>
          <cell r="BJ37">
            <v>0.1</v>
          </cell>
          <cell r="BK37">
            <v>0.14000000000000001</v>
          </cell>
          <cell r="BL37">
            <v>0.16</v>
          </cell>
          <cell r="BM37">
            <v>0.14000000000000001</v>
          </cell>
          <cell r="BN37">
            <v>0.14000000000000001</v>
          </cell>
          <cell r="BO37">
            <v>0.16</v>
          </cell>
          <cell r="BP37">
            <v>0.14000000000000001</v>
          </cell>
          <cell r="BQ37">
            <v>0.14000000000000001</v>
          </cell>
          <cell r="BR37">
            <v>0.16</v>
          </cell>
          <cell r="BS37">
            <v>0.14000000000000001</v>
          </cell>
          <cell r="BT37">
            <v>0.14000000000000001</v>
          </cell>
          <cell r="BU37">
            <v>0.16</v>
          </cell>
          <cell r="BV37">
            <v>0.14000000000000001</v>
          </cell>
          <cell r="BW37">
            <v>0.14000000000000001</v>
          </cell>
          <cell r="BX37">
            <v>0.16</v>
          </cell>
          <cell r="BY37">
            <v>0.14000000000000001</v>
          </cell>
          <cell r="BZ37">
            <v>0.14000000000000001</v>
          </cell>
          <cell r="CA37">
            <v>0.16</v>
          </cell>
          <cell r="CB37">
            <v>0.14000000000000001</v>
          </cell>
          <cell r="CC37">
            <v>0.14000000000000001</v>
          </cell>
          <cell r="CD37">
            <v>0.16</v>
          </cell>
          <cell r="CE37">
            <v>0.14000000000000001</v>
          </cell>
          <cell r="CF37">
            <v>0.14000000000000001</v>
          </cell>
          <cell r="CG37">
            <v>0.16</v>
          </cell>
          <cell r="CH37">
            <v>0.14000000000000001</v>
          </cell>
          <cell r="CI37">
            <v>0.14000000000000001</v>
          </cell>
          <cell r="CJ37">
            <v>0.16</v>
          </cell>
          <cell r="CK37">
            <v>0.14000000000000001</v>
          </cell>
          <cell r="CL37">
            <v>0.14000000000000001</v>
          </cell>
          <cell r="CM37">
            <v>0.16</v>
          </cell>
          <cell r="CN37">
            <v>0.14000000000000001</v>
          </cell>
          <cell r="CO37">
            <v>0.14000000000000001</v>
          </cell>
          <cell r="CP37">
            <v>0.16</v>
          </cell>
          <cell r="CQ37">
            <v>0.14000000000000001</v>
          </cell>
          <cell r="CR37">
            <v>0.14000000000000001</v>
          </cell>
          <cell r="CS37">
            <v>0.16</v>
          </cell>
          <cell r="CV37">
            <v>0.06</v>
          </cell>
          <cell r="CW37">
            <v>0.05</v>
          </cell>
          <cell r="CX37">
            <v>0.03</v>
          </cell>
          <cell r="CY37">
            <v>0.06</v>
          </cell>
          <cell r="CZ37">
            <v>0.05</v>
          </cell>
          <cell r="DA37">
            <v>0.03</v>
          </cell>
          <cell r="DB37">
            <v>0.05</v>
          </cell>
          <cell r="DC37">
            <v>0.05</v>
          </cell>
          <cell r="DD37">
            <v>0.04</v>
          </cell>
          <cell r="DE37">
            <v>0.05</v>
          </cell>
          <cell r="DF37">
            <v>0.05</v>
          </cell>
          <cell r="DG37">
            <v>0.04</v>
          </cell>
          <cell r="DH37">
            <v>0.05</v>
          </cell>
          <cell r="DI37">
            <v>0.05</v>
          </cell>
          <cell r="DJ37">
            <v>0.04</v>
          </cell>
          <cell r="DK37">
            <v>0.05</v>
          </cell>
          <cell r="DL37">
            <v>0.05</v>
          </cell>
          <cell r="DM37">
            <v>0.04</v>
          </cell>
          <cell r="DN37">
            <v>0.05</v>
          </cell>
          <cell r="DO37">
            <v>0.05</v>
          </cell>
          <cell r="DP37">
            <v>0.04</v>
          </cell>
          <cell r="DQ37">
            <v>0.05</v>
          </cell>
          <cell r="DR37">
            <v>0.05</v>
          </cell>
          <cell r="DS37">
            <v>0.04</v>
          </cell>
          <cell r="DT37">
            <v>0.05</v>
          </cell>
          <cell r="DU37">
            <v>0.05</v>
          </cell>
          <cell r="DV37">
            <v>0.04</v>
          </cell>
          <cell r="DW37">
            <v>0.05</v>
          </cell>
          <cell r="DX37">
            <v>0.05</v>
          </cell>
          <cell r="DY37">
            <v>0.04</v>
          </cell>
          <cell r="DZ37">
            <v>0.05</v>
          </cell>
          <cell r="EA37">
            <v>0.05</v>
          </cell>
          <cell r="EB37">
            <v>0.04</v>
          </cell>
          <cell r="EC37">
            <v>0.05</v>
          </cell>
          <cell r="ED37">
            <v>0.05</v>
          </cell>
          <cell r="EE37">
            <v>0.04</v>
          </cell>
          <cell r="EG37">
            <v>7.4999999999999983E-2</v>
          </cell>
          <cell r="EH37">
            <v>7.4999999999999983E-2</v>
          </cell>
          <cell r="EI37">
            <v>9.5000000000000001E-2</v>
          </cell>
          <cell r="EJ37">
            <v>9.6999999999999989E-2</v>
          </cell>
          <cell r="EK37">
            <v>9.4000000000000014E-2</v>
          </cell>
          <cell r="EL37">
            <v>9.4000000000000014E-2</v>
          </cell>
          <cell r="EM37">
            <v>9.4000000000000014E-2</v>
          </cell>
          <cell r="EN37">
            <v>9.2500000000000027E-2</v>
          </cell>
          <cell r="EO37">
            <v>9.2500000000000027E-2</v>
          </cell>
          <cell r="EP37">
            <v>9.2500000000000027E-2</v>
          </cell>
          <cell r="EQ37">
            <v>9.2500000000000027E-2</v>
          </cell>
          <cell r="ER37">
            <v>9.2500000000000027E-2</v>
          </cell>
          <cell r="ES37">
            <v>9.2500000000000027E-2</v>
          </cell>
          <cell r="EU37">
            <v>0.125</v>
          </cell>
          <cell r="EV37">
            <v>0.125</v>
          </cell>
          <cell r="EW37">
            <v>0.14500000000000002</v>
          </cell>
          <cell r="EX37">
            <v>0.154</v>
          </cell>
          <cell r="EY37">
            <v>0.14800000000000002</v>
          </cell>
          <cell r="EZ37">
            <v>0.14800000000000002</v>
          </cell>
          <cell r="FA37">
            <v>0.14800000000000002</v>
          </cell>
          <cell r="FB37">
            <v>0.14500000000000002</v>
          </cell>
          <cell r="FC37">
            <v>0.14500000000000002</v>
          </cell>
          <cell r="FD37">
            <v>0.14500000000000002</v>
          </cell>
          <cell r="FE37">
            <v>0.14500000000000002</v>
          </cell>
          <cell r="FF37">
            <v>0.14500000000000002</v>
          </cell>
          <cell r="FG37">
            <v>0.14500000000000002</v>
          </cell>
        </row>
        <row r="38">
          <cell r="D38" t="str">
            <v/>
          </cell>
          <cell r="G38">
            <v>0.7</v>
          </cell>
          <cell r="H38">
            <v>0.7</v>
          </cell>
          <cell r="I38">
            <v>0.7</v>
          </cell>
          <cell r="J38">
            <v>0.7</v>
          </cell>
          <cell r="K38">
            <v>0.7</v>
          </cell>
          <cell r="L38">
            <v>0.7</v>
          </cell>
          <cell r="M38">
            <v>0.7</v>
          </cell>
          <cell r="N38">
            <v>0.7</v>
          </cell>
          <cell r="O38">
            <v>0.7</v>
          </cell>
          <cell r="P38">
            <v>0.7</v>
          </cell>
          <cell r="Q38">
            <v>0.7</v>
          </cell>
          <cell r="R38">
            <v>0.7</v>
          </cell>
          <cell r="U38">
            <v>0.5</v>
          </cell>
          <cell r="V38">
            <v>0.25</v>
          </cell>
          <cell r="W38">
            <v>0.25</v>
          </cell>
          <cell r="X38">
            <v>0.5</v>
          </cell>
          <cell r="Y38">
            <v>0.25</v>
          </cell>
          <cell r="Z38">
            <v>0.25</v>
          </cell>
          <cell r="AA38">
            <v>0.1</v>
          </cell>
          <cell r="AB38">
            <v>0.2</v>
          </cell>
          <cell r="AC38">
            <v>0.7</v>
          </cell>
          <cell r="AD38">
            <v>0.35</v>
          </cell>
          <cell r="AE38">
            <v>0.25</v>
          </cell>
          <cell r="AF38">
            <v>0.4</v>
          </cell>
          <cell r="AG38">
            <v>0.35</v>
          </cell>
          <cell r="AH38">
            <v>0.25</v>
          </cell>
          <cell r="AI38">
            <v>0.4</v>
          </cell>
          <cell r="AJ38">
            <v>0.35</v>
          </cell>
          <cell r="AK38">
            <v>0.25</v>
          </cell>
          <cell r="AL38">
            <v>0.4</v>
          </cell>
          <cell r="AM38">
            <v>0.5</v>
          </cell>
          <cell r="AN38">
            <v>0.25</v>
          </cell>
          <cell r="AO38">
            <v>0.25</v>
          </cell>
          <cell r="AP38">
            <v>0.5</v>
          </cell>
          <cell r="AQ38">
            <v>0.25</v>
          </cell>
          <cell r="AR38">
            <v>0.25</v>
          </cell>
          <cell r="AS38">
            <v>0.5</v>
          </cell>
          <cell r="AT38">
            <v>0.25</v>
          </cell>
          <cell r="AU38">
            <v>0.25</v>
          </cell>
          <cell r="AV38">
            <v>0.5</v>
          </cell>
          <cell r="AW38">
            <v>0.25</v>
          </cell>
          <cell r="AX38">
            <v>0.25</v>
          </cell>
          <cell r="AY38">
            <v>0.5</v>
          </cell>
          <cell r="AZ38">
            <v>0.25</v>
          </cell>
          <cell r="BA38">
            <v>0.25</v>
          </cell>
          <cell r="BB38">
            <v>0.5</v>
          </cell>
          <cell r="BC38">
            <v>0.25</v>
          </cell>
          <cell r="BD38">
            <v>0.25</v>
          </cell>
          <cell r="BG38">
            <v>0.1</v>
          </cell>
          <cell r="BH38">
            <v>0.14000000000000001</v>
          </cell>
          <cell r="BI38">
            <v>0.16</v>
          </cell>
          <cell r="BJ38">
            <v>0.1</v>
          </cell>
          <cell r="BK38">
            <v>0.14000000000000001</v>
          </cell>
          <cell r="BL38">
            <v>0.16</v>
          </cell>
          <cell r="BM38">
            <v>0.14000000000000001</v>
          </cell>
          <cell r="BN38">
            <v>0.14000000000000001</v>
          </cell>
          <cell r="BO38">
            <v>0.16</v>
          </cell>
          <cell r="BP38">
            <v>0.14000000000000001</v>
          </cell>
          <cell r="BQ38">
            <v>0.14000000000000001</v>
          </cell>
          <cell r="BR38">
            <v>0.16</v>
          </cell>
          <cell r="BS38">
            <v>0.14000000000000001</v>
          </cell>
          <cell r="BT38">
            <v>0.14000000000000001</v>
          </cell>
          <cell r="BU38">
            <v>0.16</v>
          </cell>
          <cell r="BV38">
            <v>0.14000000000000001</v>
          </cell>
          <cell r="BW38">
            <v>0.14000000000000001</v>
          </cell>
          <cell r="BX38">
            <v>0.16</v>
          </cell>
          <cell r="BY38">
            <v>0.14000000000000001</v>
          </cell>
          <cell r="BZ38">
            <v>0.14000000000000001</v>
          </cell>
          <cell r="CA38">
            <v>0.16</v>
          </cell>
          <cell r="CB38">
            <v>0.14000000000000001</v>
          </cell>
          <cell r="CC38">
            <v>0.14000000000000001</v>
          </cell>
          <cell r="CD38">
            <v>0.16</v>
          </cell>
          <cell r="CE38">
            <v>0.14000000000000001</v>
          </cell>
          <cell r="CF38">
            <v>0.14000000000000001</v>
          </cell>
          <cell r="CG38">
            <v>0.16</v>
          </cell>
          <cell r="CH38">
            <v>0.14000000000000001</v>
          </cell>
          <cell r="CI38">
            <v>0.14000000000000001</v>
          </cell>
          <cell r="CJ38">
            <v>0.16</v>
          </cell>
          <cell r="CK38">
            <v>0.14000000000000001</v>
          </cell>
          <cell r="CL38">
            <v>0.14000000000000001</v>
          </cell>
          <cell r="CM38">
            <v>0.16</v>
          </cell>
          <cell r="CN38">
            <v>0.14000000000000001</v>
          </cell>
          <cell r="CO38">
            <v>0.14000000000000001</v>
          </cell>
          <cell r="CP38">
            <v>0.16</v>
          </cell>
          <cell r="CQ38">
            <v>0.14000000000000001</v>
          </cell>
          <cell r="CR38">
            <v>0.14000000000000001</v>
          </cell>
          <cell r="CS38">
            <v>0.16</v>
          </cell>
          <cell r="CV38">
            <v>0.06</v>
          </cell>
          <cell r="CW38">
            <v>0.05</v>
          </cell>
          <cell r="CX38">
            <v>0.03</v>
          </cell>
          <cell r="CY38">
            <v>0.06</v>
          </cell>
          <cell r="CZ38">
            <v>0.05</v>
          </cell>
          <cell r="DA38">
            <v>0.03</v>
          </cell>
          <cell r="DB38">
            <v>0.05</v>
          </cell>
          <cell r="DC38">
            <v>0.05</v>
          </cell>
          <cell r="DD38">
            <v>0.04</v>
          </cell>
          <cell r="DE38">
            <v>0.05</v>
          </cell>
          <cell r="DF38">
            <v>0.05</v>
          </cell>
          <cell r="DG38">
            <v>0.04</v>
          </cell>
          <cell r="DH38">
            <v>0.05</v>
          </cell>
          <cell r="DI38">
            <v>0.05</v>
          </cell>
          <cell r="DJ38">
            <v>0.04</v>
          </cell>
          <cell r="DK38">
            <v>0.05</v>
          </cell>
          <cell r="DL38">
            <v>0.05</v>
          </cell>
          <cell r="DM38">
            <v>0.04</v>
          </cell>
          <cell r="DN38">
            <v>0.05</v>
          </cell>
          <cell r="DO38">
            <v>0.05</v>
          </cell>
          <cell r="DP38">
            <v>0.04</v>
          </cell>
          <cell r="DQ38">
            <v>0.05</v>
          </cell>
          <cell r="DR38">
            <v>0.05</v>
          </cell>
          <cell r="DS38">
            <v>0.04</v>
          </cell>
          <cell r="DT38">
            <v>0.05</v>
          </cell>
          <cell r="DU38">
            <v>0.05</v>
          </cell>
          <cell r="DV38">
            <v>0.04</v>
          </cell>
          <cell r="DW38">
            <v>0.05</v>
          </cell>
          <cell r="DX38">
            <v>0.05</v>
          </cell>
          <cell r="DY38">
            <v>0.04</v>
          </cell>
          <cell r="DZ38">
            <v>0.05</v>
          </cell>
          <cell r="EA38">
            <v>0.05</v>
          </cell>
          <cell r="EB38">
            <v>0.04</v>
          </cell>
          <cell r="EC38">
            <v>0.05</v>
          </cell>
          <cell r="ED38">
            <v>0.05</v>
          </cell>
          <cell r="EE38">
            <v>0.04</v>
          </cell>
          <cell r="EG38">
            <v>7.4999999999999983E-2</v>
          </cell>
          <cell r="EH38">
            <v>7.4999999999999983E-2</v>
          </cell>
          <cell r="EI38">
            <v>9.5000000000000001E-2</v>
          </cell>
          <cell r="EJ38">
            <v>9.6999999999999989E-2</v>
          </cell>
          <cell r="EK38">
            <v>9.4000000000000014E-2</v>
          </cell>
          <cell r="EL38">
            <v>9.4000000000000014E-2</v>
          </cell>
          <cell r="EM38">
            <v>9.4000000000000014E-2</v>
          </cell>
          <cell r="EN38">
            <v>9.2500000000000027E-2</v>
          </cell>
          <cell r="EO38">
            <v>9.2500000000000027E-2</v>
          </cell>
          <cell r="EP38">
            <v>9.2500000000000027E-2</v>
          </cell>
          <cell r="EQ38">
            <v>9.2500000000000027E-2</v>
          </cell>
          <cell r="ER38">
            <v>9.2500000000000027E-2</v>
          </cell>
          <cell r="ES38">
            <v>9.2500000000000027E-2</v>
          </cell>
          <cell r="EU38">
            <v>0.125</v>
          </cell>
          <cell r="EV38">
            <v>0.125</v>
          </cell>
          <cell r="EW38">
            <v>0.14500000000000002</v>
          </cell>
          <cell r="EX38">
            <v>0.154</v>
          </cell>
          <cell r="EY38">
            <v>0.14800000000000002</v>
          </cell>
          <cell r="EZ38">
            <v>0.14800000000000002</v>
          </cell>
          <cell r="FA38">
            <v>0.14800000000000002</v>
          </cell>
          <cell r="FB38">
            <v>0.14500000000000002</v>
          </cell>
          <cell r="FC38">
            <v>0.14500000000000002</v>
          </cell>
          <cell r="FD38">
            <v>0.14500000000000002</v>
          </cell>
          <cell r="FE38">
            <v>0.14500000000000002</v>
          </cell>
          <cell r="FF38">
            <v>0.14500000000000002</v>
          </cell>
          <cell r="FG38">
            <v>0.14500000000000002</v>
          </cell>
        </row>
        <row r="39">
          <cell r="C39" t="str">
            <v>JUMPY MCA Comfort XL BlueHDi 145</v>
          </cell>
          <cell r="D39" t="str">
            <v>JUMPY MCA Comfort XL BlueHDi 145</v>
          </cell>
          <cell r="G39">
            <v>0.7</v>
          </cell>
          <cell r="H39">
            <v>0.7</v>
          </cell>
          <cell r="I39">
            <v>0.7</v>
          </cell>
          <cell r="J39">
            <v>0.7</v>
          </cell>
          <cell r="K39">
            <v>0.7</v>
          </cell>
          <cell r="L39">
            <v>0.7</v>
          </cell>
          <cell r="M39">
            <v>0.7</v>
          </cell>
          <cell r="N39">
            <v>0.7</v>
          </cell>
          <cell r="O39">
            <v>0.7</v>
          </cell>
          <cell r="P39">
            <v>0.7</v>
          </cell>
          <cell r="Q39">
            <v>0.7</v>
          </cell>
          <cell r="R39">
            <v>0.7</v>
          </cell>
          <cell r="U39">
            <v>0.5</v>
          </cell>
          <cell r="V39">
            <v>0.3</v>
          </cell>
          <cell r="W39">
            <v>0.2</v>
          </cell>
          <cell r="X39">
            <v>0.1</v>
          </cell>
          <cell r="Y39">
            <v>0.3</v>
          </cell>
          <cell r="Z39">
            <v>0.6</v>
          </cell>
          <cell r="AA39">
            <v>0.1</v>
          </cell>
          <cell r="AB39">
            <v>0.2</v>
          </cell>
          <cell r="AC39">
            <v>0.7</v>
          </cell>
          <cell r="AD39">
            <v>0.35</v>
          </cell>
          <cell r="AE39">
            <v>0.25</v>
          </cell>
          <cell r="AF39">
            <v>0.4</v>
          </cell>
          <cell r="AG39">
            <v>0.35</v>
          </cell>
          <cell r="AH39">
            <v>0.25</v>
          </cell>
          <cell r="AI39">
            <v>0.4</v>
          </cell>
          <cell r="AJ39">
            <v>0.35</v>
          </cell>
          <cell r="AK39">
            <v>0.25</v>
          </cell>
          <cell r="AL39">
            <v>0.4</v>
          </cell>
          <cell r="AM39">
            <v>0.5</v>
          </cell>
          <cell r="AN39">
            <v>0.3</v>
          </cell>
          <cell r="AO39">
            <v>0.2</v>
          </cell>
          <cell r="AP39">
            <v>0.5</v>
          </cell>
          <cell r="AQ39">
            <v>0.3</v>
          </cell>
          <cell r="AR39">
            <v>0.2</v>
          </cell>
          <cell r="AS39">
            <v>0.5</v>
          </cell>
          <cell r="AT39">
            <v>0.3</v>
          </cell>
          <cell r="AU39">
            <v>0.2</v>
          </cell>
          <cell r="AV39">
            <v>0.5</v>
          </cell>
          <cell r="AW39">
            <v>0.3</v>
          </cell>
          <cell r="AX39">
            <v>0.2</v>
          </cell>
          <cell r="AY39">
            <v>0.5</v>
          </cell>
          <cell r="AZ39">
            <v>0.3</v>
          </cell>
          <cell r="BA39">
            <v>0.2</v>
          </cell>
          <cell r="BB39">
            <v>0.5</v>
          </cell>
          <cell r="BC39">
            <v>0.3</v>
          </cell>
          <cell r="BD39">
            <v>0.2</v>
          </cell>
          <cell r="BG39">
            <v>0.1</v>
          </cell>
          <cell r="BH39">
            <v>0.14000000000000001</v>
          </cell>
          <cell r="BI39">
            <v>0.16</v>
          </cell>
          <cell r="BJ39">
            <v>0.1</v>
          </cell>
          <cell r="BK39">
            <v>0.14000000000000001</v>
          </cell>
          <cell r="BL39">
            <v>0.16</v>
          </cell>
          <cell r="BM39">
            <v>0.14000000000000001</v>
          </cell>
          <cell r="BN39">
            <v>0.14000000000000001</v>
          </cell>
          <cell r="BO39">
            <v>0.15</v>
          </cell>
          <cell r="BP39">
            <v>0.14000000000000001</v>
          </cell>
          <cell r="BQ39">
            <v>0.14000000000000001</v>
          </cell>
          <cell r="BR39">
            <v>0.16</v>
          </cell>
          <cell r="BS39">
            <v>0.14000000000000001</v>
          </cell>
          <cell r="BT39">
            <v>0.14000000000000001</v>
          </cell>
          <cell r="BU39">
            <v>0.16</v>
          </cell>
          <cell r="BV39">
            <v>0.14000000000000001</v>
          </cell>
          <cell r="BW39">
            <v>0.14000000000000001</v>
          </cell>
          <cell r="BX39">
            <v>0.16</v>
          </cell>
          <cell r="BY39">
            <v>0.14000000000000001</v>
          </cell>
          <cell r="BZ39">
            <v>0.14000000000000001</v>
          </cell>
          <cell r="CA39">
            <v>0.16</v>
          </cell>
          <cell r="CB39">
            <v>0.14000000000000001</v>
          </cell>
          <cell r="CC39">
            <v>0.14000000000000001</v>
          </cell>
          <cell r="CD39">
            <v>0.16</v>
          </cell>
          <cell r="CE39">
            <v>0.14000000000000001</v>
          </cell>
          <cell r="CF39">
            <v>0.14000000000000001</v>
          </cell>
          <cell r="CG39">
            <v>0.16</v>
          </cell>
          <cell r="CH39">
            <v>0.14000000000000001</v>
          </cell>
          <cell r="CI39">
            <v>0.14000000000000001</v>
          </cell>
          <cell r="CJ39">
            <v>0.16</v>
          </cell>
          <cell r="CK39">
            <v>0.14000000000000001</v>
          </cell>
          <cell r="CL39">
            <v>0.14000000000000001</v>
          </cell>
          <cell r="CM39">
            <v>0.16</v>
          </cell>
          <cell r="CN39">
            <v>0.14000000000000001</v>
          </cell>
          <cell r="CO39">
            <v>0.14000000000000001</v>
          </cell>
          <cell r="CP39">
            <v>0.16</v>
          </cell>
          <cell r="CQ39">
            <v>0.14000000000000001</v>
          </cell>
          <cell r="CR39">
            <v>0.14000000000000001</v>
          </cell>
          <cell r="CS39">
            <v>0.16</v>
          </cell>
          <cell r="CV39">
            <v>0.06</v>
          </cell>
          <cell r="CW39">
            <v>0.05</v>
          </cell>
          <cell r="CX39">
            <v>0.03</v>
          </cell>
          <cell r="CY39">
            <v>0.06</v>
          </cell>
          <cell r="CZ39">
            <v>0.05</v>
          </cell>
          <cell r="DA39">
            <v>0.03</v>
          </cell>
          <cell r="DB39">
            <v>0.05</v>
          </cell>
          <cell r="DC39">
            <v>0.05</v>
          </cell>
          <cell r="DD39">
            <v>0.04</v>
          </cell>
          <cell r="DE39">
            <v>0.05</v>
          </cell>
          <cell r="DF39">
            <v>0.05</v>
          </cell>
          <cell r="DG39">
            <v>0.04</v>
          </cell>
          <cell r="DH39">
            <v>0.05</v>
          </cell>
          <cell r="DI39">
            <v>0.05</v>
          </cell>
          <cell r="DJ39">
            <v>0.04</v>
          </cell>
          <cell r="DK39">
            <v>0.05</v>
          </cell>
          <cell r="DL39">
            <v>0.05</v>
          </cell>
          <cell r="DM39">
            <v>0.04</v>
          </cell>
          <cell r="DN39">
            <v>0.05</v>
          </cell>
          <cell r="DO39">
            <v>0.05</v>
          </cell>
          <cell r="DP39">
            <v>0.04</v>
          </cell>
          <cell r="DQ39">
            <v>0.05</v>
          </cell>
          <cell r="DR39">
            <v>0.05</v>
          </cell>
          <cell r="DS39">
            <v>0.04</v>
          </cell>
          <cell r="DT39">
            <v>0.05</v>
          </cell>
          <cell r="DU39">
            <v>0.05</v>
          </cell>
          <cell r="DV39">
            <v>0.04</v>
          </cell>
          <cell r="DW39">
            <v>0.05</v>
          </cell>
          <cell r="DX39">
            <v>0.05</v>
          </cell>
          <cell r="DY39">
            <v>0.04</v>
          </cell>
          <cell r="DZ39">
            <v>0.05</v>
          </cell>
          <cell r="EA39">
            <v>0.05</v>
          </cell>
          <cell r="EB39">
            <v>0.04</v>
          </cell>
          <cell r="EC39">
            <v>0.05</v>
          </cell>
          <cell r="ED39">
            <v>0.05</v>
          </cell>
          <cell r="EE39">
            <v>0.04</v>
          </cell>
          <cell r="EG39">
            <v>7.4999999999999983E-2</v>
          </cell>
          <cell r="EH39">
            <v>7.4999999999999983E-2</v>
          </cell>
          <cell r="EI39">
            <v>8.5000000000000006E-2</v>
          </cell>
          <cell r="EJ39">
            <v>9.6999999999999989E-2</v>
          </cell>
          <cell r="EK39">
            <v>9.4000000000000014E-2</v>
          </cell>
          <cell r="EL39">
            <v>9.4000000000000014E-2</v>
          </cell>
          <cell r="EM39">
            <v>9.4000000000000014E-2</v>
          </cell>
          <cell r="EN39">
            <v>9.2000000000000012E-2</v>
          </cell>
          <cell r="EO39">
            <v>9.2000000000000012E-2</v>
          </cell>
          <cell r="EP39">
            <v>9.2000000000000012E-2</v>
          </cell>
          <cell r="EQ39">
            <v>9.2000000000000012E-2</v>
          </cell>
          <cell r="ER39">
            <v>9.2000000000000012E-2</v>
          </cell>
          <cell r="ES39">
            <v>9.2000000000000012E-2</v>
          </cell>
          <cell r="EU39">
            <v>0.124</v>
          </cell>
          <cell r="EV39">
            <v>0.124</v>
          </cell>
          <cell r="EW39">
            <v>0.14600000000000002</v>
          </cell>
          <cell r="EX39">
            <v>0.154</v>
          </cell>
          <cell r="EY39">
            <v>0.14800000000000002</v>
          </cell>
          <cell r="EZ39">
            <v>0.14800000000000002</v>
          </cell>
          <cell r="FA39">
            <v>0.14800000000000002</v>
          </cell>
          <cell r="FB39">
            <v>0.14400000000000002</v>
          </cell>
          <cell r="FC39">
            <v>0.14400000000000002</v>
          </cell>
          <cell r="FD39">
            <v>0.14400000000000002</v>
          </cell>
          <cell r="FE39">
            <v>0.14400000000000002</v>
          </cell>
          <cell r="FF39">
            <v>0.14400000000000002</v>
          </cell>
          <cell r="FG39">
            <v>0.14400000000000002</v>
          </cell>
        </row>
        <row r="40">
          <cell r="C40" t="str">
            <v>JUMPY MCA XL Diesel 150hp MT</v>
          </cell>
          <cell r="D40" t="str">
            <v>JUMPY MCA XL Diesel 150hp MT</v>
          </cell>
          <cell r="G40">
            <v>0.7</v>
          </cell>
          <cell r="H40">
            <v>0.7</v>
          </cell>
          <cell r="I40">
            <v>0.7</v>
          </cell>
          <cell r="J40">
            <v>0.7</v>
          </cell>
          <cell r="K40">
            <v>0.7</v>
          </cell>
          <cell r="L40">
            <v>0.7</v>
          </cell>
          <cell r="M40">
            <v>0.7</v>
          </cell>
          <cell r="N40">
            <v>0.7</v>
          </cell>
          <cell r="O40">
            <v>0.7</v>
          </cell>
          <cell r="P40">
            <v>0.7</v>
          </cell>
          <cell r="Q40">
            <v>0.7</v>
          </cell>
          <cell r="R40">
            <v>0.7</v>
          </cell>
          <cell r="U40">
            <v>0.5</v>
          </cell>
          <cell r="V40">
            <v>0.3</v>
          </cell>
          <cell r="W40">
            <v>0.2</v>
          </cell>
          <cell r="X40">
            <v>0.5</v>
          </cell>
          <cell r="Y40">
            <v>0.3</v>
          </cell>
          <cell r="Z40">
            <v>0.2</v>
          </cell>
          <cell r="AA40">
            <v>0.1</v>
          </cell>
          <cell r="AB40">
            <v>0.2</v>
          </cell>
          <cell r="AC40">
            <v>0.7</v>
          </cell>
          <cell r="AD40">
            <v>0.35</v>
          </cell>
          <cell r="AE40">
            <v>0.25</v>
          </cell>
          <cell r="AF40">
            <v>0.4</v>
          </cell>
          <cell r="AG40">
            <v>0.35</v>
          </cell>
          <cell r="AH40">
            <v>0.25</v>
          </cell>
          <cell r="AI40">
            <v>0.4</v>
          </cell>
          <cell r="AJ40">
            <v>0.35</v>
          </cell>
          <cell r="AK40">
            <v>0.25</v>
          </cell>
          <cell r="AL40">
            <v>0.4</v>
          </cell>
          <cell r="AM40">
            <v>0.5</v>
          </cell>
          <cell r="AN40">
            <v>0.3</v>
          </cell>
          <cell r="AO40">
            <v>0.2</v>
          </cell>
          <cell r="AP40">
            <v>0.5</v>
          </cell>
          <cell r="AQ40">
            <v>0.3</v>
          </cell>
          <cell r="AR40">
            <v>0.2</v>
          </cell>
          <cell r="AS40">
            <v>0.5</v>
          </cell>
          <cell r="AT40">
            <v>0.3</v>
          </cell>
          <cell r="AU40">
            <v>0.2</v>
          </cell>
          <cell r="AV40">
            <v>0.5</v>
          </cell>
          <cell r="AW40">
            <v>0.3</v>
          </cell>
          <cell r="AX40">
            <v>0.2</v>
          </cell>
          <cell r="AY40">
            <v>0.5</v>
          </cell>
          <cell r="AZ40">
            <v>0.3</v>
          </cell>
          <cell r="BA40">
            <v>0.2</v>
          </cell>
          <cell r="BB40">
            <v>0.5</v>
          </cell>
          <cell r="BC40">
            <v>0.3</v>
          </cell>
          <cell r="BD40">
            <v>0.2</v>
          </cell>
          <cell r="BG40">
            <v>0.1</v>
          </cell>
          <cell r="BH40">
            <v>0.14000000000000001</v>
          </cell>
          <cell r="BI40">
            <v>0.16</v>
          </cell>
          <cell r="BJ40">
            <v>0.1</v>
          </cell>
          <cell r="BK40">
            <v>0.14000000000000001</v>
          </cell>
          <cell r="BL40">
            <v>0.16</v>
          </cell>
          <cell r="BM40">
            <v>0.14000000000000001</v>
          </cell>
          <cell r="BN40">
            <v>0.14000000000000001</v>
          </cell>
          <cell r="BO40">
            <v>0.16</v>
          </cell>
          <cell r="BP40">
            <v>0.14000000000000001</v>
          </cell>
          <cell r="BQ40">
            <v>0.14000000000000001</v>
          </cell>
          <cell r="BR40">
            <v>0.16</v>
          </cell>
          <cell r="BS40">
            <v>0.14000000000000001</v>
          </cell>
          <cell r="BT40">
            <v>0.14000000000000001</v>
          </cell>
          <cell r="BU40">
            <v>0.16</v>
          </cell>
          <cell r="BV40">
            <v>0.14000000000000001</v>
          </cell>
          <cell r="BW40">
            <v>0.14000000000000001</v>
          </cell>
          <cell r="BX40">
            <v>0.16</v>
          </cell>
          <cell r="BY40">
            <v>0.14000000000000001</v>
          </cell>
          <cell r="BZ40">
            <v>0.14000000000000001</v>
          </cell>
          <cell r="CA40">
            <v>0.16</v>
          </cell>
          <cell r="CB40">
            <v>0.14000000000000001</v>
          </cell>
          <cell r="CC40">
            <v>0.14000000000000001</v>
          </cell>
          <cell r="CD40">
            <v>0.16</v>
          </cell>
          <cell r="CE40">
            <v>0.14000000000000001</v>
          </cell>
          <cell r="CF40">
            <v>0.14000000000000001</v>
          </cell>
          <cell r="CG40">
            <v>0.16</v>
          </cell>
          <cell r="CH40">
            <v>0.14000000000000001</v>
          </cell>
          <cell r="CI40">
            <v>0.14000000000000001</v>
          </cell>
          <cell r="CJ40">
            <v>0.16</v>
          </cell>
          <cell r="CK40">
            <v>0.14000000000000001</v>
          </cell>
          <cell r="CL40">
            <v>0.14000000000000001</v>
          </cell>
          <cell r="CM40">
            <v>0.16</v>
          </cell>
          <cell r="CN40">
            <v>0.14000000000000001</v>
          </cell>
          <cell r="CO40">
            <v>0.14000000000000001</v>
          </cell>
          <cell r="CP40">
            <v>0.16</v>
          </cell>
          <cell r="CQ40">
            <v>0.14000000000000001</v>
          </cell>
          <cell r="CR40">
            <v>0.14000000000000001</v>
          </cell>
          <cell r="CS40">
            <v>0.16</v>
          </cell>
          <cell r="CV40">
            <v>0.06</v>
          </cell>
          <cell r="CW40">
            <v>0.05</v>
          </cell>
          <cell r="CX40">
            <v>0.03</v>
          </cell>
          <cell r="CY40">
            <v>0.06</v>
          </cell>
          <cell r="CZ40">
            <v>0.05</v>
          </cell>
          <cell r="DA40">
            <v>0.03</v>
          </cell>
          <cell r="DB40">
            <v>0.06</v>
          </cell>
          <cell r="DC40">
            <v>0.05</v>
          </cell>
          <cell r="DD40">
            <v>0.04</v>
          </cell>
          <cell r="DE40">
            <v>0.06</v>
          </cell>
          <cell r="DF40">
            <v>0.05</v>
          </cell>
          <cell r="DG40">
            <v>0.04</v>
          </cell>
          <cell r="DH40">
            <v>0.06</v>
          </cell>
          <cell r="DI40">
            <v>0.05</v>
          </cell>
          <cell r="DJ40">
            <v>0.04</v>
          </cell>
          <cell r="DK40">
            <v>0.06</v>
          </cell>
          <cell r="DL40">
            <v>0.05</v>
          </cell>
          <cell r="DM40">
            <v>0.04</v>
          </cell>
          <cell r="DN40">
            <v>0.06</v>
          </cell>
          <cell r="DO40">
            <v>0.05</v>
          </cell>
          <cell r="DP40">
            <v>0.04</v>
          </cell>
          <cell r="DQ40">
            <v>0.06</v>
          </cell>
          <cell r="DR40">
            <v>0.05</v>
          </cell>
          <cell r="DS40">
            <v>0.04</v>
          </cell>
          <cell r="DT40">
            <v>0.06</v>
          </cell>
          <cell r="DU40">
            <v>0.05</v>
          </cell>
          <cell r="DV40">
            <v>0.04</v>
          </cell>
          <cell r="DW40">
            <v>0.06</v>
          </cell>
          <cell r="DX40">
            <v>0.05</v>
          </cell>
          <cell r="DY40">
            <v>0.04</v>
          </cell>
          <cell r="DZ40">
            <v>0.06</v>
          </cell>
          <cell r="EA40">
            <v>0.05</v>
          </cell>
          <cell r="EB40">
            <v>0.04</v>
          </cell>
          <cell r="EC40">
            <v>0.06</v>
          </cell>
          <cell r="ED40">
            <v>0.05</v>
          </cell>
          <cell r="EE40">
            <v>0.04</v>
          </cell>
          <cell r="EG40">
            <v>7.4999999999999983E-2</v>
          </cell>
          <cell r="EH40">
            <v>7.4999999999999983E-2</v>
          </cell>
          <cell r="EI40">
            <v>9.5000000000000001E-2</v>
          </cell>
          <cell r="EJ40">
            <v>9.799999999999999E-2</v>
          </cell>
          <cell r="EK40">
            <v>9.7500000000000017E-2</v>
          </cell>
          <cell r="EL40">
            <v>9.7500000000000017E-2</v>
          </cell>
          <cell r="EM40">
            <v>9.7500000000000017E-2</v>
          </cell>
          <cell r="EN40">
            <v>9.7000000000000003E-2</v>
          </cell>
          <cell r="EO40">
            <v>9.7000000000000003E-2</v>
          </cell>
          <cell r="EP40">
            <v>9.7000000000000003E-2</v>
          </cell>
          <cell r="EQ40">
            <v>9.7000000000000003E-2</v>
          </cell>
          <cell r="ER40">
            <v>9.7000000000000003E-2</v>
          </cell>
          <cell r="ES40">
            <v>9.7000000000000003E-2</v>
          </cell>
          <cell r="EU40">
            <v>0.124</v>
          </cell>
          <cell r="EV40">
            <v>0.124</v>
          </cell>
          <cell r="EW40">
            <v>0.14400000000000002</v>
          </cell>
          <cell r="EX40">
            <v>0.154</v>
          </cell>
          <cell r="EY40">
            <v>0.14800000000000002</v>
          </cell>
          <cell r="EZ40">
            <v>0.14800000000000002</v>
          </cell>
          <cell r="FA40">
            <v>0.14800000000000002</v>
          </cell>
          <cell r="FB40">
            <v>0.14400000000000002</v>
          </cell>
          <cell r="FC40">
            <v>0.14400000000000002</v>
          </cell>
          <cell r="FD40">
            <v>0.14400000000000002</v>
          </cell>
          <cell r="FE40">
            <v>0.14400000000000002</v>
          </cell>
          <cell r="FF40">
            <v>0.14400000000000002</v>
          </cell>
          <cell r="FG40">
            <v>0.14400000000000002</v>
          </cell>
        </row>
        <row r="41">
          <cell r="C41" t="str">
            <v>JUMPER MCA L2H2 BlueHDi</v>
          </cell>
          <cell r="D41" t="str">
            <v>JUMPER MCA L2H2 BlueHDi</v>
          </cell>
          <cell r="G41">
            <v>0.7</v>
          </cell>
          <cell r="H41">
            <v>0.7</v>
          </cell>
          <cell r="I41">
            <v>0.7</v>
          </cell>
          <cell r="J41">
            <v>0.7</v>
          </cell>
          <cell r="K41">
            <v>0.7</v>
          </cell>
          <cell r="L41">
            <v>0.7</v>
          </cell>
          <cell r="M41">
            <v>0.7</v>
          </cell>
          <cell r="N41">
            <v>0.7</v>
          </cell>
          <cell r="O41">
            <v>0.7</v>
          </cell>
          <cell r="P41">
            <v>0.7</v>
          </cell>
          <cell r="Q41">
            <v>0.7</v>
          </cell>
          <cell r="R41">
            <v>0.7</v>
          </cell>
          <cell r="U41">
            <v>0.6</v>
          </cell>
          <cell r="V41">
            <v>0.3</v>
          </cell>
          <cell r="W41">
            <v>0.1</v>
          </cell>
          <cell r="X41">
            <v>0.6</v>
          </cell>
          <cell r="Y41">
            <v>0.3</v>
          </cell>
          <cell r="Z41">
            <v>0.1</v>
          </cell>
          <cell r="AA41">
            <v>0.1</v>
          </cell>
          <cell r="AB41">
            <v>0.2</v>
          </cell>
          <cell r="AC41">
            <v>0.7</v>
          </cell>
          <cell r="AD41">
            <v>0.35</v>
          </cell>
          <cell r="AE41">
            <v>0.25</v>
          </cell>
          <cell r="AF41">
            <v>0.4</v>
          </cell>
          <cell r="AG41">
            <v>0.35</v>
          </cell>
          <cell r="AH41">
            <v>0.25</v>
          </cell>
          <cell r="AI41">
            <v>0.4</v>
          </cell>
          <cell r="AJ41">
            <v>0.35</v>
          </cell>
          <cell r="AK41">
            <v>0.25</v>
          </cell>
          <cell r="AL41">
            <v>0.4</v>
          </cell>
          <cell r="AM41">
            <v>0.6</v>
          </cell>
          <cell r="AN41">
            <v>0.3</v>
          </cell>
          <cell r="AO41">
            <v>0.1</v>
          </cell>
          <cell r="AP41">
            <v>0.6</v>
          </cell>
          <cell r="AQ41">
            <v>0.3</v>
          </cell>
          <cell r="AR41">
            <v>0.1</v>
          </cell>
          <cell r="AS41">
            <v>0.6</v>
          </cell>
          <cell r="AT41">
            <v>0.3</v>
          </cell>
          <cell r="AU41">
            <v>0.1</v>
          </cell>
          <cell r="AV41">
            <v>0.6</v>
          </cell>
          <cell r="AW41">
            <v>0.3</v>
          </cell>
          <cell r="AX41">
            <v>0.1</v>
          </cell>
          <cell r="AY41">
            <v>0.6</v>
          </cell>
          <cell r="AZ41">
            <v>0.3</v>
          </cell>
          <cell r="BA41">
            <v>0.1</v>
          </cell>
          <cell r="BB41">
            <v>0.6</v>
          </cell>
          <cell r="BC41">
            <v>0.3</v>
          </cell>
          <cell r="BD41">
            <v>0.1</v>
          </cell>
          <cell r="BG41">
            <v>0.16</v>
          </cell>
          <cell r="BH41">
            <v>0.18</v>
          </cell>
          <cell r="BI41">
            <v>0.2</v>
          </cell>
          <cell r="BJ41">
            <v>0.14000000000000001</v>
          </cell>
          <cell r="BK41">
            <v>0.16</v>
          </cell>
          <cell r="BL41">
            <v>0.2</v>
          </cell>
          <cell r="BM41">
            <v>0.14000000000000001</v>
          </cell>
          <cell r="BN41">
            <v>0.16</v>
          </cell>
          <cell r="BO41">
            <v>0.2</v>
          </cell>
          <cell r="BP41">
            <v>0.14000000000000001</v>
          </cell>
          <cell r="BQ41">
            <v>0.16</v>
          </cell>
          <cell r="BR41">
            <v>0.2</v>
          </cell>
          <cell r="BS41">
            <v>0.14000000000000001</v>
          </cell>
          <cell r="BT41">
            <v>0.16</v>
          </cell>
          <cell r="BU41">
            <v>0.2</v>
          </cell>
          <cell r="BV41">
            <v>0.14000000000000001</v>
          </cell>
          <cell r="BW41">
            <v>0.16</v>
          </cell>
          <cell r="BX41">
            <v>0.2</v>
          </cell>
          <cell r="BY41">
            <v>0.15</v>
          </cell>
          <cell r="BZ41">
            <v>0.17</v>
          </cell>
          <cell r="CA41">
            <v>0.21</v>
          </cell>
          <cell r="CB41">
            <v>0.15</v>
          </cell>
          <cell r="CC41">
            <v>0.17</v>
          </cell>
          <cell r="CD41">
            <v>0.21</v>
          </cell>
          <cell r="CE41">
            <v>0.15</v>
          </cell>
          <cell r="CF41">
            <v>0.17</v>
          </cell>
          <cell r="CG41">
            <v>0.21</v>
          </cell>
          <cell r="CH41">
            <v>0.15</v>
          </cell>
          <cell r="CI41">
            <v>0.17</v>
          </cell>
          <cell r="CJ41">
            <v>0.21</v>
          </cell>
          <cell r="CK41">
            <v>0.15</v>
          </cell>
          <cell r="CL41">
            <v>0.17</v>
          </cell>
          <cell r="CM41">
            <v>0.21</v>
          </cell>
          <cell r="CN41">
            <v>0.15</v>
          </cell>
          <cell r="CO41">
            <v>0.17</v>
          </cell>
          <cell r="CP41">
            <v>0.21</v>
          </cell>
          <cell r="CQ41">
            <v>0.15</v>
          </cell>
          <cell r="CR41">
            <v>0.17</v>
          </cell>
          <cell r="CS41">
            <v>0.21</v>
          </cell>
          <cell r="CV41">
            <v>0.06</v>
          </cell>
          <cell r="CW41">
            <v>0.05</v>
          </cell>
          <cell r="CX41">
            <v>3.5000000000000003E-2</v>
          </cell>
          <cell r="CY41">
            <v>0.06</v>
          </cell>
          <cell r="CZ41">
            <v>0.05</v>
          </cell>
          <cell r="DA41">
            <v>3.5000000000000003E-2</v>
          </cell>
          <cell r="DB41">
            <v>0.06</v>
          </cell>
          <cell r="DC41">
            <v>0.05</v>
          </cell>
          <cell r="DD41">
            <v>3.5000000000000003E-2</v>
          </cell>
          <cell r="DE41">
            <v>0.06</v>
          </cell>
          <cell r="DF41">
            <v>0.05</v>
          </cell>
          <cell r="DG41">
            <v>3.5000000000000003E-2</v>
          </cell>
          <cell r="DH41">
            <v>0.06</v>
          </cell>
          <cell r="DI41">
            <v>0.05</v>
          </cell>
          <cell r="DJ41">
            <v>3.5000000000000003E-2</v>
          </cell>
          <cell r="DK41">
            <v>0.06</v>
          </cell>
          <cell r="DL41">
            <v>0.05</v>
          </cell>
          <cell r="DM41">
            <v>3.5000000000000003E-2</v>
          </cell>
          <cell r="DN41">
            <v>0.06</v>
          </cell>
          <cell r="DO41">
            <v>0.05</v>
          </cell>
          <cell r="DP41">
            <v>3.5000000000000003E-2</v>
          </cell>
          <cell r="DQ41">
            <v>0.06</v>
          </cell>
          <cell r="DR41">
            <v>0.05</v>
          </cell>
          <cell r="DS41">
            <v>3.5000000000000003E-2</v>
          </cell>
          <cell r="DT41">
            <v>0.06</v>
          </cell>
          <cell r="DU41">
            <v>0.05</v>
          </cell>
          <cell r="DV41">
            <v>3.5000000000000003E-2</v>
          </cell>
          <cell r="DW41">
            <v>0.06</v>
          </cell>
          <cell r="DX41">
            <v>0.05</v>
          </cell>
          <cell r="DY41">
            <v>3.5000000000000003E-2</v>
          </cell>
          <cell r="DZ41">
            <v>0.06</v>
          </cell>
          <cell r="EA41">
            <v>0.05</v>
          </cell>
          <cell r="EB41">
            <v>3.5000000000000003E-2</v>
          </cell>
          <cell r="EC41">
            <v>0.06</v>
          </cell>
          <cell r="ED41">
            <v>0.05</v>
          </cell>
          <cell r="EE41">
            <v>3.5000000000000003E-2</v>
          </cell>
          <cell r="EG41">
            <v>0.12449999999999997</v>
          </cell>
          <cell r="EH41">
            <v>0.10650000000000001</v>
          </cell>
          <cell r="EI41">
            <v>0.10650000000000001</v>
          </cell>
          <cell r="EJ41">
            <v>0.1265</v>
          </cell>
          <cell r="EK41">
            <v>0.11650000000000001</v>
          </cell>
          <cell r="EL41">
            <v>0.11650000000000001</v>
          </cell>
          <cell r="EM41">
            <v>0.1265</v>
          </cell>
          <cell r="EN41">
            <v>0.11649999999999999</v>
          </cell>
          <cell r="EO41">
            <v>0.11649999999999999</v>
          </cell>
          <cell r="EP41">
            <v>0.11649999999999999</v>
          </cell>
          <cell r="EQ41">
            <v>0.11649999999999999</v>
          </cell>
          <cell r="ER41">
            <v>0.11649999999999999</v>
          </cell>
          <cell r="ES41">
            <v>0.11649999999999999</v>
          </cell>
          <cell r="EU41">
            <v>0.16999999999999998</v>
          </cell>
          <cell r="EV41">
            <v>0.15200000000000002</v>
          </cell>
          <cell r="EW41">
            <v>0.15200000000000002</v>
          </cell>
          <cell r="EX41">
            <v>0.186</v>
          </cell>
          <cell r="EY41">
            <v>0.16900000000000001</v>
          </cell>
          <cell r="EZ41">
            <v>0.16900000000000001</v>
          </cell>
          <cell r="FA41">
            <v>0.17899999999999999</v>
          </cell>
          <cell r="FB41">
            <v>0.16200000000000001</v>
          </cell>
          <cell r="FC41">
            <v>0.16200000000000001</v>
          </cell>
          <cell r="FD41">
            <v>0.16200000000000001</v>
          </cell>
          <cell r="FE41">
            <v>0.16200000000000001</v>
          </cell>
          <cell r="FF41">
            <v>0.16200000000000001</v>
          </cell>
          <cell r="FG41">
            <v>0.16200000000000001</v>
          </cell>
        </row>
        <row r="42">
          <cell r="C42" t="str">
            <v>JUMPER MCA L3H2 BlueHDi</v>
          </cell>
          <cell r="D42" t="str">
            <v>JUMPER MCA L3H2 BlueHDi</v>
          </cell>
          <cell r="G42">
            <v>0.7</v>
          </cell>
          <cell r="H42">
            <v>0.7</v>
          </cell>
          <cell r="I42">
            <v>0.7</v>
          </cell>
          <cell r="J42">
            <v>0.7</v>
          </cell>
          <cell r="K42">
            <v>0.7</v>
          </cell>
          <cell r="L42">
            <v>0.7</v>
          </cell>
          <cell r="M42">
            <v>0.7</v>
          </cell>
          <cell r="N42">
            <v>0.7</v>
          </cell>
          <cell r="O42">
            <v>0.7</v>
          </cell>
          <cell r="P42">
            <v>0.7</v>
          </cell>
          <cell r="Q42">
            <v>0.7</v>
          </cell>
          <cell r="R42">
            <v>0.7</v>
          </cell>
          <cell r="U42">
            <v>0.6</v>
          </cell>
          <cell r="V42">
            <v>0.3</v>
          </cell>
          <cell r="W42">
            <v>0.1</v>
          </cell>
          <cell r="X42">
            <v>0.6</v>
          </cell>
          <cell r="Y42">
            <v>0.3</v>
          </cell>
          <cell r="Z42">
            <v>0.1</v>
          </cell>
          <cell r="AA42">
            <v>0.1</v>
          </cell>
          <cell r="AB42">
            <v>0.2</v>
          </cell>
          <cell r="AC42">
            <v>0.7</v>
          </cell>
          <cell r="AD42">
            <v>0.35</v>
          </cell>
          <cell r="AE42">
            <v>0.25</v>
          </cell>
          <cell r="AF42">
            <v>0.4</v>
          </cell>
          <cell r="AG42">
            <v>0.35</v>
          </cell>
          <cell r="AH42">
            <v>0.25</v>
          </cell>
          <cell r="AI42">
            <v>0.4</v>
          </cell>
          <cell r="AJ42">
            <v>0.35</v>
          </cell>
          <cell r="AK42">
            <v>0.25</v>
          </cell>
          <cell r="AL42">
            <v>0.4</v>
          </cell>
          <cell r="AM42">
            <v>0.6</v>
          </cell>
          <cell r="AN42">
            <v>0.3</v>
          </cell>
          <cell r="AO42">
            <v>0.1</v>
          </cell>
          <cell r="AP42">
            <v>0.6</v>
          </cell>
          <cell r="AQ42">
            <v>0.3</v>
          </cell>
          <cell r="AR42">
            <v>0.1</v>
          </cell>
          <cell r="AS42">
            <v>0.6</v>
          </cell>
          <cell r="AT42">
            <v>0.3</v>
          </cell>
          <cell r="AU42">
            <v>0.1</v>
          </cell>
          <cell r="AV42">
            <v>0.6</v>
          </cell>
          <cell r="AW42">
            <v>0.3</v>
          </cell>
          <cell r="AX42">
            <v>0.1</v>
          </cell>
          <cell r="AY42">
            <v>0.6</v>
          </cell>
          <cell r="AZ42">
            <v>0.3</v>
          </cell>
          <cell r="BA42">
            <v>0.1</v>
          </cell>
          <cell r="BB42">
            <v>0.6</v>
          </cell>
          <cell r="BC42">
            <v>0.3</v>
          </cell>
          <cell r="BD42">
            <v>0.1</v>
          </cell>
          <cell r="BG42">
            <v>0.13999999999999999</v>
          </cell>
          <cell r="BH42">
            <v>0.16</v>
          </cell>
          <cell r="BI42">
            <v>0.18000000000000002</v>
          </cell>
          <cell r="BJ42">
            <v>0.14000000000000001</v>
          </cell>
          <cell r="BK42">
            <v>0.16</v>
          </cell>
          <cell r="BL42">
            <v>0.2</v>
          </cell>
          <cell r="BM42">
            <v>0.14000000000000001</v>
          </cell>
          <cell r="BN42">
            <v>0.16</v>
          </cell>
          <cell r="BO42">
            <v>0.2</v>
          </cell>
          <cell r="BP42">
            <v>0.14000000000000001</v>
          </cell>
          <cell r="BQ42">
            <v>0.16</v>
          </cell>
          <cell r="BR42">
            <v>0.2</v>
          </cell>
          <cell r="BS42">
            <v>0.14000000000000001</v>
          </cell>
          <cell r="BT42">
            <v>0.16</v>
          </cell>
          <cell r="BU42">
            <v>0.2</v>
          </cell>
          <cell r="BV42">
            <v>0.14000000000000001</v>
          </cell>
          <cell r="BW42">
            <v>0.16</v>
          </cell>
          <cell r="BX42">
            <v>0.2</v>
          </cell>
          <cell r="BY42">
            <v>0.14000000000000001</v>
          </cell>
          <cell r="BZ42">
            <v>0.16</v>
          </cell>
          <cell r="CA42">
            <v>0.2</v>
          </cell>
          <cell r="CB42">
            <v>0.14000000000000001</v>
          </cell>
          <cell r="CC42">
            <v>0.16</v>
          </cell>
          <cell r="CD42">
            <v>0.2</v>
          </cell>
          <cell r="CE42">
            <v>0.14000000000000001</v>
          </cell>
          <cell r="CF42">
            <v>0.16</v>
          </cell>
          <cell r="CG42">
            <v>0.2</v>
          </cell>
          <cell r="CH42">
            <v>0.14000000000000001</v>
          </cell>
          <cell r="CI42">
            <v>0.16</v>
          </cell>
          <cell r="CJ42">
            <v>0.2</v>
          </cell>
          <cell r="CK42">
            <v>0.14000000000000001</v>
          </cell>
          <cell r="CL42">
            <v>0.16</v>
          </cell>
          <cell r="CM42">
            <v>0.2</v>
          </cell>
          <cell r="CN42">
            <v>0.14000000000000001</v>
          </cell>
          <cell r="CO42">
            <v>0.16</v>
          </cell>
          <cell r="CP42">
            <v>0.2</v>
          </cell>
          <cell r="CQ42">
            <v>0.14000000000000001</v>
          </cell>
          <cell r="CR42">
            <v>0.16</v>
          </cell>
          <cell r="CS42">
            <v>0.2</v>
          </cell>
          <cell r="CV42">
            <v>0.06</v>
          </cell>
          <cell r="CW42">
            <v>0.05</v>
          </cell>
          <cell r="CX42">
            <v>3.5000000000000003E-2</v>
          </cell>
          <cell r="CY42">
            <v>0.06</v>
          </cell>
          <cell r="CZ42">
            <v>0.05</v>
          </cell>
          <cell r="DA42">
            <v>3.5000000000000003E-2</v>
          </cell>
          <cell r="DB42">
            <v>0.06</v>
          </cell>
          <cell r="DC42">
            <v>0.05</v>
          </cell>
          <cell r="DD42">
            <v>3.5000000000000003E-2</v>
          </cell>
          <cell r="DE42">
            <v>0.06</v>
          </cell>
          <cell r="DF42">
            <v>0.05</v>
          </cell>
          <cell r="DG42">
            <v>3.5000000000000003E-2</v>
          </cell>
          <cell r="DH42">
            <v>0.06</v>
          </cell>
          <cell r="DI42">
            <v>0.05</v>
          </cell>
          <cell r="DJ42">
            <v>3.5000000000000003E-2</v>
          </cell>
          <cell r="DK42">
            <v>0.06</v>
          </cell>
          <cell r="DL42">
            <v>0.05</v>
          </cell>
          <cell r="DM42">
            <v>3.5000000000000003E-2</v>
          </cell>
          <cell r="DN42">
            <v>0.06</v>
          </cell>
          <cell r="DO42">
            <v>0.05</v>
          </cell>
          <cell r="DP42">
            <v>3.5000000000000003E-2</v>
          </cell>
          <cell r="DQ42">
            <v>0.06</v>
          </cell>
          <cell r="DR42">
            <v>0.05</v>
          </cell>
          <cell r="DS42">
            <v>3.5000000000000003E-2</v>
          </cell>
          <cell r="DT42">
            <v>0.06</v>
          </cell>
          <cell r="DU42">
            <v>0.05</v>
          </cell>
          <cell r="DV42">
            <v>3.5000000000000003E-2</v>
          </cell>
          <cell r="DW42">
            <v>0.06</v>
          </cell>
          <cell r="DX42">
            <v>0.05</v>
          </cell>
          <cell r="DY42">
            <v>3.5000000000000003E-2</v>
          </cell>
          <cell r="DZ42">
            <v>0.06</v>
          </cell>
          <cell r="EA42">
            <v>0.05</v>
          </cell>
          <cell r="EB42">
            <v>3.5000000000000003E-2</v>
          </cell>
          <cell r="EC42">
            <v>0.06</v>
          </cell>
          <cell r="ED42">
            <v>0.05</v>
          </cell>
          <cell r="EE42">
            <v>3.5000000000000003E-2</v>
          </cell>
          <cell r="EG42">
            <v>0.10450000000000001</v>
          </cell>
          <cell r="EH42">
            <v>0.10650000000000001</v>
          </cell>
          <cell r="EI42">
            <v>0.10650000000000001</v>
          </cell>
          <cell r="EJ42">
            <v>0.1265</v>
          </cell>
          <cell r="EK42">
            <v>0.11650000000000001</v>
          </cell>
          <cell r="EL42">
            <v>0.11650000000000001</v>
          </cell>
          <cell r="EM42">
            <v>0.11650000000000001</v>
          </cell>
          <cell r="EN42">
            <v>0.10650000000000001</v>
          </cell>
          <cell r="EO42">
            <v>0.10650000000000001</v>
          </cell>
          <cell r="EP42">
            <v>0.10650000000000001</v>
          </cell>
          <cell r="EQ42">
            <v>0.10650000000000001</v>
          </cell>
          <cell r="ER42">
            <v>0.10650000000000001</v>
          </cell>
          <cell r="ES42">
            <v>0.10650000000000001</v>
          </cell>
          <cell r="EU42">
            <v>0.15000000000000002</v>
          </cell>
          <cell r="EV42">
            <v>0.15200000000000002</v>
          </cell>
          <cell r="EW42">
            <v>0.15200000000000002</v>
          </cell>
          <cell r="EX42">
            <v>0.186</v>
          </cell>
          <cell r="EY42">
            <v>0.16900000000000001</v>
          </cell>
          <cell r="EZ42">
            <v>0.16900000000000001</v>
          </cell>
          <cell r="FA42">
            <v>0.16900000000000001</v>
          </cell>
          <cell r="FB42">
            <v>0.15200000000000002</v>
          </cell>
          <cell r="FC42">
            <v>0.15200000000000002</v>
          </cell>
          <cell r="FD42">
            <v>0.15200000000000002</v>
          </cell>
          <cell r="FE42">
            <v>0.15200000000000002</v>
          </cell>
          <cell r="FF42">
            <v>0.15200000000000002</v>
          </cell>
          <cell r="FG42">
            <v>0.15200000000000002</v>
          </cell>
        </row>
        <row r="43">
          <cell r="C43" t="str">
            <v>JUMPER MCA L4H2 BlueHDi</v>
          </cell>
          <cell r="D43" t="str">
            <v>JUMPER MCA L4H2 BlueHDi</v>
          </cell>
          <cell r="G43">
            <v>0.7</v>
          </cell>
          <cell r="H43">
            <v>0.7</v>
          </cell>
          <cell r="I43">
            <v>0.7</v>
          </cell>
          <cell r="J43">
            <v>0.7</v>
          </cell>
          <cell r="K43">
            <v>0.7</v>
          </cell>
          <cell r="L43">
            <v>0.7</v>
          </cell>
          <cell r="M43">
            <v>0.7</v>
          </cell>
          <cell r="N43">
            <v>0.7</v>
          </cell>
          <cell r="O43">
            <v>0.7</v>
          </cell>
          <cell r="P43">
            <v>0.7</v>
          </cell>
          <cell r="Q43">
            <v>0.7</v>
          </cell>
          <cell r="R43">
            <v>0.7</v>
          </cell>
          <cell r="U43">
            <v>0.6</v>
          </cell>
          <cell r="V43">
            <v>0.3</v>
          </cell>
          <cell r="W43">
            <v>0.1</v>
          </cell>
          <cell r="X43">
            <v>0.6</v>
          </cell>
          <cell r="Y43">
            <v>0.3</v>
          </cell>
          <cell r="Z43">
            <v>0.1</v>
          </cell>
          <cell r="AA43">
            <v>0.1</v>
          </cell>
          <cell r="AB43">
            <v>0.2</v>
          </cell>
          <cell r="AC43">
            <v>0.7</v>
          </cell>
          <cell r="AD43">
            <v>0.35</v>
          </cell>
          <cell r="AE43">
            <v>0.25</v>
          </cell>
          <cell r="AF43">
            <v>0.4</v>
          </cell>
          <cell r="AG43">
            <v>0.35</v>
          </cell>
          <cell r="AH43">
            <v>0.25</v>
          </cell>
          <cell r="AI43">
            <v>0.4</v>
          </cell>
          <cell r="AJ43">
            <v>0.35</v>
          </cell>
          <cell r="AK43">
            <v>0.25</v>
          </cell>
          <cell r="AL43">
            <v>0.4</v>
          </cell>
          <cell r="AM43">
            <v>0.6</v>
          </cell>
          <cell r="AN43">
            <v>0.3</v>
          </cell>
          <cell r="AO43">
            <v>0.1</v>
          </cell>
          <cell r="AP43">
            <v>0.6</v>
          </cell>
          <cell r="AQ43">
            <v>0.3</v>
          </cell>
          <cell r="AR43">
            <v>0.1</v>
          </cell>
          <cell r="AS43">
            <v>0.6</v>
          </cell>
          <cell r="AT43">
            <v>0.3</v>
          </cell>
          <cell r="AU43">
            <v>0.1</v>
          </cell>
          <cell r="AV43">
            <v>0.6</v>
          </cell>
          <cell r="AW43">
            <v>0.3</v>
          </cell>
          <cell r="AX43">
            <v>0.1</v>
          </cell>
          <cell r="AY43">
            <v>0.6</v>
          </cell>
          <cell r="AZ43">
            <v>0.3</v>
          </cell>
          <cell r="BA43">
            <v>0.1</v>
          </cell>
          <cell r="BB43">
            <v>0.6</v>
          </cell>
          <cell r="BC43">
            <v>0.3</v>
          </cell>
          <cell r="BD43">
            <v>0.1</v>
          </cell>
          <cell r="BG43">
            <v>0.12</v>
          </cell>
          <cell r="BH43">
            <v>0.14000000000000001</v>
          </cell>
          <cell r="BI43">
            <v>0.16000000000000003</v>
          </cell>
          <cell r="BJ43">
            <v>0.14000000000000001</v>
          </cell>
          <cell r="BK43">
            <v>0.16</v>
          </cell>
          <cell r="BL43">
            <v>0.2</v>
          </cell>
          <cell r="BM43">
            <v>0.14000000000000001</v>
          </cell>
          <cell r="BN43">
            <v>0.16</v>
          </cell>
          <cell r="BO43">
            <v>0.2</v>
          </cell>
          <cell r="BP43">
            <v>0.14000000000000001</v>
          </cell>
          <cell r="BQ43">
            <v>0.16</v>
          </cell>
          <cell r="BR43">
            <v>0.2</v>
          </cell>
          <cell r="BS43">
            <v>0.14000000000000001</v>
          </cell>
          <cell r="BT43">
            <v>0.16</v>
          </cell>
          <cell r="BU43">
            <v>0.2</v>
          </cell>
          <cell r="BV43">
            <v>0.14000000000000001</v>
          </cell>
          <cell r="BW43">
            <v>0.16</v>
          </cell>
          <cell r="BX43">
            <v>0.2</v>
          </cell>
          <cell r="BY43">
            <v>0.14000000000000001</v>
          </cell>
          <cell r="BZ43">
            <v>0.16</v>
          </cell>
          <cell r="CA43">
            <v>0.2</v>
          </cell>
          <cell r="CB43">
            <v>0.14000000000000001</v>
          </cell>
          <cell r="CC43">
            <v>0.16</v>
          </cell>
          <cell r="CD43">
            <v>0.2</v>
          </cell>
          <cell r="CE43">
            <v>0.14000000000000001</v>
          </cell>
          <cell r="CF43">
            <v>0.16</v>
          </cell>
          <cell r="CG43">
            <v>0.2</v>
          </cell>
          <cell r="CH43">
            <v>0.14000000000000001</v>
          </cell>
          <cell r="CI43">
            <v>0.16</v>
          </cell>
          <cell r="CJ43">
            <v>0.2</v>
          </cell>
          <cell r="CK43">
            <v>0.14000000000000001</v>
          </cell>
          <cell r="CL43">
            <v>0.16</v>
          </cell>
          <cell r="CM43">
            <v>0.2</v>
          </cell>
          <cell r="CN43">
            <v>0.14000000000000001</v>
          </cell>
          <cell r="CO43">
            <v>0.16</v>
          </cell>
          <cell r="CP43">
            <v>0.2</v>
          </cell>
          <cell r="CQ43">
            <v>0.14000000000000001</v>
          </cell>
          <cell r="CR43">
            <v>0.16</v>
          </cell>
          <cell r="CS43">
            <v>0.2</v>
          </cell>
          <cell r="CV43">
            <v>0.06</v>
          </cell>
          <cell r="CW43">
            <v>0.05</v>
          </cell>
          <cell r="CX43">
            <v>3.5000000000000003E-2</v>
          </cell>
          <cell r="CY43">
            <v>0.06</v>
          </cell>
          <cell r="CZ43">
            <v>0.05</v>
          </cell>
          <cell r="DA43">
            <v>3.5000000000000003E-2</v>
          </cell>
          <cell r="DB43">
            <v>0.06</v>
          </cell>
          <cell r="DC43">
            <v>0.05</v>
          </cell>
          <cell r="DD43">
            <v>3.5000000000000003E-2</v>
          </cell>
          <cell r="DE43">
            <v>0.06</v>
          </cell>
          <cell r="DF43">
            <v>0.05</v>
          </cell>
          <cell r="DG43">
            <v>3.5000000000000003E-2</v>
          </cell>
          <cell r="DH43">
            <v>0.06</v>
          </cell>
          <cell r="DI43">
            <v>0.05</v>
          </cell>
          <cell r="DJ43">
            <v>3.5000000000000003E-2</v>
          </cell>
          <cell r="DK43">
            <v>0.06</v>
          </cell>
          <cell r="DL43">
            <v>0.05</v>
          </cell>
          <cell r="DM43">
            <v>3.5000000000000003E-2</v>
          </cell>
          <cell r="DN43">
            <v>0.06</v>
          </cell>
          <cell r="DO43">
            <v>0.05</v>
          </cell>
          <cell r="DP43">
            <v>3.5000000000000003E-2</v>
          </cell>
          <cell r="DQ43">
            <v>0.06</v>
          </cell>
          <cell r="DR43">
            <v>0.05</v>
          </cell>
          <cell r="DS43">
            <v>3.5000000000000003E-2</v>
          </cell>
          <cell r="DT43">
            <v>0.06</v>
          </cell>
          <cell r="DU43">
            <v>0.05</v>
          </cell>
          <cell r="DV43">
            <v>3.5000000000000003E-2</v>
          </cell>
          <cell r="DW43">
            <v>0.06</v>
          </cell>
          <cell r="DX43">
            <v>0.05</v>
          </cell>
          <cell r="DY43">
            <v>3.5000000000000003E-2</v>
          </cell>
          <cell r="DZ43">
            <v>0.06</v>
          </cell>
          <cell r="EA43">
            <v>0.05</v>
          </cell>
          <cell r="EB43">
            <v>3.5000000000000003E-2</v>
          </cell>
          <cell r="EC43">
            <v>0.06</v>
          </cell>
          <cell r="ED43">
            <v>0.05</v>
          </cell>
          <cell r="EE43">
            <v>3.5000000000000003E-2</v>
          </cell>
          <cell r="EG43">
            <v>8.4499999999999992E-2</v>
          </cell>
          <cell r="EH43">
            <v>0.10650000000000001</v>
          </cell>
          <cell r="EI43">
            <v>0.10650000000000001</v>
          </cell>
          <cell r="EJ43">
            <v>0.1265</v>
          </cell>
          <cell r="EK43">
            <v>0.11650000000000001</v>
          </cell>
          <cell r="EL43">
            <v>0.11650000000000001</v>
          </cell>
          <cell r="EM43">
            <v>0.11650000000000001</v>
          </cell>
          <cell r="EN43">
            <v>0.10650000000000001</v>
          </cell>
          <cell r="EO43">
            <v>0.10650000000000001</v>
          </cell>
          <cell r="EP43">
            <v>0.10650000000000001</v>
          </cell>
          <cell r="EQ43">
            <v>0.10650000000000001</v>
          </cell>
          <cell r="ER43">
            <v>0.10650000000000001</v>
          </cell>
          <cell r="ES43">
            <v>0.10650000000000001</v>
          </cell>
          <cell r="EU43">
            <v>0.13</v>
          </cell>
          <cell r="EV43">
            <v>0.15200000000000002</v>
          </cell>
          <cell r="EW43">
            <v>0.15200000000000002</v>
          </cell>
          <cell r="EX43">
            <v>0.186</v>
          </cell>
          <cell r="EY43">
            <v>0.16900000000000001</v>
          </cell>
          <cell r="EZ43">
            <v>0.16900000000000001</v>
          </cell>
          <cell r="FA43">
            <v>0.16900000000000001</v>
          </cell>
          <cell r="FB43">
            <v>0.15200000000000002</v>
          </cell>
          <cell r="FC43">
            <v>0.15200000000000002</v>
          </cell>
          <cell r="FD43">
            <v>0.15200000000000002</v>
          </cell>
          <cell r="FE43">
            <v>0.15200000000000002</v>
          </cell>
          <cell r="FF43">
            <v>0.15200000000000002</v>
          </cell>
          <cell r="FG43">
            <v>0.15200000000000002</v>
          </cell>
        </row>
        <row r="44">
          <cell r="C44" t="str">
            <v>JUMPER MCA Cabina L3 BlueHDi</v>
          </cell>
          <cell r="D44" t="str">
            <v>JUMPER MCA Cabina L3 BlueHDi</v>
          </cell>
          <cell r="G44">
            <v>0.7</v>
          </cell>
          <cell r="H44">
            <v>0.7</v>
          </cell>
          <cell r="I44">
            <v>0.7</v>
          </cell>
          <cell r="J44">
            <v>0.7</v>
          </cell>
          <cell r="K44">
            <v>0.7</v>
          </cell>
          <cell r="L44">
            <v>0.7</v>
          </cell>
          <cell r="M44">
            <v>0.7</v>
          </cell>
          <cell r="N44">
            <v>0.7</v>
          </cell>
          <cell r="O44">
            <v>0.7</v>
          </cell>
          <cell r="P44">
            <v>0.7</v>
          </cell>
          <cell r="Q44">
            <v>0.7</v>
          </cell>
          <cell r="R44">
            <v>0.7</v>
          </cell>
          <cell r="U44">
            <v>0.6</v>
          </cell>
          <cell r="V44">
            <v>0.3</v>
          </cell>
          <cell r="W44">
            <v>0.1</v>
          </cell>
          <cell r="X44">
            <v>0.6</v>
          </cell>
          <cell r="Y44">
            <v>0.3</v>
          </cell>
          <cell r="Z44">
            <v>0.1</v>
          </cell>
          <cell r="AA44">
            <v>0.1</v>
          </cell>
          <cell r="AB44">
            <v>0.2</v>
          </cell>
          <cell r="AC44">
            <v>0.7</v>
          </cell>
          <cell r="AD44">
            <v>0.35</v>
          </cell>
          <cell r="AE44">
            <v>0.25</v>
          </cell>
          <cell r="AF44">
            <v>0.4</v>
          </cell>
          <cell r="AG44">
            <v>0.35</v>
          </cell>
          <cell r="AH44">
            <v>0.25</v>
          </cell>
          <cell r="AI44">
            <v>0.4</v>
          </cell>
          <cell r="AJ44">
            <v>0.35</v>
          </cell>
          <cell r="AK44">
            <v>0.25</v>
          </cell>
          <cell r="AL44">
            <v>0.4</v>
          </cell>
          <cell r="AM44">
            <v>0.6</v>
          </cell>
          <cell r="AN44">
            <v>0.3</v>
          </cell>
          <cell r="AO44">
            <v>0.1</v>
          </cell>
          <cell r="AP44">
            <v>0.6</v>
          </cell>
          <cell r="AQ44">
            <v>0.3</v>
          </cell>
          <cell r="AR44">
            <v>0.1</v>
          </cell>
          <cell r="AS44">
            <v>0.6</v>
          </cell>
          <cell r="AT44">
            <v>0.3</v>
          </cell>
          <cell r="AU44">
            <v>0.1</v>
          </cell>
          <cell r="AV44">
            <v>0.6</v>
          </cell>
          <cell r="AW44">
            <v>0.3</v>
          </cell>
          <cell r="AX44">
            <v>0.1</v>
          </cell>
          <cell r="AY44">
            <v>0.6</v>
          </cell>
          <cell r="AZ44">
            <v>0.3</v>
          </cell>
          <cell r="BA44">
            <v>0.1</v>
          </cell>
          <cell r="BB44">
            <v>0.6</v>
          </cell>
          <cell r="BC44">
            <v>0.3</v>
          </cell>
          <cell r="BD44">
            <v>0.1</v>
          </cell>
          <cell r="BG44">
            <v>0.14000000000000001</v>
          </cell>
          <cell r="BH44">
            <v>0.14000000000000001</v>
          </cell>
          <cell r="BI44">
            <v>0.18000000000000002</v>
          </cell>
          <cell r="BJ44">
            <v>0.14000000000000001</v>
          </cell>
          <cell r="BK44">
            <v>0.16</v>
          </cell>
          <cell r="BL44">
            <v>0.2</v>
          </cell>
          <cell r="BM44">
            <v>0.14000000000000001</v>
          </cell>
          <cell r="BN44">
            <v>0.16</v>
          </cell>
          <cell r="BO44">
            <v>0.2</v>
          </cell>
          <cell r="BP44">
            <v>0.14000000000000001</v>
          </cell>
          <cell r="BQ44">
            <v>0.16</v>
          </cell>
          <cell r="BR44">
            <v>0.2</v>
          </cell>
          <cell r="BS44">
            <v>0.14000000000000001</v>
          </cell>
          <cell r="BT44">
            <v>0.16</v>
          </cell>
          <cell r="BU44">
            <v>0.2</v>
          </cell>
          <cell r="BV44">
            <v>0.14000000000000001</v>
          </cell>
          <cell r="BW44">
            <v>0.16</v>
          </cell>
          <cell r="BX44">
            <v>0.2</v>
          </cell>
          <cell r="BY44">
            <v>0.14000000000000001</v>
          </cell>
          <cell r="BZ44">
            <v>0.16</v>
          </cell>
          <cell r="CA44">
            <v>0.2</v>
          </cell>
          <cell r="CB44">
            <v>0.14000000000000001</v>
          </cell>
          <cell r="CC44">
            <v>0.16</v>
          </cell>
          <cell r="CD44">
            <v>0.2</v>
          </cell>
          <cell r="CE44">
            <v>0.14000000000000001</v>
          </cell>
          <cell r="CF44">
            <v>0.16</v>
          </cell>
          <cell r="CG44">
            <v>0.2</v>
          </cell>
          <cell r="CH44">
            <v>0.14000000000000001</v>
          </cell>
          <cell r="CI44">
            <v>0.16</v>
          </cell>
          <cell r="CJ44">
            <v>0.2</v>
          </cell>
          <cell r="CK44">
            <v>0.14000000000000001</v>
          </cell>
          <cell r="CL44">
            <v>0.16</v>
          </cell>
          <cell r="CM44">
            <v>0.2</v>
          </cell>
          <cell r="CN44">
            <v>0.14000000000000001</v>
          </cell>
          <cell r="CO44">
            <v>0.16</v>
          </cell>
          <cell r="CP44">
            <v>0.2</v>
          </cell>
          <cell r="CQ44">
            <v>0.14000000000000001</v>
          </cell>
          <cell r="CR44">
            <v>0.16</v>
          </cell>
          <cell r="CS44">
            <v>0.2</v>
          </cell>
          <cell r="CV44">
            <v>0.06</v>
          </cell>
          <cell r="CW44">
            <v>0.05</v>
          </cell>
          <cell r="CX44">
            <v>3.5000000000000003E-2</v>
          </cell>
          <cell r="CY44">
            <v>0.06</v>
          </cell>
          <cell r="CZ44">
            <v>0.05</v>
          </cell>
          <cell r="DA44">
            <v>3.5000000000000003E-2</v>
          </cell>
          <cell r="DB44">
            <v>0.06</v>
          </cell>
          <cell r="DC44">
            <v>0.05</v>
          </cell>
          <cell r="DD44">
            <v>3.5000000000000003E-2</v>
          </cell>
          <cell r="DE44">
            <v>0.06</v>
          </cell>
          <cell r="DF44">
            <v>0.05</v>
          </cell>
          <cell r="DG44">
            <v>3.5000000000000003E-2</v>
          </cell>
          <cell r="DH44">
            <v>0.06</v>
          </cell>
          <cell r="DI44">
            <v>0.05</v>
          </cell>
          <cell r="DJ44">
            <v>3.5000000000000003E-2</v>
          </cell>
          <cell r="DK44">
            <v>0.06</v>
          </cell>
          <cell r="DL44">
            <v>0.05</v>
          </cell>
          <cell r="DM44">
            <v>3.5000000000000003E-2</v>
          </cell>
          <cell r="DN44">
            <v>0.06</v>
          </cell>
          <cell r="DO44">
            <v>0.05</v>
          </cell>
          <cell r="DP44">
            <v>3.5000000000000003E-2</v>
          </cell>
          <cell r="DQ44">
            <v>0.06</v>
          </cell>
          <cell r="DR44">
            <v>0.05</v>
          </cell>
          <cell r="DS44">
            <v>3.5000000000000003E-2</v>
          </cell>
          <cell r="DT44">
            <v>0.06</v>
          </cell>
          <cell r="DU44">
            <v>0.05</v>
          </cell>
          <cell r="DV44">
            <v>3.5000000000000003E-2</v>
          </cell>
          <cell r="DW44">
            <v>0.06</v>
          </cell>
          <cell r="DX44">
            <v>0.05</v>
          </cell>
          <cell r="DY44">
            <v>3.5000000000000003E-2</v>
          </cell>
          <cell r="DZ44">
            <v>0.06</v>
          </cell>
          <cell r="EA44">
            <v>0.05</v>
          </cell>
          <cell r="EB44">
            <v>3.5000000000000003E-2</v>
          </cell>
          <cell r="EC44">
            <v>0.06</v>
          </cell>
          <cell r="ED44">
            <v>0.05</v>
          </cell>
          <cell r="EE44">
            <v>3.5000000000000003E-2</v>
          </cell>
          <cell r="EG44">
            <v>9.8500000000000004E-2</v>
          </cell>
          <cell r="EH44">
            <v>0.10650000000000001</v>
          </cell>
          <cell r="EI44">
            <v>0.10650000000000001</v>
          </cell>
          <cell r="EJ44">
            <v>0.1265</v>
          </cell>
          <cell r="EK44">
            <v>0.11650000000000001</v>
          </cell>
          <cell r="EL44">
            <v>0.11650000000000001</v>
          </cell>
          <cell r="EM44">
            <v>0.11650000000000001</v>
          </cell>
          <cell r="EN44">
            <v>0.10650000000000001</v>
          </cell>
          <cell r="EO44">
            <v>0.10650000000000001</v>
          </cell>
          <cell r="EP44">
            <v>0.10650000000000001</v>
          </cell>
          <cell r="EQ44">
            <v>0.10650000000000001</v>
          </cell>
          <cell r="ER44">
            <v>0.10650000000000001</v>
          </cell>
          <cell r="ES44">
            <v>0.10650000000000001</v>
          </cell>
          <cell r="EU44">
            <v>0.14400000000000002</v>
          </cell>
          <cell r="EV44">
            <v>0.15200000000000002</v>
          </cell>
          <cell r="EW44">
            <v>0.15200000000000002</v>
          </cell>
          <cell r="EX44">
            <v>0.186</v>
          </cell>
          <cell r="EY44">
            <v>0.16900000000000001</v>
          </cell>
          <cell r="EZ44">
            <v>0.16900000000000001</v>
          </cell>
          <cell r="FA44">
            <v>0.16900000000000001</v>
          </cell>
          <cell r="FB44">
            <v>0.15200000000000002</v>
          </cell>
          <cell r="FC44">
            <v>0.15200000000000002</v>
          </cell>
          <cell r="FD44">
            <v>0.15200000000000002</v>
          </cell>
          <cell r="FE44">
            <v>0.15200000000000002</v>
          </cell>
          <cell r="FF44">
            <v>0.15200000000000002</v>
          </cell>
          <cell r="FG44">
            <v>0.15200000000000002</v>
          </cell>
        </row>
        <row r="45">
          <cell r="C45" t="str">
            <v>JUMPER MCA Doble Cabina L4 BlueHDi</v>
          </cell>
          <cell r="D45" t="str">
            <v>JUMPER MCA Doble Cabina L4 BlueHDi</v>
          </cell>
          <cell r="G45">
            <v>0.7</v>
          </cell>
          <cell r="H45">
            <v>0.7</v>
          </cell>
          <cell r="I45">
            <v>0.7</v>
          </cell>
          <cell r="J45">
            <v>0.7</v>
          </cell>
          <cell r="K45">
            <v>0.7</v>
          </cell>
          <cell r="L45">
            <v>0.7</v>
          </cell>
          <cell r="M45">
            <v>0.7</v>
          </cell>
          <cell r="N45">
            <v>0.7</v>
          </cell>
          <cell r="O45">
            <v>0.7</v>
          </cell>
          <cell r="P45">
            <v>0.7</v>
          </cell>
          <cell r="Q45">
            <v>0.7</v>
          </cell>
          <cell r="R45">
            <v>0.7</v>
          </cell>
          <cell r="U45">
            <v>0.6</v>
          </cell>
          <cell r="V45">
            <v>0.3</v>
          </cell>
          <cell r="W45">
            <v>0.1</v>
          </cell>
          <cell r="X45">
            <v>0.6</v>
          </cell>
          <cell r="Y45">
            <v>0.3</v>
          </cell>
          <cell r="Z45">
            <v>0.1</v>
          </cell>
          <cell r="AA45">
            <v>0.1</v>
          </cell>
          <cell r="AB45">
            <v>0.2</v>
          </cell>
          <cell r="AC45">
            <v>0.7</v>
          </cell>
          <cell r="AD45">
            <v>0.35</v>
          </cell>
          <cell r="AE45">
            <v>0.25</v>
          </cell>
          <cell r="AF45">
            <v>0.4</v>
          </cell>
          <cell r="AG45">
            <v>0.35</v>
          </cell>
          <cell r="AH45">
            <v>0.25</v>
          </cell>
          <cell r="AI45">
            <v>0.4</v>
          </cell>
          <cell r="AJ45">
            <v>0.35</v>
          </cell>
          <cell r="AK45">
            <v>0.25</v>
          </cell>
          <cell r="AL45">
            <v>0.4</v>
          </cell>
          <cell r="AM45">
            <v>0.6</v>
          </cell>
          <cell r="AN45">
            <v>0.3</v>
          </cell>
          <cell r="AO45">
            <v>0.1</v>
          </cell>
          <cell r="AP45">
            <v>0.6</v>
          </cell>
          <cell r="AQ45">
            <v>0.3</v>
          </cell>
          <cell r="AR45">
            <v>0.1</v>
          </cell>
          <cell r="AS45">
            <v>0.6</v>
          </cell>
          <cell r="AT45">
            <v>0.3</v>
          </cell>
          <cell r="AU45">
            <v>0.1</v>
          </cell>
          <cell r="AV45">
            <v>0.6</v>
          </cell>
          <cell r="AW45">
            <v>0.3</v>
          </cell>
          <cell r="AX45">
            <v>0.1</v>
          </cell>
          <cell r="AY45">
            <v>0.6</v>
          </cell>
          <cell r="AZ45">
            <v>0.3</v>
          </cell>
          <cell r="BA45">
            <v>0.1</v>
          </cell>
          <cell r="BB45">
            <v>0.6</v>
          </cell>
          <cell r="BC45">
            <v>0.3</v>
          </cell>
          <cell r="BD45">
            <v>0.1</v>
          </cell>
          <cell r="BG45">
            <v>0.14000000000000001</v>
          </cell>
          <cell r="BH45">
            <v>0.14000000000000001</v>
          </cell>
          <cell r="BI45">
            <v>0.18000000000000002</v>
          </cell>
          <cell r="BJ45">
            <v>0.14000000000000001</v>
          </cell>
          <cell r="BK45">
            <v>0.16</v>
          </cell>
          <cell r="BL45">
            <v>0.2</v>
          </cell>
          <cell r="BM45">
            <v>0.14000000000000001</v>
          </cell>
          <cell r="BN45">
            <v>0.16</v>
          </cell>
          <cell r="BO45">
            <v>0.2</v>
          </cell>
          <cell r="BP45">
            <v>0.14000000000000001</v>
          </cell>
          <cell r="BQ45">
            <v>0.16</v>
          </cell>
          <cell r="BR45">
            <v>0.2</v>
          </cell>
          <cell r="BS45">
            <v>0.14000000000000001</v>
          </cell>
          <cell r="BT45">
            <v>0.16</v>
          </cell>
          <cell r="BU45">
            <v>0.2</v>
          </cell>
          <cell r="BV45">
            <v>0.14000000000000001</v>
          </cell>
          <cell r="BW45">
            <v>0.16</v>
          </cell>
          <cell r="BX45">
            <v>0.2</v>
          </cell>
          <cell r="BY45">
            <v>0.14000000000000001</v>
          </cell>
          <cell r="BZ45">
            <v>0.16</v>
          </cell>
          <cell r="CA45">
            <v>0.2</v>
          </cell>
          <cell r="CB45">
            <v>0.14000000000000001</v>
          </cell>
          <cell r="CC45">
            <v>0.16</v>
          </cell>
          <cell r="CD45">
            <v>0.2</v>
          </cell>
          <cell r="CE45">
            <v>0.14000000000000001</v>
          </cell>
          <cell r="CF45">
            <v>0.16</v>
          </cell>
          <cell r="CG45">
            <v>0.2</v>
          </cell>
          <cell r="CH45">
            <v>0.14000000000000001</v>
          </cell>
          <cell r="CI45">
            <v>0.16</v>
          </cell>
          <cell r="CJ45">
            <v>0.2</v>
          </cell>
          <cell r="CK45">
            <v>0.14000000000000001</v>
          </cell>
          <cell r="CL45">
            <v>0.16</v>
          </cell>
          <cell r="CM45">
            <v>0.2</v>
          </cell>
          <cell r="CN45">
            <v>0.14000000000000001</v>
          </cell>
          <cell r="CO45">
            <v>0.16</v>
          </cell>
          <cell r="CP45">
            <v>0.2</v>
          </cell>
          <cell r="CQ45">
            <v>0.14000000000000001</v>
          </cell>
          <cell r="CR45">
            <v>0.16</v>
          </cell>
          <cell r="CS45">
            <v>0.2</v>
          </cell>
          <cell r="CV45">
            <v>0.06</v>
          </cell>
          <cell r="CW45">
            <v>0.05</v>
          </cell>
          <cell r="CX45">
            <v>3.5000000000000003E-2</v>
          </cell>
          <cell r="CY45">
            <v>0.06</v>
          </cell>
          <cell r="CZ45">
            <v>0.05</v>
          </cell>
          <cell r="DA45">
            <v>3.5000000000000003E-2</v>
          </cell>
          <cell r="DB45">
            <v>0.06</v>
          </cell>
          <cell r="DC45">
            <v>0.05</v>
          </cell>
          <cell r="DD45">
            <v>3.5000000000000003E-2</v>
          </cell>
          <cell r="DE45">
            <v>0.06</v>
          </cell>
          <cell r="DF45">
            <v>0.05</v>
          </cell>
          <cell r="DG45">
            <v>3.5000000000000003E-2</v>
          </cell>
          <cell r="DH45">
            <v>0.06</v>
          </cell>
          <cell r="DI45">
            <v>0.05</v>
          </cell>
          <cell r="DJ45">
            <v>3.5000000000000003E-2</v>
          </cell>
          <cell r="DK45">
            <v>0.06</v>
          </cell>
          <cell r="DL45">
            <v>0.05</v>
          </cell>
          <cell r="DM45">
            <v>3.5000000000000003E-2</v>
          </cell>
          <cell r="DN45">
            <v>0.06</v>
          </cell>
          <cell r="DO45">
            <v>0.05</v>
          </cell>
          <cell r="DP45">
            <v>3.5000000000000003E-2</v>
          </cell>
          <cell r="DQ45">
            <v>0.06</v>
          </cell>
          <cell r="DR45">
            <v>0.05</v>
          </cell>
          <cell r="DS45">
            <v>3.5000000000000003E-2</v>
          </cell>
          <cell r="DT45">
            <v>0.06</v>
          </cell>
          <cell r="DU45">
            <v>0.05</v>
          </cell>
          <cell r="DV45">
            <v>3.5000000000000003E-2</v>
          </cell>
          <cell r="DW45">
            <v>0.06</v>
          </cell>
          <cell r="DX45">
            <v>0.05</v>
          </cell>
          <cell r="DY45">
            <v>3.5000000000000003E-2</v>
          </cell>
          <cell r="DZ45">
            <v>0.06</v>
          </cell>
          <cell r="EA45">
            <v>0.05</v>
          </cell>
          <cell r="EB45">
            <v>3.5000000000000003E-2</v>
          </cell>
          <cell r="EC45">
            <v>0.06</v>
          </cell>
          <cell r="ED45">
            <v>0.05</v>
          </cell>
          <cell r="EE45">
            <v>3.5000000000000003E-2</v>
          </cell>
          <cell r="EG45">
            <v>9.8500000000000004E-2</v>
          </cell>
          <cell r="EH45">
            <v>0.10650000000000001</v>
          </cell>
          <cell r="EI45">
            <v>0.10650000000000001</v>
          </cell>
          <cell r="EJ45">
            <v>0.1265</v>
          </cell>
          <cell r="EK45">
            <v>0.11650000000000001</v>
          </cell>
          <cell r="EL45">
            <v>0.11650000000000001</v>
          </cell>
          <cell r="EM45">
            <v>0.11650000000000001</v>
          </cell>
          <cell r="EN45">
            <v>0.10650000000000001</v>
          </cell>
          <cell r="EO45">
            <v>0.10650000000000001</v>
          </cell>
          <cell r="EP45">
            <v>0.10650000000000001</v>
          </cell>
          <cell r="EQ45">
            <v>0.10650000000000001</v>
          </cell>
          <cell r="ER45">
            <v>0.10650000000000001</v>
          </cell>
          <cell r="ES45">
            <v>0.10650000000000001</v>
          </cell>
          <cell r="EU45">
            <v>0.14400000000000002</v>
          </cell>
          <cell r="EV45">
            <v>0.15200000000000002</v>
          </cell>
          <cell r="EW45">
            <v>0.15200000000000002</v>
          </cell>
          <cell r="EX45">
            <v>0.186</v>
          </cell>
          <cell r="EY45">
            <v>0.16900000000000001</v>
          </cell>
          <cell r="EZ45">
            <v>0.16900000000000001</v>
          </cell>
          <cell r="FA45">
            <v>0.16900000000000001</v>
          </cell>
          <cell r="FB45">
            <v>0.15200000000000002</v>
          </cell>
          <cell r="FC45">
            <v>0.15200000000000002</v>
          </cell>
          <cell r="FD45">
            <v>0.15200000000000002</v>
          </cell>
          <cell r="FE45">
            <v>0.15200000000000002</v>
          </cell>
          <cell r="FF45">
            <v>0.15200000000000002</v>
          </cell>
          <cell r="FG45">
            <v>0.15200000000000002</v>
          </cell>
        </row>
        <row r="46">
          <cell r="C46" t="str">
            <v>FIAT 600 MHEV</v>
          </cell>
          <cell r="D46" t="str">
            <v>FIAT 600 MHEV</v>
          </cell>
          <cell r="G46">
            <v>0.05</v>
          </cell>
          <cell r="H46">
            <v>0.05</v>
          </cell>
          <cell r="I46">
            <v>0.05</v>
          </cell>
          <cell r="J46">
            <v>0.05</v>
          </cell>
          <cell r="K46">
            <v>0.05</v>
          </cell>
          <cell r="L46">
            <v>0.05</v>
          </cell>
          <cell r="M46">
            <v>0.05</v>
          </cell>
          <cell r="N46">
            <v>0.05</v>
          </cell>
          <cell r="O46">
            <v>0.05</v>
          </cell>
          <cell r="P46">
            <v>0.05</v>
          </cell>
          <cell r="Q46">
            <v>0.05</v>
          </cell>
          <cell r="R46">
            <v>0.05</v>
          </cell>
          <cell r="U46">
            <v>0.5</v>
          </cell>
          <cell r="V46">
            <v>0</v>
          </cell>
          <cell r="W46">
            <v>0.5</v>
          </cell>
          <cell r="X46">
            <v>0.5</v>
          </cell>
          <cell r="Y46">
            <v>0</v>
          </cell>
          <cell r="Z46">
            <v>0.5</v>
          </cell>
          <cell r="AA46">
            <v>0.5</v>
          </cell>
          <cell r="AB46">
            <v>0</v>
          </cell>
          <cell r="AC46">
            <v>0.5</v>
          </cell>
          <cell r="AD46">
            <v>0.5</v>
          </cell>
          <cell r="AE46">
            <v>0</v>
          </cell>
          <cell r="AF46">
            <v>0.5</v>
          </cell>
          <cell r="AG46">
            <v>0.5</v>
          </cell>
          <cell r="AH46">
            <v>0</v>
          </cell>
          <cell r="AI46">
            <v>0.5</v>
          </cell>
          <cell r="AJ46">
            <v>0.5</v>
          </cell>
          <cell r="AK46">
            <v>0</v>
          </cell>
          <cell r="AL46">
            <v>0.5</v>
          </cell>
          <cell r="AM46">
            <v>0.5</v>
          </cell>
          <cell r="AN46">
            <v>0</v>
          </cell>
          <cell r="AO46">
            <v>0.5</v>
          </cell>
          <cell r="AP46">
            <v>0.5</v>
          </cell>
          <cell r="AQ46">
            <v>0</v>
          </cell>
          <cell r="AR46">
            <v>0.5</v>
          </cell>
          <cell r="AS46">
            <v>0.5</v>
          </cell>
          <cell r="AT46">
            <v>0</v>
          </cell>
          <cell r="AU46">
            <v>0.5</v>
          </cell>
          <cell r="AV46">
            <v>0.5</v>
          </cell>
          <cell r="AW46">
            <v>0</v>
          </cell>
          <cell r="AX46">
            <v>0.5</v>
          </cell>
          <cell r="AY46">
            <v>0.5</v>
          </cell>
          <cell r="AZ46">
            <v>0</v>
          </cell>
          <cell r="BA46">
            <v>0.5</v>
          </cell>
          <cell r="BB46">
            <v>0.5</v>
          </cell>
          <cell r="BC46">
            <v>0</v>
          </cell>
          <cell r="BD46">
            <v>0.5</v>
          </cell>
          <cell r="BG46">
            <v>0.06</v>
          </cell>
          <cell r="BH46">
            <v>0.08</v>
          </cell>
          <cell r="BI46">
            <v>0.1</v>
          </cell>
          <cell r="BJ46">
            <v>0.06</v>
          </cell>
          <cell r="BK46">
            <v>0.08</v>
          </cell>
          <cell r="BL46">
            <v>0.1</v>
          </cell>
          <cell r="BM46">
            <v>0.06</v>
          </cell>
          <cell r="BN46">
            <v>0.08</v>
          </cell>
          <cell r="BO46">
            <v>0.1</v>
          </cell>
          <cell r="BP46">
            <v>0.06</v>
          </cell>
          <cell r="BQ46">
            <v>0.08</v>
          </cell>
          <cell r="BR46">
            <v>0.1</v>
          </cell>
          <cell r="BS46">
            <v>0.06</v>
          </cell>
          <cell r="BT46">
            <v>0.08</v>
          </cell>
          <cell r="BU46">
            <v>0.1</v>
          </cell>
          <cell r="BV46">
            <v>0.06</v>
          </cell>
          <cell r="BW46">
            <v>0.08</v>
          </cell>
          <cell r="BX46">
            <v>0.1</v>
          </cell>
          <cell r="BY46">
            <v>0.06</v>
          </cell>
          <cell r="BZ46">
            <v>0.08</v>
          </cell>
          <cell r="CA46">
            <v>0.1</v>
          </cell>
          <cell r="CB46">
            <v>0.06</v>
          </cell>
          <cell r="CC46">
            <v>0.08</v>
          </cell>
          <cell r="CD46">
            <v>0.1</v>
          </cell>
          <cell r="CE46">
            <v>0.06</v>
          </cell>
          <cell r="CF46">
            <v>0.08</v>
          </cell>
          <cell r="CG46">
            <v>0.1</v>
          </cell>
          <cell r="CH46">
            <v>0.06</v>
          </cell>
          <cell r="CI46">
            <v>0.08</v>
          </cell>
          <cell r="CJ46">
            <v>0.1</v>
          </cell>
          <cell r="CK46">
            <v>0.06</v>
          </cell>
          <cell r="CL46">
            <v>0.08</v>
          </cell>
          <cell r="CM46">
            <v>0.1</v>
          </cell>
          <cell r="CN46">
            <v>0.06</v>
          </cell>
          <cell r="CO46">
            <v>0.08</v>
          </cell>
          <cell r="CP46">
            <v>0.1</v>
          </cell>
          <cell r="CQ46">
            <v>0.06</v>
          </cell>
          <cell r="CR46">
            <v>0.08</v>
          </cell>
          <cell r="CS46">
            <v>0.1</v>
          </cell>
          <cell r="CV46">
            <v>5.5E-2</v>
          </cell>
          <cell r="CW46">
            <v>4.4999999999999998E-2</v>
          </cell>
          <cell r="CX46">
            <v>0.03</v>
          </cell>
          <cell r="CY46">
            <v>5.5E-2</v>
          </cell>
          <cell r="CZ46">
            <v>4.4999999999999998E-2</v>
          </cell>
          <cell r="DA46">
            <v>0.03</v>
          </cell>
          <cell r="DB46">
            <v>5.5E-2</v>
          </cell>
          <cell r="DC46">
            <v>4.4999999999999998E-2</v>
          </cell>
          <cell r="DD46">
            <v>0.03</v>
          </cell>
          <cell r="DE46">
            <v>0.06</v>
          </cell>
          <cell r="DF46">
            <v>0.05</v>
          </cell>
          <cell r="DG46">
            <v>0.04</v>
          </cell>
          <cell r="DH46">
            <v>0.06</v>
          </cell>
          <cell r="DI46">
            <v>0.05</v>
          </cell>
          <cell r="DJ46">
            <v>0.04</v>
          </cell>
          <cell r="DK46">
            <v>0.06</v>
          </cell>
          <cell r="DL46">
            <v>0.05</v>
          </cell>
          <cell r="DM46">
            <v>0.04</v>
          </cell>
          <cell r="DN46">
            <v>0.06</v>
          </cell>
          <cell r="DO46">
            <v>0.05</v>
          </cell>
          <cell r="DP46">
            <v>0.04</v>
          </cell>
          <cell r="DQ46">
            <v>0.06</v>
          </cell>
          <cell r="DR46">
            <v>0.05</v>
          </cell>
          <cell r="DS46">
            <v>0.04</v>
          </cell>
          <cell r="DT46">
            <v>0.06</v>
          </cell>
          <cell r="DU46">
            <v>0.05</v>
          </cell>
          <cell r="DV46">
            <v>0.04</v>
          </cell>
          <cell r="DW46">
            <v>0.06</v>
          </cell>
          <cell r="DX46">
            <v>0.05</v>
          </cell>
          <cell r="DY46">
            <v>0.04</v>
          </cell>
          <cell r="DZ46">
            <v>0.06</v>
          </cell>
          <cell r="EA46">
            <v>0.05</v>
          </cell>
          <cell r="EB46">
            <v>0.04</v>
          </cell>
          <cell r="EC46">
            <v>0.06</v>
          </cell>
          <cell r="ED46">
            <v>0.05</v>
          </cell>
          <cell r="EE46">
            <v>0.04</v>
          </cell>
          <cell r="EG46">
            <v>3.2500000000000001E-2</v>
          </cell>
          <cell r="EH46">
            <v>3.2500000000000001E-2</v>
          </cell>
          <cell r="EI46">
            <v>3.2500000000000001E-2</v>
          </cell>
          <cell r="EJ46">
            <v>3.2500000000000001E-2</v>
          </cell>
          <cell r="EK46">
            <v>4.0000000000000008E-2</v>
          </cell>
          <cell r="EL46">
            <v>4.0000000000000008E-2</v>
          </cell>
          <cell r="EM46">
            <v>4.0000000000000008E-2</v>
          </cell>
          <cell r="EN46">
            <v>4.0000000000000008E-2</v>
          </cell>
          <cell r="EO46">
            <v>4.0000000000000008E-2</v>
          </cell>
          <cell r="EP46">
            <v>4.0000000000000008E-2</v>
          </cell>
          <cell r="EQ46">
            <v>4.0000000000000008E-2</v>
          </cell>
          <cell r="ER46">
            <v>4.0000000000000008E-2</v>
          </cell>
          <cell r="ES46">
            <v>4.0000000000000008E-2</v>
          </cell>
          <cell r="EU46">
            <v>0.08</v>
          </cell>
          <cell r="EV46">
            <v>0.08</v>
          </cell>
          <cell r="EW46">
            <v>0.08</v>
          </cell>
          <cell r="EX46">
            <v>0.08</v>
          </cell>
          <cell r="EY46">
            <v>0.08</v>
          </cell>
          <cell r="EZ46">
            <v>0.08</v>
          </cell>
          <cell r="FA46">
            <v>0.08</v>
          </cell>
          <cell r="FB46">
            <v>0.08</v>
          </cell>
          <cell r="FC46">
            <v>0.08</v>
          </cell>
          <cell r="FD46">
            <v>0.08</v>
          </cell>
          <cell r="FE46">
            <v>0.08</v>
          </cell>
          <cell r="FF46">
            <v>0.08</v>
          </cell>
          <cell r="FG46">
            <v>0.08</v>
          </cell>
        </row>
        <row r="47">
          <cell r="D47" t="str">
            <v/>
          </cell>
          <cell r="G47">
            <v>0.05</v>
          </cell>
          <cell r="H47">
            <v>0.05</v>
          </cell>
          <cell r="I47">
            <v>0.05</v>
          </cell>
          <cell r="J47">
            <v>0.05</v>
          </cell>
          <cell r="K47">
            <v>0.05</v>
          </cell>
          <cell r="L47">
            <v>0.05</v>
          </cell>
          <cell r="M47">
            <v>0.05</v>
          </cell>
          <cell r="N47">
            <v>0.05</v>
          </cell>
          <cell r="O47">
            <v>0.05</v>
          </cell>
          <cell r="P47">
            <v>0.05</v>
          </cell>
          <cell r="Q47">
            <v>0.05</v>
          </cell>
          <cell r="R47">
            <v>0.05</v>
          </cell>
          <cell r="U47">
            <v>0.5</v>
          </cell>
          <cell r="V47">
            <v>0</v>
          </cell>
          <cell r="W47">
            <v>0.5</v>
          </cell>
          <cell r="X47">
            <v>0.5</v>
          </cell>
          <cell r="Y47">
            <v>0</v>
          </cell>
          <cell r="Z47">
            <v>0.5</v>
          </cell>
          <cell r="AA47">
            <v>0.5</v>
          </cell>
          <cell r="AB47">
            <v>0</v>
          </cell>
          <cell r="AC47">
            <v>0.5</v>
          </cell>
          <cell r="AD47">
            <v>0.5</v>
          </cell>
          <cell r="AE47">
            <v>0</v>
          </cell>
          <cell r="AF47">
            <v>0.5</v>
          </cell>
          <cell r="AG47">
            <v>0.5</v>
          </cell>
          <cell r="AH47">
            <v>0</v>
          </cell>
          <cell r="AI47">
            <v>0.5</v>
          </cell>
          <cell r="AJ47">
            <v>0.5</v>
          </cell>
          <cell r="AK47">
            <v>0</v>
          </cell>
          <cell r="AL47">
            <v>0.5</v>
          </cell>
          <cell r="AM47">
            <v>0.5</v>
          </cell>
          <cell r="AN47">
            <v>0</v>
          </cell>
          <cell r="AO47">
            <v>0.5</v>
          </cell>
          <cell r="AP47">
            <v>0.5</v>
          </cell>
          <cell r="AQ47">
            <v>0</v>
          </cell>
          <cell r="AR47">
            <v>0.5</v>
          </cell>
          <cell r="AS47">
            <v>0.5</v>
          </cell>
          <cell r="AT47">
            <v>0</v>
          </cell>
          <cell r="AU47">
            <v>0.5</v>
          </cell>
          <cell r="AV47">
            <v>0.5</v>
          </cell>
          <cell r="AW47">
            <v>0</v>
          </cell>
          <cell r="AX47">
            <v>0.5</v>
          </cell>
          <cell r="AY47">
            <v>0.5</v>
          </cell>
          <cell r="AZ47">
            <v>0</v>
          </cell>
          <cell r="BA47">
            <v>0.5</v>
          </cell>
          <cell r="BB47">
            <v>0.5</v>
          </cell>
          <cell r="BC47">
            <v>0</v>
          </cell>
          <cell r="BD47">
            <v>0.5</v>
          </cell>
          <cell r="BG47">
            <v>0.06</v>
          </cell>
          <cell r="BH47">
            <v>0.08</v>
          </cell>
          <cell r="BI47">
            <v>0.1</v>
          </cell>
          <cell r="BJ47">
            <v>0.06</v>
          </cell>
          <cell r="BK47">
            <v>0.08</v>
          </cell>
          <cell r="BL47">
            <v>0.1</v>
          </cell>
          <cell r="BM47">
            <v>0.06</v>
          </cell>
          <cell r="BN47">
            <v>0.08</v>
          </cell>
          <cell r="BO47">
            <v>0.1</v>
          </cell>
          <cell r="BP47">
            <v>0.06</v>
          </cell>
          <cell r="BQ47">
            <v>0.08</v>
          </cell>
          <cell r="BR47">
            <v>0.1</v>
          </cell>
          <cell r="BS47">
            <v>0.06</v>
          </cell>
          <cell r="BT47">
            <v>0.08</v>
          </cell>
          <cell r="BU47">
            <v>0.1</v>
          </cell>
          <cell r="BV47">
            <v>0.06</v>
          </cell>
          <cell r="BW47">
            <v>0.08</v>
          </cell>
          <cell r="BX47">
            <v>0.1</v>
          </cell>
          <cell r="BY47">
            <v>0.06</v>
          </cell>
          <cell r="BZ47">
            <v>0.08</v>
          </cell>
          <cell r="CA47">
            <v>0.1</v>
          </cell>
          <cell r="CB47">
            <v>0.06</v>
          </cell>
          <cell r="CC47">
            <v>0.08</v>
          </cell>
          <cell r="CD47">
            <v>0.1</v>
          </cell>
          <cell r="CE47">
            <v>0.06</v>
          </cell>
          <cell r="CF47">
            <v>0.08</v>
          </cell>
          <cell r="CG47">
            <v>0.1</v>
          </cell>
          <cell r="CH47">
            <v>0.06</v>
          </cell>
          <cell r="CI47">
            <v>0.08</v>
          </cell>
          <cell r="CJ47">
            <v>0.1</v>
          </cell>
          <cell r="CK47">
            <v>0.06</v>
          </cell>
          <cell r="CL47">
            <v>0.08</v>
          </cell>
          <cell r="CM47">
            <v>0.1</v>
          </cell>
          <cell r="CN47">
            <v>0.06</v>
          </cell>
          <cell r="CO47">
            <v>0.08</v>
          </cell>
          <cell r="CP47">
            <v>0.1</v>
          </cell>
          <cell r="CQ47">
            <v>0.06</v>
          </cell>
          <cell r="CR47">
            <v>0.08</v>
          </cell>
          <cell r="CS47">
            <v>0.1</v>
          </cell>
          <cell r="CV47">
            <v>5.5E-2</v>
          </cell>
          <cell r="CW47">
            <v>4.4999999999999998E-2</v>
          </cell>
          <cell r="CX47">
            <v>0.03</v>
          </cell>
          <cell r="CY47">
            <v>5.5E-2</v>
          </cell>
          <cell r="CZ47">
            <v>4.4999999999999998E-2</v>
          </cell>
          <cell r="DA47">
            <v>0.03</v>
          </cell>
          <cell r="DB47">
            <v>5.5E-2</v>
          </cell>
          <cell r="DC47">
            <v>4.4999999999999998E-2</v>
          </cell>
          <cell r="DD47">
            <v>0.03</v>
          </cell>
          <cell r="DE47">
            <v>0.06</v>
          </cell>
          <cell r="DF47">
            <v>0.05</v>
          </cell>
          <cell r="DG47">
            <v>0.04</v>
          </cell>
          <cell r="DH47">
            <v>0.06</v>
          </cell>
          <cell r="DI47">
            <v>0.05</v>
          </cell>
          <cell r="DJ47">
            <v>0.04</v>
          </cell>
          <cell r="DK47">
            <v>0.06</v>
          </cell>
          <cell r="DL47">
            <v>0.05</v>
          </cell>
          <cell r="DM47">
            <v>0.04</v>
          </cell>
          <cell r="DN47">
            <v>0.06</v>
          </cell>
          <cell r="DO47">
            <v>0.05</v>
          </cell>
          <cell r="DP47">
            <v>0.04</v>
          </cell>
          <cell r="DQ47">
            <v>0.06</v>
          </cell>
          <cell r="DR47">
            <v>0.05</v>
          </cell>
          <cell r="DS47">
            <v>0.04</v>
          </cell>
          <cell r="DT47">
            <v>0.06</v>
          </cell>
          <cell r="DU47">
            <v>0.05</v>
          </cell>
          <cell r="DV47">
            <v>0.04</v>
          </cell>
          <cell r="DW47">
            <v>0.06</v>
          </cell>
          <cell r="DX47">
            <v>0.05</v>
          </cell>
          <cell r="DY47">
            <v>0.04</v>
          </cell>
          <cell r="DZ47">
            <v>0.06</v>
          </cell>
          <cell r="EA47">
            <v>0.05</v>
          </cell>
          <cell r="EB47">
            <v>0.04</v>
          </cell>
          <cell r="EC47">
            <v>0.06</v>
          </cell>
          <cell r="ED47">
            <v>0.05</v>
          </cell>
          <cell r="EE47">
            <v>0.04</v>
          </cell>
          <cell r="EG47">
            <v>3.2500000000000001E-2</v>
          </cell>
          <cell r="EH47">
            <v>3.2500000000000001E-2</v>
          </cell>
          <cell r="EI47">
            <v>3.2500000000000001E-2</v>
          </cell>
          <cell r="EJ47">
            <v>3.2500000000000001E-2</v>
          </cell>
          <cell r="EK47">
            <v>4.0000000000000008E-2</v>
          </cell>
          <cell r="EL47">
            <v>4.0000000000000008E-2</v>
          </cell>
          <cell r="EM47">
            <v>4.0000000000000008E-2</v>
          </cell>
          <cell r="EN47">
            <v>4.0000000000000008E-2</v>
          </cell>
          <cell r="EO47">
            <v>4.0000000000000008E-2</v>
          </cell>
          <cell r="EP47">
            <v>4.0000000000000008E-2</v>
          </cell>
          <cell r="EQ47">
            <v>4.0000000000000008E-2</v>
          </cell>
          <cell r="ER47">
            <v>4.0000000000000008E-2</v>
          </cell>
          <cell r="ES47">
            <v>4.0000000000000008E-2</v>
          </cell>
          <cell r="EU47">
            <v>0.08</v>
          </cell>
          <cell r="EV47">
            <v>0.08</v>
          </cell>
          <cell r="EW47">
            <v>0.08</v>
          </cell>
          <cell r="EX47">
            <v>0.08</v>
          </cell>
          <cell r="EY47">
            <v>0.08</v>
          </cell>
          <cell r="EZ47">
            <v>0.08</v>
          </cell>
          <cell r="FA47">
            <v>0.08</v>
          </cell>
          <cell r="FB47">
            <v>0.08</v>
          </cell>
          <cell r="FC47">
            <v>0.08</v>
          </cell>
          <cell r="FD47">
            <v>0.08</v>
          </cell>
          <cell r="FE47">
            <v>0.08</v>
          </cell>
          <cell r="FF47">
            <v>0.08</v>
          </cell>
          <cell r="FG47">
            <v>0.08</v>
          </cell>
        </row>
        <row r="48">
          <cell r="C48" t="str">
            <v>FIAT 500E</v>
          </cell>
          <cell r="D48" t="str">
            <v>500E</v>
          </cell>
          <cell r="G48">
            <v>0.05</v>
          </cell>
          <cell r="H48">
            <v>0.05</v>
          </cell>
          <cell r="I48">
            <v>0.05</v>
          </cell>
          <cell r="J48">
            <v>0.05</v>
          </cell>
          <cell r="K48">
            <v>0.05</v>
          </cell>
          <cell r="L48">
            <v>0.05</v>
          </cell>
          <cell r="M48">
            <v>0.05</v>
          </cell>
          <cell r="N48">
            <v>0.05</v>
          </cell>
          <cell r="O48">
            <v>0.05</v>
          </cell>
          <cell r="P48">
            <v>0.05</v>
          </cell>
          <cell r="Q48">
            <v>0.05</v>
          </cell>
          <cell r="R48">
            <v>0.05</v>
          </cell>
          <cell r="U48">
            <v>0.5</v>
          </cell>
          <cell r="V48">
            <v>0</v>
          </cell>
          <cell r="W48">
            <v>0.5</v>
          </cell>
          <cell r="X48">
            <v>0.5</v>
          </cell>
          <cell r="Y48">
            <v>0</v>
          </cell>
          <cell r="Z48">
            <v>0.5</v>
          </cell>
          <cell r="AA48">
            <v>0.5</v>
          </cell>
          <cell r="AB48">
            <v>0</v>
          </cell>
          <cell r="AC48">
            <v>0.5</v>
          </cell>
          <cell r="AD48">
            <v>0.5</v>
          </cell>
          <cell r="AE48">
            <v>0</v>
          </cell>
          <cell r="AF48">
            <v>0.5</v>
          </cell>
          <cell r="AG48">
            <v>0.5</v>
          </cell>
          <cell r="AH48">
            <v>0</v>
          </cell>
          <cell r="AI48">
            <v>0.5</v>
          </cell>
          <cell r="AJ48">
            <v>0.5</v>
          </cell>
          <cell r="AK48">
            <v>0</v>
          </cell>
          <cell r="AL48">
            <v>0.5</v>
          </cell>
          <cell r="AM48">
            <v>0.5</v>
          </cell>
          <cell r="AN48">
            <v>0</v>
          </cell>
          <cell r="AO48">
            <v>0.5</v>
          </cell>
          <cell r="AP48">
            <v>0.5</v>
          </cell>
          <cell r="AQ48">
            <v>0</v>
          </cell>
          <cell r="AR48">
            <v>0.5</v>
          </cell>
          <cell r="AS48">
            <v>0.5</v>
          </cell>
          <cell r="AT48">
            <v>0</v>
          </cell>
          <cell r="AU48">
            <v>0.5</v>
          </cell>
          <cell r="AV48">
            <v>0.5</v>
          </cell>
          <cell r="AW48">
            <v>0</v>
          </cell>
          <cell r="AX48">
            <v>0.5</v>
          </cell>
          <cell r="AY48">
            <v>0.5</v>
          </cell>
          <cell r="AZ48">
            <v>0</v>
          </cell>
          <cell r="BA48">
            <v>0.5</v>
          </cell>
          <cell r="BB48">
            <v>0.5</v>
          </cell>
          <cell r="BC48">
            <v>0</v>
          </cell>
          <cell r="BD48">
            <v>0.5</v>
          </cell>
          <cell r="BG48">
            <v>0.06</v>
          </cell>
          <cell r="BH48">
            <v>0.08</v>
          </cell>
          <cell r="BI48">
            <v>0.1</v>
          </cell>
          <cell r="BJ48">
            <v>0.06</v>
          </cell>
          <cell r="BK48">
            <v>0.08</v>
          </cell>
          <cell r="BL48">
            <v>0.1</v>
          </cell>
          <cell r="BM48">
            <v>0.06</v>
          </cell>
          <cell r="BN48">
            <v>0.08</v>
          </cell>
          <cell r="BO48">
            <v>0.1</v>
          </cell>
          <cell r="BP48">
            <v>0.06</v>
          </cell>
          <cell r="BQ48">
            <v>0.08</v>
          </cell>
          <cell r="BR48">
            <v>0.1</v>
          </cell>
          <cell r="BS48">
            <v>0.06</v>
          </cell>
          <cell r="BT48">
            <v>0.08</v>
          </cell>
          <cell r="BU48">
            <v>0.1</v>
          </cell>
          <cell r="BV48">
            <v>0.06</v>
          </cell>
          <cell r="BW48">
            <v>0.08</v>
          </cell>
          <cell r="BX48">
            <v>0.1</v>
          </cell>
          <cell r="BY48">
            <v>0.06</v>
          </cell>
          <cell r="BZ48">
            <v>0.08</v>
          </cell>
          <cell r="CA48">
            <v>0.1</v>
          </cell>
          <cell r="CB48">
            <v>0.06</v>
          </cell>
          <cell r="CC48">
            <v>0.08</v>
          </cell>
          <cell r="CD48">
            <v>0.1</v>
          </cell>
          <cell r="CE48">
            <v>0.06</v>
          </cell>
          <cell r="CF48">
            <v>0.08</v>
          </cell>
          <cell r="CG48">
            <v>0.1</v>
          </cell>
          <cell r="CH48">
            <v>0.06</v>
          </cell>
          <cell r="CI48">
            <v>0.08</v>
          </cell>
          <cell r="CJ48">
            <v>0.1</v>
          </cell>
          <cell r="CK48">
            <v>0.06</v>
          </cell>
          <cell r="CL48">
            <v>0.08</v>
          </cell>
          <cell r="CM48">
            <v>0.1</v>
          </cell>
          <cell r="CN48">
            <v>0.06</v>
          </cell>
          <cell r="CO48">
            <v>0.08</v>
          </cell>
          <cell r="CP48">
            <v>0.1</v>
          </cell>
          <cell r="CQ48">
            <v>0.06</v>
          </cell>
          <cell r="CR48">
            <v>0.08</v>
          </cell>
          <cell r="CS48">
            <v>0.1</v>
          </cell>
          <cell r="CV48">
            <v>5.5E-2</v>
          </cell>
          <cell r="CW48">
            <v>4.4999999999999998E-2</v>
          </cell>
          <cell r="CX48">
            <v>0.03</v>
          </cell>
          <cell r="CY48">
            <v>5.5E-2</v>
          </cell>
          <cell r="CZ48">
            <v>4.4999999999999998E-2</v>
          </cell>
          <cell r="DA48">
            <v>0.03</v>
          </cell>
          <cell r="DB48">
            <v>5.5E-2</v>
          </cell>
          <cell r="DC48">
            <v>4.4999999999999998E-2</v>
          </cell>
          <cell r="DD48">
            <v>0.03</v>
          </cell>
          <cell r="DE48">
            <v>0.06</v>
          </cell>
          <cell r="DF48">
            <v>0.05</v>
          </cell>
          <cell r="DG48">
            <v>0.04</v>
          </cell>
          <cell r="DH48">
            <v>0.06</v>
          </cell>
          <cell r="DI48">
            <v>0.05</v>
          </cell>
          <cell r="DJ48">
            <v>0.04</v>
          </cell>
          <cell r="DK48">
            <v>0.06</v>
          </cell>
          <cell r="DL48">
            <v>0.05</v>
          </cell>
          <cell r="DM48">
            <v>0.04</v>
          </cell>
          <cell r="DN48">
            <v>0.06</v>
          </cell>
          <cell r="DO48">
            <v>0.05</v>
          </cell>
          <cell r="DP48">
            <v>0.04</v>
          </cell>
          <cell r="DQ48">
            <v>0.06</v>
          </cell>
          <cell r="DR48">
            <v>0.05</v>
          </cell>
          <cell r="DS48">
            <v>0.04</v>
          </cell>
          <cell r="DT48">
            <v>0.06</v>
          </cell>
          <cell r="DU48">
            <v>0.05</v>
          </cell>
          <cell r="DV48">
            <v>0.04</v>
          </cell>
          <cell r="DW48">
            <v>0.06</v>
          </cell>
          <cell r="DX48">
            <v>0.05</v>
          </cell>
          <cell r="DY48">
            <v>0.04</v>
          </cell>
          <cell r="DZ48">
            <v>0.06</v>
          </cell>
          <cell r="EA48">
            <v>0.05</v>
          </cell>
          <cell r="EB48">
            <v>0.04</v>
          </cell>
          <cell r="EC48">
            <v>0.06</v>
          </cell>
          <cell r="ED48">
            <v>0.05</v>
          </cell>
          <cell r="EE48">
            <v>0.04</v>
          </cell>
          <cell r="EG48">
            <v>3.2500000000000001E-2</v>
          </cell>
          <cell r="EH48">
            <v>3.2500000000000001E-2</v>
          </cell>
          <cell r="EI48">
            <v>3.2500000000000001E-2</v>
          </cell>
          <cell r="EJ48">
            <v>3.2500000000000001E-2</v>
          </cell>
          <cell r="EK48">
            <v>4.0000000000000008E-2</v>
          </cell>
          <cell r="EL48">
            <v>4.0000000000000008E-2</v>
          </cell>
          <cell r="EM48">
            <v>4.0000000000000008E-2</v>
          </cell>
          <cell r="EN48">
            <v>4.0000000000000008E-2</v>
          </cell>
          <cell r="EO48">
            <v>4.0000000000000008E-2</v>
          </cell>
          <cell r="EP48">
            <v>4.0000000000000008E-2</v>
          </cell>
          <cell r="EQ48">
            <v>4.0000000000000008E-2</v>
          </cell>
          <cell r="ER48">
            <v>4.0000000000000008E-2</v>
          </cell>
          <cell r="ES48">
            <v>4.0000000000000008E-2</v>
          </cell>
          <cell r="EU48">
            <v>0.08</v>
          </cell>
          <cell r="EV48">
            <v>0.08</v>
          </cell>
          <cell r="EW48">
            <v>0.08</v>
          </cell>
          <cell r="EX48">
            <v>0.08</v>
          </cell>
          <cell r="EY48">
            <v>0.08</v>
          </cell>
          <cell r="EZ48">
            <v>0.08</v>
          </cell>
          <cell r="FA48">
            <v>0.08</v>
          </cell>
          <cell r="FB48">
            <v>0.08</v>
          </cell>
          <cell r="FC48">
            <v>0.08</v>
          </cell>
          <cell r="FD48">
            <v>0.08</v>
          </cell>
          <cell r="FE48">
            <v>0.08</v>
          </cell>
          <cell r="FF48">
            <v>0.08</v>
          </cell>
          <cell r="FG48">
            <v>0.08</v>
          </cell>
        </row>
        <row r="49">
          <cell r="D49" t="str">
            <v/>
          </cell>
          <cell r="G49">
            <v>0.05</v>
          </cell>
          <cell r="H49">
            <v>0.05</v>
          </cell>
          <cell r="I49">
            <v>0.05</v>
          </cell>
          <cell r="J49">
            <v>0.05</v>
          </cell>
          <cell r="K49">
            <v>0.05</v>
          </cell>
          <cell r="L49">
            <v>0.05</v>
          </cell>
          <cell r="M49">
            <v>0.05</v>
          </cell>
          <cell r="N49">
            <v>0.05</v>
          </cell>
          <cell r="O49">
            <v>0.05</v>
          </cell>
          <cell r="P49">
            <v>0.05</v>
          </cell>
          <cell r="Q49">
            <v>0.05</v>
          </cell>
          <cell r="R49">
            <v>0.05</v>
          </cell>
          <cell r="U49">
            <v>0.5</v>
          </cell>
          <cell r="V49">
            <v>0</v>
          </cell>
          <cell r="W49">
            <v>0.5</v>
          </cell>
          <cell r="X49">
            <v>0.5</v>
          </cell>
          <cell r="Y49">
            <v>0</v>
          </cell>
          <cell r="Z49">
            <v>0.5</v>
          </cell>
          <cell r="AA49">
            <v>0.5</v>
          </cell>
          <cell r="AB49">
            <v>0</v>
          </cell>
          <cell r="AC49">
            <v>0.5</v>
          </cell>
          <cell r="AD49">
            <v>0.5</v>
          </cell>
          <cell r="AE49">
            <v>0</v>
          </cell>
          <cell r="AF49">
            <v>0.5</v>
          </cell>
          <cell r="AG49">
            <v>0.5</v>
          </cell>
          <cell r="AH49">
            <v>0</v>
          </cell>
          <cell r="AI49">
            <v>0.5</v>
          </cell>
          <cell r="AJ49">
            <v>0.5</v>
          </cell>
          <cell r="AK49">
            <v>0</v>
          </cell>
          <cell r="AL49">
            <v>0.5</v>
          </cell>
          <cell r="AM49">
            <v>0.5</v>
          </cell>
          <cell r="AN49">
            <v>0</v>
          </cell>
          <cell r="AO49">
            <v>0.5</v>
          </cell>
          <cell r="AP49">
            <v>0.5</v>
          </cell>
          <cell r="AQ49">
            <v>0</v>
          </cell>
          <cell r="AR49">
            <v>0.5</v>
          </cell>
          <cell r="AS49">
            <v>0.5</v>
          </cell>
          <cell r="AT49">
            <v>0</v>
          </cell>
          <cell r="AU49">
            <v>0.5</v>
          </cell>
          <cell r="AV49">
            <v>0.5</v>
          </cell>
          <cell r="AW49">
            <v>0</v>
          </cell>
          <cell r="AX49">
            <v>0.5</v>
          </cell>
          <cell r="AY49">
            <v>0.5</v>
          </cell>
          <cell r="AZ49">
            <v>0</v>
          </cell>
          <cell r="BA49">
            <v>0.5</v>
          </cell>
          <cell r="BB49">
            <v>0.5</v>
          </cell>
          <cell r="BC49">
            <v>0</v>
          </cell>
          <cell r="BD49">
            <v>0.5</v>
          </cell>
          <cell r="BG49">
            <v>0.06</v>
          </cell>
          <cell r="BH49">
            <v>0.08</v>
          </cell>
          <cell r="BI49">
            <v>0.1</v>
          </cell>
          <cell r="BJ49">
            <v>0.06</v>
          </cell>
          <cell r="BK49">
            <v>0.08</v>
          </cell>
          <cell r="BL49">
            <v>0.1</v>
          </cell>
          <cell r="BM49">
            <v>0.06</v>
          </cell>
          <cell r="BN49">
            <v>0.08</v>
          </cell>
          <cell r="BO49">
            <v>0.1</v>
          </cell>
          <cell r="BP49">
            <v>0.06</v>
          </cell>
          <cell r="BQ49">
            <v>0.08</v>
          </cell>
          <cell r="BR49">
            <v>0.1</v>
          </cell>
          <cell r="BS49">
            <v>0.06</v>
          </cell>
          <cell r="BT49">
            <v>0.08</v>
          </cell>
          <cell r="BU49">
            <v>0.1</v>
          </cell>
          <cell r="BV49">
            <v>0.06</v>
          </cell>
          <cell r="BW49">
            <v>0.08</v>
          </cell>
          <cell r="BX49">
            <v>0.1</v>
          </cell>
          <cell r="BY49">
            <v>0.06</v>
          </cell>
          <cell r="BZ49">
            <v>0.08</v>
          </cell>
          <cell r="CA49">
            <v>0.1</v>
          </cell>
          <cell r="CB49">
            <v>0.06</v>
          </cell>
          <cell r="CC49">
            <v>0.08</v>
          </cell>
          <cell r="CD49">
            <v>0.1</v>
          </cell>
          <cell r="CE49">
            <v>0.06</v>
          </cell>
          <cell r="CF49">
            <v>0.08</v>
          </cell>
          <cell r="CG49">
            <v>0.1</v>
          </cell>
          <cell r="CH49">
            <v>0.06</v>
          </cell>
          <cell r="CI49">
            <v>0.08</v>
          </cell>
          <cell r="CJ49">
            <v>0.1</v>
          </cell>
          <cell r="CK49">
            <v>0.06</v>
          </cell>
          <cell r="CL49">
            <v>0.08</v>
          </cell>
          <cell r="CM49">
            <v>0.1</v>
          </cell>
          <cell r="CN49">
            <v>0.06</v>
          </cell>
          <cell r="CO49">
            <v>0.08</v>
          </cell>
          <cell r="CP49">
            <v>0.1</v>
          </cell>
          <cell r="CQ49">
            <v>0.06</v>
          </cell>
          <cell r="CR49">
            <v>0.08</v>
          </cell>
          <cell r="CS49">
            <v>0.1</v>
          </cell>
          <cell r="CV49">
            <v>5.5E-2</v>
          </cell>
          <cell r="CW49">
            <v>4.4999999999999998E-2</v>
          </cell>
          <cell r="CX49">
            <v>0.03</v>
          </cell>
          <cell r="CY49">
            <v>5.5E-2</v>
          </cell>
          <cell r="CZ49">
            <v>4.4999999999999998E-2</v>
          </cell>
          <cell r="DA49">
            <v>0.03</v>
          </cell>
          <cell r="DB49">
            <v>5.5E-2</v>
          </cell>
          <cell r="DC49">
            <v>4.4999999999999998E-2</v>
          </cell>
          <cell r="DD49">
            <v>0.03</v>
          </cell>
          <cell r="DE49">
            <v>0.06</v>
          </cell>
          <cell r="DF49">
            <v>0.05</v>
          </cell>
          <cell r="DG49">
            <v>0.04</v>
          </cell>
          <cell r="DH49">
            <v>0.06</v>
          </cell>
          <cell r="DI49">
            <v>0.05</v>
          </cell>
          <cell r="DJ49">
            <v>0.04</v>
          </cell>
          <cell r="DK49">
            <v>0.06</v>
          </cell>
          <cell r="DL49">
            <v>0.05</v>
          </cell>
          <cell r="DM49">
            <v>0.04</v>
          </cell>
          <cell r="DN49">
            <v>0.06</v>
          </cell>
          <cell r="DO49">
            <v>0.05</v>
          </cell>
          <cell r="DP49">
            <v>0.04</v>
          </cell>
          <cell r="DQ49">
            <v>0.06</v>
          </cell>
          <cell r="DR49">
            <v>0.05</v>
          </cell>
          <cell r="DS49">
            <v>0.04</v>
          </cell>
          <cell r="DT49">
            <v>0.06</v>
          </cell>
          <cell r="DU49">
            <v>0.05</v>
          </cell>
          <cell r="DV49">
            <v>0.04</v>
          </cell>
          <cell r="DW49">
            <v>0.06</v>
          </cell>
          <cell r="DX49">
            <v>0.05</v>
          </cell>
          <cell r="DY49">
            <v>0.04</v>
          </cell>
          <cell r="DZ49">
            <v>0.06</v>
          </cell>
          <cell r="EA49">
            <v>0.05</v>
          </cell>
          <cell r="EB49">
            <v>0.04</v>
          </cell>
          <cell r="EC49">
            <v>0.06</v>
          </cell>
          <cell r="ED49">
            <v>0.05</v>
          </cell>
          <cell r="EE49">
            <v>0.04</v>
          </cell>
          <cell r="EG49">
            <v>3.2500000000000001E-2</v>
          </cell>
          <cell r="EH49">
            <v>3.2500000000000001E-2</v>
          </cell>
          <cell r="EI49">
            <v>3.2500000000000001E-2</v>
          </cell>
          <cell r="EJ49">
            <v>3.2500000000000001E-2</v>
          </cell>
          <cell r="EK49">
            <v>4.0000000000000008E-2</v>
          </cell>
          <cell r="EL49">
            <v>4.0000000000000008E-2</v>
          </cell>
          <cell r="EM49">
            <v>4.0000000000000008E-2</v>
          </cell>
          <cell r="EN49">
            <v>4.0000000000000008E-2</v>
          </cell>
          <cell r="EO49">
            <v>4.0000000000000008E-2</v>
          </cell>
          <cell r="EP49">
            <v>4.0000000000000008E-2</v>
          </cell>
          <cell r="EQ49">
            <v>4.0000000000000008E-2</v>
          </cell>
          <cell r="ER49">
            <v>4.0000000000000008E-2</v>
          </cell>
          <cell r="ES49">
            <v>4.0000000000000008E-2</v>
          </cell>
          <cell r="EU49">
            <v>0.08</v>
          </cell>
          <cell r="EV49">
            <v>0.08</v>
          </cell>
          <cell r="EW49">
            <v>0.08</v>
          </cell>
          <cell r="EX49">
            <v>0.08</v>
          </cell>
          <cell r="EY49">
            <v>0.08</v>
          </cell>
          <cell r="EZ49">
            <v>0.08</v>
          </cell>
          <cell r="FA49">
            <v>0.08</v>
          </cell>
          <cell r="FB49">
            <v>0.08</v>
          </cell>
          <cell r="FC49">
            <v>0.08</v>
          </cell>
          <cell r="FD49">
            <v>0.08</v>
          </cell>
          <cell r="FE49">
            <v>0.08</v>
          </cell>
          <cell r="FF49">
            <v>0.08</v>
          </cell>
          <cell r="FG49">
            <v>0.08</v>
          </cell>
        </row>
        <row r="50">
          <cell r="C50" t="str">
            <v>G.Panda F1H Icon 1.2T MHEV</v>
          </cell>
          <cell r="D50" t="str">
            <v>G.Panda F1H Icon 1.2T MHEV</v>
          </cell>
          <cell r="G50">
            <v>0.05</v>
          </cell>
          <cell r="H50">
            <v>0.05</v>
          </cell>
          <cell r="I50">
            <v>0.05</v>
          </cell>
          <cell r="J50">
            <v>0.05</v>
          </cell>
          <cell r="K50">
            <v>0.05</v>
          </cell>
          <cell r="L50">
            <v>0.05</v>
          </cell>
          <cell r="M50">
            <v>0.05</v>
          </cell>
          <cell r="N50">
            <v>0.05</v>
          </cell>
          <cell r="O50">
            <v>0.05</v>
          </cell>
          <cell r="P50">
            <v>0.05</v>
          </cell>
          <cell r="Q50">
            <v>0.05</v>
          </cell>
          <cell r="R50">
            <v>0.05</v>
          </cell>
          <cell r="U50">
            <v>0.5</v>
          </cell>
          <cell r="V50">
            <v>0</v>
          </cell>
          <cell r="W50">
            <v>0.5</v>
          </cell>
          <cell r="X50">
            <v>0.5</v>
          </cell>
          <cell r="Y50">
            <v>0</v>
          </cell>
          <cell r="Z50">
            <v>0.5</v>
          </cell>
          <cell r="AA50">
            <v>0.5</v>
          </cell>
          <cell r="AB50">
            <v>0</v>
          </cell>
          <cell r="AC50">
            <v>0.5</v>
          </cell>
          <cell r="AD50">
            <v>0.5</v>
          </cell>
          <cell r="AE50">
            <v>0</v>
          </cell>
          <cell r="AF50">
            <v>0.5</v>
          </cell>
          <cell r="AG50">
            <v>0.5</v>
          </cell>
          <cell r="AH50">
            <v>0</v>
          </cell>
          <cell r="AI50">
            <v>0.5</v>
          </cell>
          <cell r="AJ50">
            <v>0.5</v>
          </cell>
          <cell r="AK50">
            <v>0</v>
          </cell>
          <cell r="AL50">
            <v>0.5</v>
          </cell>
          <cell r="AM50">
            <v>0.5</v>
          </cell>
          <cell r="AN50">
            <v>0</v>
          </cell>
          <cell r="AO50">
            <v>0.5</v>
          </cell>
          <cell r="AP50">
            <v>0.5</v>
          </cell>
          <cell r="AQ50">
            <v>0</v>
          </cell>
          <cell r="AR50">
            <v>0.5</v>
          </cell>
          <cell r="AS50">
            <v>0.5</v>
          </cell>
          <cell r="AT50">
            <v>0</v>
          </cell>
          <cell r="AU50">
            <v>0.5</v>
          </cell>
          <cell r="AV50">
            <v>0.5</v>
          </cell>
          <cell r="AW50">
            <v>0</v>
          </cell>
          <cell r="AX50">
            <v>0.5</v>
          </cell>
          <cell r="AY50">
            <v>0.5</v>
          </cell>
          <cell r="AZ50">
            <v>0</v>
          </cell>
          <cell r="BA50">
            <v>0.5</v>
          </cell>
          <cell r="BB50">
            <v>0.5</v>
          </cell>
          <cell r="BC50">
            <v>0</v>
          </cell>
          <cell r="BD50">
            <v>0.5</v>
          </cell>
          <cell r="BG50">
            <v>0.06</v>
          </cell>
          <cell r="BH50">
            <v>0.08</v>
          </cell>
          <cell r="BI50">
            <v>0.1</v>
          </cell>
          <cell r="BJ50">
            <v>0.06</v>
          </cell>
          <cell r="BK50">
            <v>0.08</v>
          </cell>
          <cell r="BL50">
            <v>0.1</v>
          </cell>
          <cell r="BM50">
            <v>0.06</v>
          </cell>
          <cell r="BN50">
            <v>0.08</v>
          </cell>
          <cell r="BO50">
            <v>0.1</v>
          </cell>
          <cell r="BP50">
            <v>0.06</v>
          </cell>
          <cell r="BQ50">
            <v>0.08</v>
          </cell>
          <cell r="BR50">
            <v>0.1</v>
          </cell>
          <cell r="BS50">
            <v>0.06</v>
          </cell>
          <cell r="BT50">
            <v>0.08</v>
          </cell>
          <cell r="BU50">
            <v>0.1</v>
          </cell>
          <cell r="BV50">
            <v>0.06</v>
          </cell>
          <cell r="BW50">
            <v>0.08</v>
          </cell>
          <cell r="BX50">
            <v>0.1</v>
          </cell>
          <cell r="BY50">
            <v>0.06</v>
          </cell>
          <cell r="BZ50">
            <v>0.08</v>
          </cell>
          <cell r="CA50">
            <v>0.1</v>
          </cell>
          <cell r="CB50">
            <v>0.06</v>
          </cell>
          <cell r="CC50">
            <v>0.08</v>
          </cell>
          <cell r="CD50">
            <v>0.1</v>
          </cell>
          <cell r="CE50">
            <v>0.06</v>
          </cell>
          <cell r="CF50">
            <v>0.08</v>
          </cell>
          <cell r="CG50">
            <v>0.1</v>
          </cell>
          <cell r="CH50">
            <v>0.06</v>
          </cell>
          <cell r="CI50">
            <v>0.08</v>
          </cell>
          <cell r="CJ50">
            <v>0.1</v>
          </cell>
          <cell r="CK50">
            <v>0.06</v>
          </cell>
          <cell r="CL50">
            <v>0.08</v>
          </cell>
          <cell r="CM50">
            <v>0.1</v>
          </cell>
          <cell r="CN50">
            <v>0.06</v>
          </cell>
          <cell r="CO50">
            <v>0.08</v>
          </cell>
          <cell r="CP50">
            <v>0.1</v>
          </cell>
          <cell r="CQ50">
            <v>0.06</v>
          </cell>
          <cell r="CR50">
            <v>0.08</v>
          </cell>
          <cell r="CS50">
            <v>0.1</v>
          </cell>
          <cell r="CV50">
            <v>5.5E-2</v>
          </cell>
          <cell r="CW50">
            <v>4.4999999999999998E-2</v>
          </cell>
          <cell r="CX50">
            <v>0.03</v>
          </cell>
          <cell r="CY50">
            <v>5.5E-2</v>
          </cell>
          <cell r="CZ50">
            <v>4.4999999999999998E-2</v>
          </cell>
          <cell r="DA50">
            <v>0.03</v>
          </cell>
          <cell r="DB50">
            <v>5.5E-2</v>
          </cell>
          <cell r="DC50">
            <v>4.4999999999999998E-2</v>
          </cell>
          <cell r="DD50">
            <v>0.03</v>
          </cell>
          <cell r="DE50">
            <v>0.06</v>
          </cell>
          <cell r="DF50">
            <v>0.05</v>
          </cell>
          <cell r="DG50">
            <v>0.04</v>
          </cell>
          <cell r="DH50">
            <v>0.06</v>
          </cell>
          <cell r="DI50">
            <v>0.05</v>
          </cell>
          <cell r="DJ50">
            <v>0.04</v>
          </cell>
          <cell r="DK50">
            <v>0.06</v>
          </cell>
          <cell r="DL50">
            <v>0.05</v>
          </cell>
          <cell r="DM50">
            <v>0.04</v>
          </cell>
          <cell r="DN50">
            <v>0.06</v>
          </cell>
          <cell r="DO50">
            <v>0.05</v>
          </cell>
          <cell r="DP50">
            <v>0.04</v>
          </cell>
          <cell r="DQ50">
            <v>0.06</v>
          </cell>
          <cell r="DR50">
            <v>0.05</v>
          </cell>
          <cell r="DS50">
            <v>0.04</v>
          </cell>
          <cell r="DT50">
            <v>0.06</v>
          </cell>
          <cell r="DU50">
            <v>0.05</v>
          </cell>
          <cell r="DV50">
            <v>0.04</v>
          </cell>
          <cell r="DW50">
            <v>0.06</v>
          </cell>
          <cell r="DX50">
            <v>0.05</v>
          </cell>
          <cell r="DY50">
            <v>0.04</v>
          </cell>
          <cell r="DZ50">
            <v>0.06</v>
          </cell>
          <cell r="EA50">
            <v>0.05</v>
          </cell>
          <cell r="EB50">
            <v>0.04</v>
          </cell>
          <cell r="EC50">
            <v>0.06</v>
          </cell>
          <cell r="ED50">
            <v>0.05</v>
          </cell>
          <cell r="EE50">
            <v>0.04</v>
          </cell>
          <cell r="EG50">
            <v>3.2500000000000001E-2</v>
          </cell>
          <cell r="EH50">
            <v>3.2500000000000001E-2</v>
          </cell>
          <cell r="EI50">
            <v>3.2500000000000001E-2</v>
          </cell>
          <cell r="EJ50">
            <v>3.2500000000000001E-2</v>
          </cell>
          <cell r="EK50">
            <v>4.0000000000000008E-2</v>
          </cell>
          <cell r="EL50">
            <v>4.0000000000000008E-2</v>
          </cell>
          <cell r="EM50">
            <v>4.0000000000000008E-2</v>
          </cell>
          <cell r="EN50">
            <v>4.0000000000000008E-2</v>
          </cell>
          <cell r="EO50">
            <v>4.0000000000000008E-2</v>
          </cell>
          <cell r="EP50">
            <v>4.0000000000000008E-2</v>
          </cell>
          <cell r="EQ50">
            <v>4.0000000000000008E-2</v>
          </cell>
          <cell r="ER50">
            <v>4.0000000000000008E-2</v>
          </cell>
          <cell r="ES50">
            <v>4.0000000000000008E-2</v>
          </cell>
          <cell r="EU50">
            <v>0.08</v>
          </cell>
          <cell r="EV50">
            <v>0.08</v>
          </cell>
          <cell r="EW50">
            <v>0.08</v>
          </cell>
          <cell r="EX50">
            <v>0.08</v>
          </cell>
          <cell r="EY50">
            <v>0.08</v>
          </cell>
          <cell r="EZ50">
            <v>0.08</v>
          </cell>
          <cell r="FA50">
            <v>0.08</v>
          </cell>
          <cell r="FB50">
            <v>0.08</v>
          </cell>
          <cell r="FC50">
            <v>0.08</v>
          </cell>
          <cell r="FD50">
            <v>0.08</v>
          </cell>
          <cell r="FE50">
            <v>0.08</v>
          </cell>
          <cell r="FF50">
            <v>0.08</v>
          </cell>
          <cell r="FG50">
            <v>0.08</v>
          </cell>
        </row>
        <row r="51">
          <cell r="C51" t="str">
            <v>G.Panda F1H La Prima 1.2T MHEV</v>
          </cell>
          <cell r="D51" t="str">
            <v>G.Panda F1H La Prima 1.2T MHEV</v>
          </cell>
          <cell r="G51">
            <v>0.05</v>
          </cell>
          <cell r="H51">
            <v>0.05</v>
          </cell>
          <cell r="I51">
            <v>0.05</v>
          </cell>
          <cell r="J51">
            <v>0.05</v>
          </cell>
          <cell r="K51">
            <v>0.05</v>
          </cell>
          <cell r="L51">
            <v>0.05</v>
          </cell>
          <cell r="M51">
            <v>0.05</v>
          </cell>
          <cell r="N51">
            <v>0.05</v>
          </cell>
          <cell r="O51">
            <v>0.05</v>
          </cell>
          <cell r="P51">
            <v>0.05</v>
          </cell>
          <cell r="Q51">
            <v>0.05</v>
          </cell>
          <cell r="R51">
            <v>0.05</v>
          </cell>
          <cell r="U51">
            <v>0.5</v>
          </cell>
          <cell r="V51">
            <v>0</v>
          </cell>
          <cell r="W51">
            <v>0.5</v>
          </cell>
          <cell r="X51">
            <v>0.5</v>
          </cell>
          <cell r="Y51">
            <v>0</v>
          </cell>
          <cell r="Z51">
            <v>0.5</v>
          </cell>
          <cell r="AA51">
            <v>0.5</v>
          </cell>
          <cell r="AB51">
            <v>0</v>
          </cell>
          <cell r="AC51">
            <v>0.5</v>
          </cell>
          <cell r="AD51">
            <v>0.5</v>
          </cell>
          <cell r="AE51">
            <v>0</v>
          </cell>
          <cell r="AF51">
            <v>0.5</v>
          </cell>
          <cell r="AG51">
            <v>0.5</v>
          </cell>
          <cell r="AH51">
            <v>0</v>
          </cell>
          <cell r="AI51">
            <v>0.5</v>
          </cell>
          <cell r="AJ51">
            <v>0.5</v>
          </cell>
          <cell r="AK51">
            <v>0</v>
          </cell>
          <cell r="AL51">
            <v>0.5</v>
          </cell>
          <cell r="AM51">
            <v>0.5</v>
          </cell>
          <cell r="AN51">
            <v>0</v>
          </cell>
          <cell r="AO51">
            <v>0.5</v>
          </cell>
          <cell r="AP51">
            <v>0.5</v>
          </cell>
          <cell r="AQ51">
            <v>0</v>
          </cell>
          <cell r="AR51">
            <v>0.5</v>
          </cell>
          <cell r="AS51">
            <v>0.5</v>
          </cell>
          <cell r="AT51">
            <v>0</v>
          </cell>
          <cell r="AU51">
            <v>0.5</v>
          </cell>
          <cell r="AV51">
            <v>0.5</v>
          </cell>
          <cell r="AW51">
            <v>0</v>
          </cell>
          <cell r="AX51">
            <v>0.5</v>
          </cell>
          <cell r="AY51">
            <v>0.5</v>
          </cell>
          <cell r="AZ51">
            <v>0</v>
          </cell>
          <cell r="BA51">
            <v>0.5</v>
          </cell>
          <cell r="BB51">
            <v>0.5</v>
          </cell>
          <cell r="BC51">
            <v>0</v>
          </cell>
          <cell r="BD51">
            <v>0.5</v>
          </cell>
          <cell r="BG51">
            <v>0.06</v>
          </cell>
          <cell r="BH51">
            <v>0.08</v>
          </cell>
          <cell r="BI51">
            <v>0.1</v>
          </cell>
          <cell r="BJ51">
            <v>0.06</v>
          </cell>
          <cell r="BK51">
            <v>0.08</v>
          </cell>
          <cell r="BL51">
            <v>0.1</v>
          </cell>
          <cell r="BM51">
            <v>0.06</v>
          </cell>
          <cell r="BN51">
            <v>0.08</v>
          </cell>
          <cell r="BO51">
            <v>0.1</v>
          </cell>
          <cell r="BP51">
            <v>0.06</v>
          </cell>
          <cell r="BQ51">
            <v>0.08</v>
          </cell>
          <cell r="BR51">
            <v>0.1</v>
          </cell>
          <cell r="BS51">
            <v>0.06</v>
          </cell>
          <cell r="BT51">
            <v>0.08</v>
          </cell>
          <cell r="BU51">
            <v>0.1</v>
          </cell>
          <cell r="BV51">
            <v>0.06</v>
          </cell>
          <cell r="BW51">
            <v>0.08</v>
          </cell>
          <cell r="BX51">
            <v>0.1</v>
          </cell>
          <cell r="BY51">
            <v>0.06</v>
          </cell>
          <cell r="BZ51">
            <v>0.08</v>
          </cell>
          <cell r="CA51">
            <v>0.1</v>
          </cell>
          <cell r="CB51">
            <v>0.06</v>
          </cell>
          <cell r="CC51">
            <v>0.08</v>
          </cell>
          <cell r="CD51">
            <v>0.1</v>
          </cell>
          <cell r="CE51">
            <v>0.06</v>
          </cell>
          <cell r="CF51">
            <v>0.08</v>
          </cell>
          <cell r="CG51">
            <v>0.1</v>
          </cell>
          <cell r="CH51">
            <v>0.06</v>
          </cell>
          <cell r="CI51">
            <v>0.08</v>
          </cell>
          <cell r="CJ51">
            <v>0.1</v>
          </cell>
          <cell r="CK51">
            <v>0.06</v>
          </cell>
          <cell r="CL51">
            <v>0.08</v>
          </cell>
          <cell r="CM51">
            <v>0.1</v>
          </cell>
          <cell r="CN51">
            <v>0.06</v>
          </cell>
          <cell r="CO51">
            <v>0.08</v>
          </cell>
          <cell r="CP51">
            <v>0.1</v>
          </cell>
          <cell r="CQ51">
            <v>0.06</v>
          </cell>
          <cell r="CR51">
            <v>0.08</v>
          </cell>
          <cell r="CS51">
            <v>0.1</v>
          </cell>
          <cell r="CV51">
            <v>5.5E-2</v>
          </cell>
          <cell r="CW51">
            <v>4.4999999999999998E-2</v>
          </cell>
          <cell r="CX51">
            <v>0.03</v>
          </cell>
          <cell r="CY51">
            <v>5.5E-2</v>
          </cell>
          <cell r="CZ51">
            <v>4.4999999999999998E-2</v>
          </cell>
          <cell r="DA51">
            <v>0.03</v>
          </cell>
          <cell r="DB51">
            <v>5.5E-2</v>
          </cell>
          <cell r="DC51">
            <v>4.4999999999999998E-2</v>
          </cell>
          <cell r="DD51">
            <v>0.03</v>
          </cell>
          <cell r="DE51">
            <v>0.06</v>
          </cell>
          <cell r="DF51">
            <v>0.05</v>
          </cell>
          <cell r="DG51">
            <v>0.04</v>
          </cell>
          <cell r="DH51">
            <v>0.06</v>
          </cell>
          <cell r="DI51">
            <v>0.05</v>
          </cell>
          <cell r="DJ51">
            <v>0.04</v>
          </cell>
          <cell r="DK51">
            <v>0.06</v>
          </cell>
          <cell r="DL51">
            <v>0.05</v>
          </cell>
          <cell r="DM51">
            <v>0.04</v>
          </cell>
          <cell r="DN51">
            <v>0.06</v>
          </cell>
          <cell r="DO51">
            <v>0.05</v>
          </cell>
          <cell r="DP51">
            <v>0.04</v>
          </cell>
          <cell r="DQ51">
            <v>0.06</v>
          </cell>
          <cell r="DR51">
            <v>0.05</v>
          </cell>
          <cell r="DS51">
            <v>0.04</v>
          </cell>
          <cell r="DT51">
            <v>0.06</v>
          </cell>
          <cell r="DU51">
            <v>0.05</v>
          </cell>
          <cell r="DV51">
            <v>0.04</v>
          </cell>
          <cell r="DW51">
            <v>0.06</v>
          </cell>
          <cell r="DX51">
            <v>0.05</v>
          </cell>
          <cell r="DY51">
            <v>0.04</v>
          </cell>
          <cell r="DZ51">
            <v>0.06</v>
          </cell>
          <cell r="EA51">
            <v>0.05</v>
          </cell>
          <cell r="EB51">
            <v>0.04</v>
          </cell>
          <cell r="EC51">
            <v>0.06</v>
          </cell>
          <cell r="ED51">
            <v>0.05</v>
          </cell>
          <cell r="EE51">
            <v>0.04</v>
          </cell>
          <cell r="EG51">
            <v>3.2500000000000001E-2</v>
          </cell>
          <cell r="EH51">
            <v>3.2500000000000001E-2</v>
          </cell>
          <cell r="EI51">
            <v>3.2500000000000001E-2</v>
          </cell>
          <cell r="EJ51">
            <v>3.2500000000000001E-2</v>
          </cell>
          <cell r="EK51">
            <v>4.0000000000000008E-2</v>
          </cell>
          <cell r="EL51">
            <v>4.0000000000000008E-2</v>
          </cell>
          <cell r="EM51">
            <v>4.0000000000000008E-2</v>
          </cell>
          <cell r="EN51">
            <v>4.0000000000000008E-2</v>
          </cell>
          <cell r="EO51">
            <v>4.0000000000000008E-2</v>
          </cell>
          <cell r="EP51">
            <v>4.0000000000000008E-2</v>
          </cell>
          <cell r="EQ51">
            <v>4.0000000000000008E-2</v>
          </cell>
          <cell r="ER51">
            <v>4.0000000000000008E-2</v>
          </cell>
          <cell r="ES51">
            <v>4.0000000000000008E-2</v>
          </cell>
          <cell r="EU51">
            <v>0.08</v>
          </cell>
          <cell r="EV51">
            <v>0.08</v>
          </cell>
          <cell r="EW51">
            <v>0.08</v>
          </cell>
          <cell r="EX51">
            <v>0.08</v>
          </cell>
          <cell r="EY51">
            <v>0.08</v>
          </cell>
          <cell r="EZ51">
            <v>0.08</v>
          </cell>
          <cell r="FA51">
            <v>0.08</v>
          </cell>
          <cell r="FB51">
            <v>0.08</v>
          </cell>
          <cell r="FC51">
            <v>0.08</v>
          </cell>
          <cell r="FD51">
            <v>0.08</v>
          </cell>
          <cell r="FE51">
            <v>0.08</v>
          </cell>
          <cell r="FF51">
            <v>0.08</v>
          </cell>
          <cell r="FG51">
            <v>0.08</v>
          </cell>
        </row>
        <row r="52">
          <cell r="D52" t="str">
            <v/>
          </cell>
          <cell r="G52">
            <v>0.05</v>
          </cell>
          <cell r="H52">
            <v>0.05</v>
          </cell>
          <cell r="I52">
            <v>0.05</v>
          </cell>
          <cell r="J52">
            <v>0.05</v>
          </cell>
          <cell r="K52">
            <v>0.05</v>
          </cell>
          <cell r="L52">
            <v>0.05</v>
          </cell>
          <cell r="M52">
            <v>0.05</v>
          </cell>
          <cell r="N52">
            <v>0.05</v>
          </cell>
          <cell r="O52">
            <v>0.05</v>
          </cell>
          <cell r="P52">
            <v>0.05</v>
          </cell>
          <cell r="Q52">
            <v>0.05</v>
          </cell>
          <cell r="R52">
            <v>0.05</v>
          </cell>
          <cell r="U52">
            <v>0.5</v>
          </cell>
          <cell r="V52">
            <v>0</v>
          </cell>
          <cell r="W52">
            <v>0.5</v>
          </cell>
          <cell r="X52">
            <v>0.5</v>
          </cell>
          <cell r="Y52">
            <v>0</v>
          </cell>
          <cell r="Z52">
            <v>0.5</v>
          </cell>
          <cell r="AA52">
            <v>0.5</v>
          </cell>
          <cell r="AB52">
            <v>0</v>
          </cell>
          <cell r="AC52">
            <v>0.5</v>
          </cell>
          <cell r="AD52">
            <v>0.5</v>
          </cell>
          <cell r="AE52">
            <v>0</v>
          </cell>
          <cell r="AF52">
            <v>0.5</v>
          </cell>
          <cell r="AG52">
            <v>0.5</v>
          </cell>
          <cell r="AH52">
            <v>0</v>
          </cell>
          <cell r="AI52">
            <v>0.5</v>
          </cell>
          <cell r="AJ52">
            <v>0.5</v>
          </cell>
          <cell r="AK52">
            <v>0</v>
          </cell>
          <cell r="AL52">
            <v>0.5</v>
          </cell>
          <cell r="AM52">
            <v>0.5</v>
          </cell>
          <cell r="AN52">
            <v>0</v>
          </cell>
          <cell r="AO52">
            <v>0.5</v>
          </cell>
          <cell r="AP52">
            <v>0.5</v>
          </cell>
          <cell r="AQ52">
            <v>0</v>
          </cell>
          <cell r="AR52">
            <v>0.5</v>
          </cell>
          <cell r="AS52">
            <v>0.5</v>
          </cell>
          <cell r="AT52">
            <v>0</v>
          </cell>
          <cell r="AU52">
            <v>0.5</v>
          </cell>
          <cell r="AV52">
            <v>0.5</v>
          </cell>
          <cell r="AW52">
            <v>0</v>
          </cell>
          <cell r="AX52">
            <v>0.5</v>
          </cell>
          <cell r="AY52">
            <v>0.5</v>
          </cell>
          <cell r="AZ52">
            <v>0</v>
          </cell>
          <cell r="BA52">
            <v>0.5</v>
          </cell>
          <cell r="BB52">
            <v>0.5</v>
          </cell>
          <cell r="BC52">
            <v>0</v>
          </cell>
          <cell r="BD52">
            <v>0.5</v>
          </cell>
          <cell r="BG52">
            <v>0.06</v>
          </cell>
          <cell r="BH52">
            <v>0.08</v>
          </cell>
          <cell r="BI52">
            <v>0.1</v>
          </cell>
          <cell r="BJ52">
            <v>0.06</v>
          </cell>
          <cell r="BK52">
            <v>0.08</v>
          </cell>
          <cell r="BL52">
            <v>0.1</v>
          </cell>
          <cell r="BM52">
            <v>0.06</v>
          </cell>
          <cell r="BN52">
            <v>0.08</v>
          </cell>
          <cell r="BO52">
            <v>0.1</v>
          </cell>
          <cell r="BP52">
            <v>0.06</v>
          </cell>
          <cell r="BQ52">
            <v>0.08</v>
          </cell>
          <cell r="BR52">
            <v>0.1</v>
          </cell>
          <cell r="BS52">
            <v>0.06</v>
          </cell>
          <cell r="BT52">
            <v>0.08</v>
          </cell>
          <cell r="BU52">
            <v>0.1</v>
          </cell>
          <cell r="BV52">
            <v>0.06</v>
          </cell>
          <cell r="BW52">
            <v>0.08</v>
          </cell>
          <cell r="BX52">
            <v>0.1</v>
          </cell>
          <cell r="BY52">
            <v>0.06</v>
          </cell>
          <cell r="BZ52">
            <v>0.08</v>
          </cell>
          <cell r="CA52">
            <v>0.1</v>
          </cell>
          <cell r="CB52">
            <v>0.06</v>
          </cell>
          <cell r="CC52">
            <v>0.08</v>
          </cell>
          <cell r="CD52">
            <v>0.1</v>
          </cell>
          <cell r="CE52">
            <v>0.06</v>
          </cell>
          <cell r="CF52">
            <v>0.08</v>
          </cell>
          <cell r="CG52">
            <v>0.1</v>
          </cell>
          <cell r="CH52">
            <v>0.06</v>
          </cell>
          <cell r="CI52">
            <v>0.08</v>
          </cell>
          <cell r="CJ52">
            <v>0.1</v>
          </cell>
          <cell r="CK52">
            <v>0.06</v>
          </cell>
          <cell r="CL52">
            <v>0.08</v>
          </cell>
          <cell r="CM52">
            <v>0.1</v>
          </cell>
          <cell r="CN52">
            <v>0.06</v>
          </cell>
          <cell r="CO52">
            <v>0.08</v>
          </cell>
          <cell r="CP52">
            <v>0.1</v>
          </cell>
          <cell r="CQ52">
            <v>0.06</v>
          </cell>
          <cell r="CR52">
            <v>0.08</v>
          </cell>
          <cell r="CS52">
            <v>0.1</v>
          </cell>
          <cell r="CV52">
            <v>5.5E-2</v>
          </cell>
          <cell r="CW52">
            <v>4.4999999999999998E-2</v>
          </cell>
          <cell r="CX52">
            <v>0.03</v>
          </cell>
          <cell r="CY52">
            <v>5.5E-2</v>
          </cell>
          <cell r="CZ52">
            <v>4.4999999999999998E-2</v>
          </cell>
          <cell r="DA52">
            <v>0.03</v>
          </cell>
          <cell r="DB52">
            <v>5.5E-2</v>
          </cell>
          <cell r="DC52">
            <v>4.4999999999999998E-2</v>
          </cell>
          <cell r="DD52">
            <v>0.03</v>
          </cell>
          <cell r="DE52">
            <v>0.06</v>
          </cell>
          <cell r="DF52">
            <v>0.05</v>
          </cell>
          <cell r="DG52">
            <v>0.04</v>
          </cell>
          <cell r="DH52">
            <v>0.06</v>
          </cell>
          <cell r="DI52">
            <v>0.05</v>
          </cell>
          <cell r="DJ52">
            <v>0.04</v>
          </cell>
          <cell r="DK52">
            <v>0.06</v>
          </cell>
          <cell r="DL52">
            <v>0.05</v>
          </cell>
          <cell r="DM52">
            <v>0.04</v>
          </cell>
          <cell r="DN52">
            <v>0.06</v>
          </cell>
          <cell r="DO52">
            <v>0.05</v>
          </cell>
          <cell r="DP52">
            <v>0.04</v>
          </cell>
          <cell r="DQ52">
            <v>0.06</v>
          </cell>
          <cell r="DR52">
            <v>0.05</v>
          </cell>
          <cell r="DS52">
            <v>0.04</v>
          </cell>
          <cell r="DT52">
            <v>0.06</v>
          </cell>
          <cell r="DU52">
            <v>0.05</v>
          </cell>
          <cell r="DV52">
            <v>0.04</v>
          </cell>
          <cell r="DW52">
            <v>0.06</v>
          </cell>
          <cell r="DX52">
            <v>0.05</v>
          </cell>
          <cell r="DY52">
            <v>0.04</v>
          </cell>
          <cell r="DZ52">
            <v>0.06</v>
          </cell>
          <cell r="EA52">
            <v>0.05</v>
          </cell>
          <cell r="EB52">
            <v>0.04</v>
          </cell>
          <cell r="EC52">
            <v>0.06</v>
          </cell>
          <cell r="ED52">
            <v>0.05</v>
          </cell>
          <cell r="EE52">
            <v>0.04</v>
          </cell>
          <cell r="EG52">
            <v>3.2500000000000001E-2</v>
          </cell>
          <cell r="EH52">
            <v>3.2500000000000001E-2</v>
          </cell>
          <cell r="EI52">
            <v>3.2500000000000001E-2</v>
          </cell>
          <cell r="EJ52">
            <v>3.2500000000000001E-2</v>
          </cell>
          <cell r="EK52">
            <v>4.0000000000000008E-2</v>
          </cell>
          <cell r="EL52">
            <v>4.0000000000000008E-2</v>
          </cell>
          <cell r="EM52">
            <v>4.0000000000000008E-2</v>
          </cell>
          <cell r="EN52">
            <v>4.0000000000000008E-2</v>
          </cell>
          <cell r="EO52">
            <v>4.0000000000000008E-2</v>
          </cell>
          <cell r="EP52">
            <v>4.0000000000000008E-2</v>
          </cell>
          <cell r="EQ52">
            <v>4.0000000000000008E-2</v>
          </cell>
          <cell r="ER52">
            <v>4.0000000000000008E-2</v>
          </cell>
          <cell r="ES52">
            <v>4.0000000000000008E-2</v>
          </cell>
          <cell r="EU52">
            <v>0.08</v>
          </cell>
          <cell r="EV52">
            <v>0.08</v>
          </cell>
          <cell r="EW52">
            <v>0.08</v>
          </cell>
          <cell r="EX52">
            <v>0.08</v>
          </cell>
          <cell r="EY52">
            <v>0.08</v>
          </cell>
          <cell r="EZ52">
            <v>0.08</v>
          </cell>
          <cell r="FA52">
            <v>0.08</v>
          </cell>
          <cell r="FB52">
            <v>0.08</v>
          </cell>
          <cell r="FC52">
            <v>0.08</v>
          </cell>
          <cell r="FD52">
            <v>0.08</v>
          </cell>
          <cell r="FE52">
            <v>0.08</v>
          </cell>
          <cell r="FF52">
            <v>0.08</v>
          </cell>
          <cell r="FG52">
            <v>0.08</v>
          </cell>
        </row>
        <row r="53">
          <cell r="C53" t="str">
            <v>G.Panda F1H Icon 1.2T MT</v>
          </cell>
          <cell r="D53" t="str">
            <v>G.Panda F1H Icon 1.2T MT</v>
          </cell>
          <cell r="G53">
            <v>0.05</v>
          </cell>
          <cell r="H53">
            <v>0.05</v>
          </cell>
          <cell r="I53">
            <v>0.05</v>
          </cell>
          <cell r="J53">
            <v>0.05</v>
          </cell>
          <cell r="K53">
            <v>0.05</v>
          </cell>
          <cell r="L53">
            <v>0.05</v>
          </cell>
          <cell r="M53">
            <v>0.05</v>
          </cell>
          <cell r="N53">
            <v>0.05</v>
          </cell>
          <cell r="O53">
            <v>0.05</v>
          </cell>
          <cell r="P53">
            <v>0.05</v>
          </cell>
          <cell r="Q53">
            <v>0.05</v>
          </cell>
          <cell r="R53">
            <v>0.05</v>
          </cell>
          <cell r="U53">
            <v>0.5</v>
          </cell>
          <cell r="V53">
            <v>0</v>
          </cell>
          <cell r="W53">
            <v>0.5</v>
          </cell>
          <cell r="X53">
            <v>0.5</v>
          </cell>
          <cell r="Y53">
            <v>0</v>
          </cell>
          <cell r="Z53">
            <v>0.5</v>
          </cell>
          <cell r="AA53">
            <v>0.5</v>
          </cell>
          <cell r="AB53">
            <v>0</v>
          </cell>
          <cell r="AC53">
            <v>0.5</v>
          </cell>
          <cell r="AD53">
            <v>0.5</v>
          </cell>
          <cell r="AE53">
            <v>0</v>
          </cell>
          <cell r="AF53">
            <v>0.5</v>
          </cell>
          <cell r="AG53">
            <v>0.5</v>
          </cell>
          <cell r="AH53">
            <v>0</v>
          </cell>
          <cell r="AI53">
            <v>0.5</v>
          </cell>
          <cell r="AJ53">
            <v>0.5</v>
          </cell>
          <cell r="AK53">
            <v>0</v>
          </cell>
          <cell r="AL53">
            <v>0.5</v>
          </cell>
          <cell r="AM53">
            <v>0.5</v>
          </cell>
          <cell r="AN53">
            <v>0</v>
          </cell>
          <cell r="AO53">
            <v>0.5</v>
          </cell>
          <cell r="AP53">
            <v>0.5</v>
          </cell>
          <cell r="AQ53">
            <v>0</v>
          </cell>
          <cell r="AR53">
            <v>0.5</v>
          </cell>
          <cell r="AS53">
            <v>0.5</v>
          </cell>
          <cell r="AT53">
            <v>0</v>
          </cell>
          <cell r="AU53">
            <v>0.5</v>
          </cell>
          <cell r="AV53">
            <v>0.5</v>
          </cell>
          <cell r="AW53">
            <v>0</v>
          </cell>
          <cell r="AX53">
            <v>0.5</v>
          </cell>
          <cell r="AY53">
            <v>0.5</v>
          </cell>
          <cell r="AZ53">
            <v>0</v>
          </cell>
          <cell r="BA53">
            <v>0.5</v>
          </cell>
          <cell r="BB53">
            <v>0.5</v>
          </cell>
          <cell r="BC53">
            <v>0</v>
          </cell>
          <cell r="BD53">
            <v>0.5</v>
          </cell>
          <cell r="BG53">
            <v>0.06</v>
          </cell>
          <cell r="BH53">
            <v>0.08</v>
          </cell>
          <cell r="BI53">
            <v>0.1</v>
          </cell>
          <cell r="BJ53">
            <v>0.06</v>
          </cell>
          <cell r="BK53">
            <v>0.08</v>
          </cell>
          <cell r="BL53">
            <v>0.1</v>
          </cell>
          <cell r="BM53">
            <v>0.06</v>
          </cell>
          <cell r="BN53">
            <v>0.08</v>
          </cell>
          <cell r="BO53">
            <v>0.1</v>
          </cell>
          <cell r="BP53">
            <v>0.06</v>
          </cell>
          <cell r="BQ53">
            <v>0.08</v>
          </cell>
          <cell r="BR53">
            <v>0.1</v>
          </cell>
          <cell r="BS53">
            <v>0.06</v>
          </cell>
          <cell r="BT53">
            <v>0.08</v>
          </cell>
          <cell r="BU53">
            <v>0.1</v>
          </cell>
          <cell r="BV53">
            <v>0.06</v>
          </cell>
          <cell r="BW53">
            <v>0.08</v>
          </cell>
          <cell r="BX53">
            <v>0.1</v>
          </cell>
          <cell r="BY53">
            <v>0.06</v>
          </cell>
          <cell r="BZ53">
            <v>0.08</v>
          </cell>
          <cell r="CA53">
            <v>0.1</v>
          </cell>
          <cell r="CB53">
            <v>0.06</v>
          </cell>
          <cell r="CC53">
            <v>0.08</v>
          </cell>
          <cell r="CD53">
            <v>0.1</v>
          </cell>
          <cell r="CE53">
            <v>0.06</v>
          </cell>
          <cell r="CF53">
            <v>0.08</v>
          </cell>
          <cell r="CG53">
            <v>0.1</v>
          </cell>
          <cell r="CH53">
            <v>0.06</v>
          </cell>
          <cell r="CI53">
            <v>0.08</v>
          </cell>
          <cell r="CJ53">
            <v>0.1</v>
          </cell>
          <cell r="CK53">
            <v>0.06</v>
          </cell>
          <cell r="CL53">
            <v>0.08</v>
          </cell>
          <cell r="CM53">
            <v>0.1</v>
          </cell>
          <cell r="CN53">
            <v>0.06</v>
          </cell>
          <cell r="CO53">
            <v>0.08</v>
          </cell>
          <cell r="CP53">
            <v>0.1</v>
          </cell>
          <cell r="CQ53">
            <v>0.06</v>
          </cell>
          <cell r="CR53">
            <v>0.08</v>
          </cell>
          <cell r="CS53">
            <v>0.1</v>
          </cell>
          <cell r="CV53">
            <v>5.5E-2</v>
          </cell>
          <cell r="CW53">
            <v>4.4999999999999998E-2</v>
          </cell>
          <cell r="CX53">
            <v>0.03</v>
          </cell>
          <cell r="CY53">
            <v>5.5E-2</v>
          </cell>
          <cell r="CZ53">
            <v>4.4999999999999998E-2</v>
          </cell>
          <cell r="DA53">
            <v>0.03</v>
          </cell>
          <cell r="DB53">
            <v>5.5E-2</v>
          </cell>
          <cell r="DC53">
            <v>4.4999999999999998E-2</v>
          </cell>
          <cell r="DD53">
            <v>0.03</v>
          </cell>
          <cell r="DE53">
            <v>0.06</v>
          </cell>
          <cell r="DF53">
            <v>0.05</v>
          </cell>
          <cell r="DG53">
            <v>0.04</v>
          </cell>
          <cell r="DH53">
            <v>0.06</v>
          </cell>
          <cell r="DI53">
            <v>0.05</v>
          </cell>
          <cell r="DJ53">
            <v>0.04</v>
          </cell>
          <cell r="DK53">
            <v>0.06</v>
          </cell>
          <cell r="DL53">
            <v>0.05</v>
          </cell>
          <cell r="DM53">
            <v>0.04</v>
          </cell>
          <cell r="DN53">
            <v>0.06</v>
          </cell>
          <cell r="DO53">
            <v>0.05</v>
          </cell>
          <cell r="DP53">
            <v>0.04</v>
          </cell>
          <cell r="DQ53">
            <v>0.06</v>
          </cell>
          <cell r="DR53">
            <v>0.05</v>
          </cell>
          <cell r="DS53">
            <v>0.04</v>
          </cell>
          <cell r="DT53">
            <v>0.06</v>
          </cell>
          <cell r="DU53">
            <v>0.05</v>
          </cell>
          <cell r="DV53">
            <v>0.04</v>
          </cell>
          <cell r="DW53">
            <v>0.06</v>
          </cell>
          <cell r="DX53">
            <v>0.05</v>
          </cell>
          <cell r="DY53">
            <v>0.04</v>
          </cell>
          <cell r="DZ53">
            <v>0.06</v>
          </cell>
          <cell r="EA53">
            <v>0.05</v>
          </cell>
          <cell r="EB53">
            <v>0.04</v>
          </cell>
          <cell r="EC53">
            <v>0.06</v>
          </cell>
          <cell r="ED53">
            <v>0.05</v>
          </cell>
          <cell r="EE53">
            <v>0.04</v>
          </cell>
          <cell r="EG53">
            <v>3.2500000000000001E-2</v>
          </cell>
          <cell r="EH53">
            <v>3.2500000000000001E-2</v>
          </cell>
          <cell r="EI53">
            <v>3.2500000000000001E-2</v>
          </cell>
          <cell r="EJ53">
            <v>3.2500000000000001E-2</v>
          </cell>
          <cell r="EK53">
            <v>4.0000000000000008E-2</v>
          </cell>
          <cell r="EL53">
            <v>4.0000000000000008E-2</v>
          </cell>
          <cell r="EM53">
            <v>4.0000000000000008E-2</v>
          </cell>
          <cell r="EN53">
            <v>4.0000000000000008E-2</v>
          </cell>
          <cell r="EO53">
            <v>4.0000000000000008E-2</v>
          </cell>
          <cell r="EP53">
            <v>4.0000000000000008E-2</v>
          </cell>
          <cell r="EQ53">
            <v>4.0000000000000008E-2</v>
          </cell>
          <cell r="ER53">
            <v>4.0000000000000008E-2</v>
          </cell>
          <cell r="ES53">
            <v>4.0000000000000008E-2</v>
          </cell>
          <cell r="EU53">
            <v>0.08</v>
          </cell>
          <cell r="EV53">
            <v>0.08</v>
          </cell>
          <cell r="EW53">
            <v>0.08</v>
          </cell>
          <cell r="EX53">
            <v>0.08</v>
          </cell>
          <cell r="EY53">
            <v>0.08</v>
          </cell>
          <cell r="EZ53">
            <v>0.08</v>
          </cell>
          <cell r="FA53">
            <v>0.08</v>
          </cell>
          <cell r="FB53">
            <v>0.08</v>
          </cell>
          <cell r="FC53">
            <v>0.08</v>
          </cell>
          <cell r="FD53">
            <v>0.08</v>
          </cell>
          <cell r="FE53">
            <v>0.08</v>
          </cell>
          <cell r="FF53">
            <v>0.08</v>
          </cell>
          <cell r="FG53">
            <v>0.08</v>
          </cell>
        </row>
        <row r="54">
          <cell r="C54" t="str">
            <v>G.Panda F1H La Prima 1.2T MT</v>
          </cell>
          <cell r="D54" t="str">
            <v>G.Panda F1H La Prima 1.2T MT</v>
          </cell>
          <cell r="G54">
            <v>0.05</v>
          </cell>
          <cell r="H54">
            <v>0.05</v>
          </cell>
          <cell r="I54">
            <v>0.05</v>
          </cell>
          <cell r="J54">
            <v>0.05</v>
          </cell>
          <cell r="K54">
            <v>0.05</v>
          </cell>
          <cell r="L54">
            <v>0.05</v>
          </cell>
          <cell r="M54">
            <v>0.05</v>
          </cell>
          <cell r="N54">
            <v>0.05</v>
          </cell>
          <cell r="O54">
            <v>0.05</v>
          </cell>
          <cell r="P54">
            <v>0.05</v>
          </cell>
          <cell r="Q54">
            <v>0.05</v>
          </cell>
          <cell r="R54">
            <v>0.05</v>
          </cell>
          <cell r="U54">
            <v>0.5</v>
          </cell>
          <cell r="V54">
            <v>0</v>
          </cell>
          <cell r="W54">
            <v>0.5</v>
          </cell>
          <cell r="X54">
            <v>0.5</v>
          </cell>
          <cell r="Y54">
            <v>0</v>
          </cell>
          <cell r="Z54">
            <v>0.5</v>
          </cell>
          <cell r="AA54">
            <v>0.5</v>
          </cell>
          <cell r="AB54">
            <v>0</v>
          </cell>
          <cell r="AC54">
            <v>0.5</v>
          </cell>
          <cell r="AD54">
            <v>0.5</v>
          </cell>
          <cell r="AE54">
            <v>0</v>
          </cell>
          <cell r="AF54">
            <v>0.5</v>
          </cell>
          <cell r="AG54">
            <v>0.5</v>
          </cell>
          <cell r="AH54">
            <v>0</v>
          </cell>
          <cell r="AI54">
            <v>0.5</v>
          </cell>
          <cell r="AJ54">
            <v>0.5</v>
          </cell>
          <cell r="AK54">
            <v>0</v>
          </cell>
          <cell r="AL54">
            <v>0.5</v>
          </cell>
          <cell r="AM54">
            <v>0.5</v>
          </cell>
          <cell r="AN54">
            <v>0</v>
          </cell>
          <cell r="AO54">
            <v>0.5</v>
          </cell>
          <cell r="AP54">
            <v>0.5</v>
          </cell>
          <cell r="AQ54">
            <v>0</v>
          </cell>
          <cell r="AR54">
            <v>0.5</v>
          </cell>
          <cell r="AS54">
            <v>0.5</v>
          </cell>
          <cell r="AT54">
            <v>0</v>
          </cell>
          <cell r="AU54">
            <v>0.5</v>
          </cell>
          <cell r="AV54">
            <v>0.5</v>
          </cell>
          <cell r="AW54">
            <v>0</v>
          </cell>
          <cell r="AX54">
            <v>0.5</v>
          </cell>
          <cell r="AY54">
            <v>0.5</v>
          </cell>
          <cell r="AZ54">
            <v>0</v>
          </cell>
          <cell r="BA54">
            <v>0.5</v>
          </cell>
          <cell r="BB54">
            <v>0.5</v>
          </cell>
          <cell r="BC54">
            <v>0</v>
          </cell>
          <cell r="BD54">
            <v>0.5</v>
          </cell>
          <cell r="BG54">
            <v>0.06</v>
          </cell>
          <cell r="BH54">
            <v>0.08</v>
          </cell>
          <cell r="BI54">
            <v>0.1</v>
          </cell>
          <cell r="BJ54">
            <v>0.06</v>
          </cell>
          <cell r="BK54">
            <v>0.08</v>
          </cell>
          <cell r="BL54">
            <v>0.1</v>
          </cell>
          <cell r="BM54">
            <v>0.06</v>
          </cell>
          <cell r="BN54">
            <v>0.08</v>
          </cell>
          <cell r="BO54">
            <v>0.1</v>
          </cell>
          <cell r="BP54">
            <v>0.06</v>
          </cell>
          <cell r="BQ54">
            <v>0.08</v>
          </cell>
          <cell r="BR54">
            <v>0.1</v>
          </cell>
          <cell r="BS54">
            <v>0.06</v>
          </cell>
          <cell r="BT54">
            <v>0.08</v>
          </cell>
          <cell r="BU54">
            <v>0.1</v>
          </cell>
          <cell r="BV54">
            <v>0.06</v>
          </cell>
          <cell r="BW54">
            <v>0.08</v>
          </cell>
          <cell r="BX54">
            <v>0.1</v>
          </cell>
          <cell r="BY54">
            <v>0.06</v>
          </cell>
          <cell r="BZ54">
            <v>0.08</v>
          </cell>
          <cell r="CA54">
            <v>0.1</v>
          </cell>
          <cell r="CB54">
            <v>0.06</v>
          </cell>
          <cell r="CC54">
            <v>0.08</v>
          </cell>
          <cell r="CD54">
            <v>0.1</v>
          </cell>
          <cell r="CE54">
            <v>0.06</v>
          </cell>
          <cell r="CF54">
            <v>0.08</v>
          </cell>
          <cell r="CG54">
            <v>0.1</v>
          </cell>
          <cell r="CH54">
            <v>0.06</v>
          </cell>
          <cell r="CI54">
            <v>0.08</v>
          </cell>
          <cell r="CJ54">
            <v>0.1</v>
          </cell>
          <cell r="CK54">
            <v>0.06</v>
          </cell>
          <cell r="CL54">
            <v>0.08</v>
          </cell>
          <cell r="CM54">
            <v>0.1</v>
          </cell>
          <cell r="CN54">
            <v>0.06</v>
          </cell>
          <cell r="CO54">
            <v>0.08</v>
          </cell>
          <cell r="CP54">
            <v>0.1</v>
          </cell>
          <cell r="CQ54">
            <v>0.06</v>
          </cell>
          <cell r="CR54">
            <v>0.08</v>
          </cell>
          <cell r="CS54">
            <v>0.1</v>
          </cell>
          <cell r="CV54">
            <v>5.5E-2</v>
          </cell>
          <cell r="CW54">
            <v>4.4999999999999998E-2</v>
          </cell>
          <cell r="CX54">
            <v>0.03</v>
          </cell>
          <cell r="CY54">
            <v>5.5E-2</v>
          </cell>
          <cell r="CZ54">
            <v>4.4999999999999998E-2</v>
          </cell>
          <cell r="DA54">
            <v>0.03</v>
          </cell>
          <cell r="DB54">
            <v>5.5E-2</v>
          </cell>
          <cell r="DC54">
            <v>4.4999999999999998E-2</v>
          </cell>
          <cell r="DD54">
            <v>0.03</v>
          </cell>
          <cell r="DE54">
            <v>0.06</v>
          </cell>
          <cell r="DF54">
            <v>0.05</v>
          </cell>
          <cell r="DG54">
            <v>0.04</v>
          </cell>
          <cell r="DH54">
            <v>0.06</v>
          </cell>
          <cell r="DI54">
            <v>0.05</v>
          </cell>
          <cell r="DJ54">
            <v>0.04</v>
          </cell>
          <cell r="DK54">
            <v>0.06</v>
          </cell>
          <cell r="DL54">
            <v>0.05</v>
          </cell>
          <cell r="DM54">
            <v>0.04</v>
          </cell>
          <cell r="DN54">
            <v>0.06</v>
          </cell>
          <cell r="DO54">
            <v>0.05</v>
          </cell>
          <cell r="DP54">
            <v>0.04</v>
          </cell>
          <cell r="DQ54">
            <v>0.06</v>
          </cell>
          <cell r="DR54">
            <v>0.05</v>
          </cell>
          <cell r="DS54">
            <v>0.04</v>
          </cell>
          <cell r="DT54">
            <v>0.06</v>
          </cell>
          <cell r="DU54">
            <v>0.05</v>
          </cell>
          <cell r="DV54">
            <v>0.04</v>
          </cell>
          <cell r="DW54">
            <v>0.06</v>
          </cell>
          <cell r="DX54">
            <v>0.05</v>
          </cell>
          <cell r="DY54">
            <v>0.04</v>
          </cell>
          <cell r="DZ54">
            <v>0.06</v>
          </cell>
          <cell r="EA54">
            <v>0.05</v>
          </cell>
          <cell r="EB54">
            <v>0.04</v>
          </cell>
          <cell r="EC54">
            <v>0.06</v>
          </cell>
          <cell r="ED54">
            <v>0.05</v>
          </cell>
          <cell r="EE54">
            <v>0.04</v>
          </cell>
          <cell r="EG54">
            <v>3.2500000000000001E-2</v>
          </cell>
          <cell r="EH54">
            <v>3.2500000000000001E-2</v>
          </cell>
          <cell r="EI54">
            <v>3.2500000000000001E-2</v>
          </cell>
          <cell r="EJ54">
            <v>3.2500000000000001E-2</v>
          </cell>
          <cell r="EK54">
            <v>4.0000000000000008E-2</v>
          </cell>
          <cell r="EL54">
            <v>4.0000000000000008E-2</v>
          </cell>
          <cell r="EM54">
            <v>4.0000000000000008E-2</v>
          </cell>
          <cell r="EN54">
            <v>4.0000000000000008E-2</v>
          </cell>
          <cell r="EO54">
            <v>4.0000000000000008E-2</v>
          </cell>
          <cell r="EP54">
            <v>4.0000000000000008E-2</v>
          </cell>
          <cell r="EQ54">
            <v>4.0000000000000008E-2</v>
          </cell>
          <cell r="ER54">
            <v>4.0000000000000008E-2</v>
          </cell>
          <cell r="ES54">
            <v>4.0000000000000008E-2</v>
          </cell>
          <cell r="EU54">
            <v>0.08</v>
          </cell>
          <cell r="EV54">
            <v>0.08</v>
          </cell>
          <cell r="EW54">
            <v>0.08</v>
          </cell>
          <cell r="EX54">
            <v>0.08</v>
          </cell>
          <cell r="EY54">
            <v>0.08</v>
          </cell>
          <cell r="EZ54">
            <v>0.08</v>
          </cell>
          <cell r="FA54">
            <v>0.08</v>
          </cell>
          <cell r="FB54">
            <v>0.08</v>
          </cell>
          <cell r="FC54">
            <v>0.08</v>
          </cell>
          <cell r="FD54">
            <v>0.08</v>
          </cell>
          <cell r="FE54">
            <v>0.08</v>
          </cell>
          <cell r="FF54">
            <v>0.08</v>
          </cell>
          <cell r="FG54">
            <v>0.08</v>
          </cell>
        </row>
        <row r="55">
          <cell r="D55" t="str">
            <v/>
          </cell>
          <cell r="G55">
            <v>0.05</v>
          </cell>
          <cell r="H55">
            <v>0.05</v>
          </cell>
          <cell r="I55">
            <v>0.05</v>
          </cell>
          <cell r="J55">
            <v>0.05</v>
          </cell>
          <cell r="K55">
            <v>0.05</v>
          </cell>
          <cell r="L55">
            <v>0.05</v>
          </cell>
          <cell r="M55">
            <v>0.05</v>
          </cell>
          <cell r="N55">
            <v>0.05</v>
          </cell>
          <cell r="O55">
            <v>0.05</v>
          </cell>
          <cell r="P55">
            <v>0.05</v>
          </cell>
          <cell r="Q55">
            <v>0.05</v>
          </cell>
          <cell r="R55">
            <v>0.05</v>
          </cell>
          <cell r="U55">
            <v>0.5</v>
          </cell>
          <cell r="V55">
            <v>0</v>
          </cell>
          <cell r="W55">
            <v>0.5</v>
          </cell>
          <cell r="X55">
            <v>0.5</v>
          </cell>
          <cell r="Y55">
            <v>0</v>
          </cell>
          <cell r="Z55">
            <v>0.5</v>
          </cell>
          <cell r="AA55">
            <v>0.5</v>
          </cell>
          <cell r="AB55">
            <v>0</v>
          </cell>
          <cell r="AC55">
            <v>0.5</v>
          </cell>
          <cell r="AD55">
            <v>0.5</v>
          </cell>
          <cell r="AE55">
            <v>0</v>
          </cell>
          <cell r="AF55">
            <v>0.5</v>
          </cell>
          <cell r="AG55">
            <v>0.5</v>
          </cell>
          <cell r="AH55">
            <v>0</v>
          </cell>
          <cell r="AI55">
            <v>0.5</v>
          </cell>
          <cell r="AJ55">
            <v>0.5</v>
          </cell>
          <cell r="AK55">
            <v>0</v>
          </cell>
          <cell r="AL55">
            <v>0.5</v>
          </cell>
          <cell r="AM55">
            <v>0.5</v>
          </cell>
          <cell r="AN55">
            <v>0</v>
          </cell>
          <cell r="AO55">
            <v>0.5</v>
          </cell>
          <cell r="AP55">
            <v>0.5</v>
          </cell>
          <cell r="AQ55">
            <v>0</v>
          </cell>
          <cell r="AR55">
            <v>0.5</v>
          </cell>
          <cell r="AS55">
            <v>0.5</v>
          </cell>
          <cell r="AT55">
            <v>0</v>
          </cell>
          <cell r="AU55">
            <v>0.5</v>
          </cell>
          <cell r="AV55">
            <v>0.5</v>
          </cell>
          <cell r="AW55">
            <v>0</v>
          </cell>
          <cell r="AX55">
            <v>0.5</v>
          </cell>
          <cell r="AY55">
            <v>0.5</v>
          </cell>
          <cell r="AZ55">
            <v>0</v>
          </cell>
          <cell r="BA55">
            <v>0.5</v>
          </cell>
          <cell r="BB55">
            <v>0.5</v>
          </cell>
          <cell r="BC55">
            <v>0</v>
          </cell>
          <cell r="BD55">
            <v>0.5</v>
          </cell>
          <cell r="BG55">
            <v>0.06</v>
          </cell>
          <cell r="BH55">
            <v>0.08</v>
          </cell>
          <cell r="BI55">
            <v>0.1</v>
          </cell>
          <cell r="BJ55">
            <v>0.06</v>
          </cell>
          <cell r="BK55">
            <v>0.08</v>
          </cell>
          <cell r="BL55">
            <v>0.1</v>
          </cell>
          <cell r="BM55">
            <v>0.06</v>
          </cell>
          <cell r="BN55">
            <v>0.08</v>
          </cell>
          <cell r="BO55">
            <v>0.1</v>
          </cell>
          <cell r="BP55">
            <v>0.06</v>
          </cell>
          <cell r="BQ55">
            <v>0.08</v>
          </cell>
          <cell r="BR55">
            <v>0.1</v>
          </cell>
          <cell r="BS55">
            <v>0.06</v>
          </cell>
          <cell r="BT55">
            <v>0.08</v>
          </cell>
          <cell r="BU55">
            <v>0.1</v>
          </cell>
          <cell r="BV55">
            <v>0.06</v>
          </cell>
          <cell r="BW55">
            <v>0.08</v>
          </cell>
          <cell r="BX55">
            <v>0.1</v>
          </cell>
          <cell r="BY55">
            <v>0.06</v>
          </cell>
          <cell r="BZ55">
            <v>0.08</v>
          </cell>
          <cell r="CA55">
            <v>0.1</v>
          </cell>
          <cell r="CB55">
            <v>0.06</v>
          </cell>
          <cell r="CC55">
            <v>0.08</v>
          </cell>
          <cell r="CD55">
            <v>0.1</v>
          </cell>
          <cell r="CE55">
            <v>0.06</v>
          </cell>
          <cell r="CF55">
            <v>0.08</v>
          </cell>
          <cell r="CG55">
            <v>0.1</v>
          </cell>
          <cell r="CH55">
            <v>0.06</v>
          </cell>
          <cell r="CI55">
            <v>0.08</v>
          </cell>
          <cell r="CJ55">
            <v>0.1</v>
          </cell>
          <cell r="CK55">
            <v>0.06</v>
          </cell>
          <cell r="CL55">
            <v>0.08</v>
          </cell>
          <cell r="CM55">
            <v>0.1</v>
          </cell>
          <cell r="CN55">
            <v>0.06</v>
          </cell>
          <cell r="CO55">
            <v>0.08</v>
          </cell>
          <cell r="CP55">
            <v>0.1</v>
          </cell>
          <cell r="CQ55">
            <v>0.06</v>
          </cell>
          <cell r="CR55">
            <v>0.08</v>
          </cell>
          <cell r="CS55">
            <v>0.1</v>
          </cell>
          <cell r="CV55">
            <v>5.5E-2</v>
          </cell>
          <cell r="CW55">
            <v>4.4999999999999998E-2</v>
          </cell>
          <cell r="CX55">
            <v>0.03</v>
          </cell>
          <cell r="CY55">
            <v>5.5E-2</v>
          </cell>
          <cell r="CZ55">
            <v>4.4999999999999998E-2</v>
          </cell>
          <cell r="DA55">
            <v>0.03</v>
          </cell>
          <cell r="DB55">
            <v>5.5E-2</v>
          </cell>
          <cell r="DC55">
            <v>4.4999999999999998E-2</v>
          </cell>
          <cell r="DD55">
            <v>0.03</v>
          </cell>
          <cell r="DE55">
            <v>0.06</v>
          </cell>
          <cell r="DF55">
            <v>0.05</v>
          </cell>
          <cell r="DG55">
            <v>0.04</v>
          </cell>
          <cell r="DH55">
            <v>0.06</v>
          </cell>
          <cell r="DI55">
            <v>0.05</v>
          </cell>
          <cell r="DJ55">
            <v>0.04</v>
          </cell>
          <cell r="DK55">
            <v>0.06</v>
          </cell>
          <cell r="DL55">
            <v>0.05</v>
          </cell>
          <cell r="DM55">
            <v>0.04</v>
          </cell>
          <cell r="DN55">
            <v>0.06</v>
          </cell>
          <cell r="DO55">
            <v>0.05</v>
          </cell>
          <cell r="DP55">
            <v>0.04</v>
          </cell>
          <cell r="DQ55">
            <v>0.06</v>
          </cell>
          <cell r="DR55">
            <v>0.05</v>
          </cell>
          <cell r="DS55">
            <v>0.04</v>
          </cell>
          <cell r="DT55">
            <v>0.06</v>
          </cell>
          <cell r="DU55">
            <v>0.05</v>
          </cell>
          <cell r="DV55">
            <v>0.04</v>
          </cell>
          <cell r="DW55">
            <v>0.06</v>
          </cell>
          <cell r="DX55">
            <v>0.05</v>
          </cell>
          <cell r="DY55">
            <v>0.04</v>
          </cell>
          <cell r="DZ55">
            <v>0.06</v>
          </cell>
          <cell r="EA55">
            <v>0.05</v>
          </cell>
          <cell r="EB55">
            <v>0.04</v>
          </cell>
          <cell r="EC55">
            <v>0.06</v>
          </cell>
          <cell r="ED55">
            <v>0.05</v>
          </cell>
          <cell r="EE55">
            <v>0.04</v>
          </cell>
          <cell r="EG55">
            <v>3.2500000000000001E-2</v>
          </cell>
          <cell r="EH55">
            <v>3.2500000000000001E-2</v>
          </cell>
          <cell r="EI55">
            <v>3.2500000000000001E-2</v>
          </cell>
          <cell r="EJ55">
            <v>3.2500000000000001E-2</v>
          </cell>
          <cell r="EK55">
            <v>4.0000000000000008E-2</v>
          </cell>
          <cell r="EL55">
            <v>4.0000000000000008E-2</v>
          </cell>
          <cell r="EM55">
            <v>4.0000000000000008E-2</v>
          </cell>
          <cell r="EN55">
            <v>4.0000000000000008E-2</v>
          </cell>
          <cell r="EO55">
            <v>4.0000000000000008E-2</v>
          </cell>
          <cell r="EP55">
            <v>4.0000000000000008E-2</v>
          </cell>
          <cell r="EQ55">
            <v>4.0000000000000008E-2</v>
          </cell>
          <cell r="ER55">
            <v>4.0000000000000008E-2</v>
          </cell>
          <cell r="ES55">
            <v>4.0000000000000008E-2</v>
          </cell>
          <cell r="EU55">
            <v>0.08</v>
          </cell>
          <cell r="EV55">
            <v>0.08</v>
          </cell>
          <cell r="EW55">
            <v>0.08</v>
          </cell>
          <cell r="EX55">
            <v>0.08</v>
          </cell>
          <cell r="EY55">
            <v>0.08</v>
          </cell>
          <cell r="EZ55">
            <v>0.08</v>
          </cell>
          <cell r="FA55">
            <v>0.08</v>
          </cell>
          <cell r="FB55">
            <v>0.08</v>
          </cell>
          <cell r="FC55">
            <v>0.08</v>
          </cell>
          <cell r="FD55">
            <v>0.08</v>
          </cell>
          <cell r="FE55">
            <v>0.08</v>
          </cell>
          <cell r="FF55">
            <v>0.08</v>
          </cell>
          <cell r="FG55">
            <v>0.08</v>
          </cell>
        </row>
        <row r="56">
          <cell r="C56" t="str">
            <v>FIAT F2X Icon 1.2T MHEV</v>
          </cell>
          <cell r="D56" t="str">
            <v>FIAT F2X Icon 1.2T MHEV</v>
          </cell>
          <cell r="G56">
            <v>0.05</v>
          </cell>
          <cell r="H56">
            <v>0.05</v>
          </cell>
          <cell r="I56">
            <v>0.05</v>
          </cell>
          <cell r="J56">
            <v>0.05</v>
          </cell>
          <cell r="K56">
            <v>0.05</v>
          </cell>
          <cell r="L56">
            <v>0.05</v>
          </cell>
          <cell r="M56">
            <v>0.05</v>
          </cell>
          <cell r="N56">
            <v>0.05</v>
          </cell>
          <cell r="O56">
            <v>0.05</v>
          </cell>
          <cell r="P56">
            <v>0.05</v>
          </cell>
          <cell r="Q56">
            <v>0.05</v>
          </cell>
          <cell r="R56">
            <v>0.05</v>
          </cell>
          <cell r="U56">
            <v>0.5</v>
          </cell>
          <cell r="V56">
            <v>0</v>
          </cell>
          <cell r="W56">
            <v>0.5</v>
          </cell>
          <cell r="X56">
            <v>0.5</v>
          </cell>
          <cell r="Y56">
            <v>0</v>
          </cell>
          <cell r="Z56">
            <v>0.5</v>
          </cell>
          <cell r="AA56">
            <v>0.5</v>
          </cell>
          <cell r="AB56">
            <v>0</v>
          </cell>
          <cell r="AC56">
            <v>0.5</v>
          </cell>
          <cell r="AD56">
            <v>0.5</v>
          </cell>
          <cell r="AE56">
            <v>0</v>
          </cell>
          <cell r="AF56">
            <v>0.5</v>
          </cell>
          <cell r="AG56">
            <v>0.5</v>
          </cell>
          <cell r="AH56">
            <v>0</v>
          </cell>
          <cell r="AI56">
            <v>0.5</v>
          </cell>
          <cell r="AJ56">
            <v>0.5</v>
          </cell>
          <cell r="AK56">
            <v>0</v>
          </cell>
          <cell r="AL56">
            <v>0.5</v>
          </cell>
          <cell r="AM56">
            <v>0.5</v>
          </cell>
          <cell r="AN56">
            <v>0</v>
          </cell>
          <cell r="AO56">
            <v>0.5</v>
          </cell>
          <cell r="AP56">
            <v>0.5</v>
          </cell>
          <cell r="AQ56">
            <v>0</v>
          </cell>
          <cell r="AR56">
            <v>0.5</v>
          </cell>
          <cell r="AS56">
            <v>0.5</v>
          </cell>
          <cell r="AT56">
            <v>0</v>
          </cell>
          <cell r="AU56">
            <v>0.5</v>
          </cell>
          <cell r="AV56">
            <v>0.5</v>
          </cell>
          <cell r="AW56">
            <v>0</v>
          </cell>
          <cell r="AX56">
            <v>0.5</v>
          </cell>
          <cell r="AY56">
            <v>0.5</v>
          </cell>
          <cell r="AZ56">
            <v>0</v>
          </cell>
          <cell r="BA56">
            <v>0.5</v>
          </cell>
          <cell r="BB56">
            <v>0.5</v>
          </cell>
          <cell r="BC56">
            <v>0</v>
          </cell>
          <cell r="BD56">
            <v>0.5</v>
          </cell>
          <cell r="BG56">
            <v>0.06</v>
          </cell>
          <cell r="BH56">
            <v>0.08</v>
          </cell>
          <cell r="BI56">
            <v>0.1</v>
          </cell>
          <cell r="BJ56">
            <v>0.06</v>
          </cell>
          <cell r="BK56">
            <v>0.08</v>
          </cell>
          <cell r="BL56">
            <v>0.1</v>
          </cell>
          <cell r="BM56">
            <v>0.06</v>
          </cell>
          <cell r="BN56">
            <v>0.08</v>
          </cell>
          <cell r="BO56">
            <v>0.1</v>
          </cell>
          <cell r="BP56">
            <v>0.06</v>
          </cell>
          <cell r="BQ56">
            <v>0.08</v>
          </cell>
          <cell r="BR56">
            <v>0.1</v>
          </cell>
          <cell r="BS56">
            <v>0.06</v>
          </cell>
          <cell r="BT56">
            <v>0.08</v>
          </cell>
          <cell r="BU56">
            <v>0.1</v>
          </cell>
          <cell r="BV56">
            <v>0.06</v>
          </cell>
          <cell r="BW56">
            <v>0.08</v>
          </cell>
          <cell r="BX56">
            <v>0.1</v>
          </cell>
          <cell r="BY56">
            <v>0.06</v>
          </cell>
          <cell r="BZ56">
            <v>0.08</v>
          </cell>
          <cell r="CA56">
            <v>0.1</v>
          </cell>
          <cell r="CB56">
            <v>0.06</v>
          </cell>
          <cell r="CC56">
            <v>0.08</v>
          </cell>
          <cell r="CD56">
            <v>0.1</v>
          </cell>
          <cell r="CE56">
            <v>0.06</v>
          </cell>
          <cell r="CF56">
            <v>0.08</v>
          </cell>
          <cell r="CG56">
            <v>0.1</v>
          </cell>
          <cell r="CH56">
            <v>0.06</v>
          </cell>
          <cell r="CI56">
            <v>0.08</v>
          </cell>
          <cell r="CJ56">
            <v>0.1</v>
          </cell>
          <cell r="CK56">
            <v>0.06</v>
          </cell>
          <cell r="CL56">
            <v>0.08</v>
          </cell>
          <cell r="CM56">
            <v>0.1</v>
          </cell>
          <cell r="CN56">
            <v>0.06</v>
          </cell>
          <cell r="CO56">
            <v>0.08</v>
          </cell>
          <cell r="CP56">
            <v>0.1</v>
          </cell>
          <cell r="CQ56">
            <v>0.06</v>
          </cell>
          <cell r="CR56">
            <v>0.08</v>
          </cell>
          <cell r="CS56">
            <v>0.1</v>
          </cell>
          <cell r="CV56">
            <v>5.5E-2</v>
          </cell>
          <cell r="CW56">
            <v>4.4999999999999998E-2</v>
          </cell>
          <cell r="CX56">
            <v>0.03</v>
          </cell>
          <cell r="CY56">
            <v>5.5E-2</v>
          </cell>
          <cell r="CZ56">
            <v>4.4999999999999998E-2</v>
          </cell>
          <cell r="DA56">
            <v>0.03</v>
          </cell>
          <cell r="DB56">
            <v>5.5E-2</v>
          </cell>
          <cell r="DC56">
            <v>4.4999999999999998E-2</v>
          </cell>
          <cell r="DD56">
            <v>0.03</v>
          </cell>
          <cell r="DE56">
            <v>0.06</v>
          </cell>
          <cell r="DF56">
            <v>0.05</v>
          </cell>
          <cell r="DG56">
            <v>0.04</v>
          </cell>
          <cell r="DH56">
            <v>0.06</v>
          </cell>
          <cell r="DI56">
            <v>0.05</v>
          </cell>
          <cell r="DJ56">
            <v>0.04</v>
          </cell>
          <cell r="DK56">
            <v>0.06</v>
          </cell>
          <cell r="DL56">
            <v>0.05</v>
          </cell>
          <cell r="DM56">
            <v>0.04</v>
          </cell>
          <cell r="DN56">
            <v>0.06</v>
          </cell>
          <cell r="DO56">
            <v>0.05</v>
          </cell>
          <cell r="DP56">
            <v>0.04</v>
          </cell>
          <cell r="DQ56">
            <v>0.06</v>
          </cell>
          <cell r="DR56">
            <v>0.05</v>
          </cell>
          <cell r="DS56">
            <v>0.04</v>
          </cell>
          <cell r="DT56">
            <v>0.06</v>
          </cell>
          <cell r="DU56">
            <v>0.05</v>
          </cell>
          <cell r="DV56">
            <v>0.04</v>
          </cell>
          <cell r="DW56">
            <v>0.06</v>
          </cell>
          <cell r="DX56">
            <v>0.05</v>
          </cell>
          <cell r="DY56">
            <v>0.04</v>
          </cell>
          <cell r="DZ56">
            <v>0.06</v>
          </cell>
          <cell r="EA56">
            <v>0.05</v>
          </cell>
          <cell r="EB56">
            <v>0.04</v>
          </cell>
          <cell r="EC56">
            <v>0.06</v>
          </cell>
          <cell r="ED56">
            <v>0.05</v>
          </cell>
          <cell r="EE56">
            <v>0.04</v>
          </cell>
          <cell r="EG56">
            <v>3.2500000000000001E-2</v>
          </cell>
          <cell r="EH56">
            <v>3.2500000000000001E-2</v>
          </cell>
          <cell r="EI56">
            <v>3.2500000000000001E-2</v>
          </cell>
          <cell r="EJ56">
            <v>3.2500000000000001E-2</v>
          </cell>
          <cell r="EK56">
            <v>4.0000000000000008E-2</v>
          </cell>
          <cell r="EL56">
            <v>4.0000000000000008E-2</v>
          </cell>
          <cell r="EM56">
            <v>4.0000000000000008E-2</v>
          </cell>
          <cell r="EN56">
            <v>4.0000000000000008E-2</v>
          </cell>
          <cell r="EO56">
            <v>4.0000000000000008E-2</v>
          </cell>
          <cell r="EP56">
            <v>4.0000000000000008E-2</v>
          </cell>
          <cell r="EQ56">
            <v>4.0000000000000008E-2</v>
          </cell>
          <cell r="ER56">
            <v>4.0000000000000008E-2</v>
          </cell>
          <cell r="ES56">
            <v>4.0000000000000008E-2</v>
          </cell>
          <cell r="EU56">
            <v>0.08</v>
          </cell>
          <cell r="EV56">
            <v>0.08</v>
          </cell>
          <cell r="EW56">
            <v>0.08</v>
          </cell>
          <cell r="EX56">
            <v>0.08</v>
          </cell>
          <cell r="EY56">
            <v>0.08</v>
          </cell>
          <cell r="EZ56">
            <v>0.08</v>
          </cell>
          <cell r="FA56">
            <v>0.08</v>
          </cell>
          <cell r="FB56">
            <v>0.08</v>
          </cell>
          <cell r="FC56">
            <v>0.08</v>
          </cell>
          <cell r="FD56">
            <v>0.08</v>
          </cell>
          <cell r="FE56">
            <v>0.08</v>
          </cell>
          <cell r="FF56">
            <v>0.08</v>
          </cell>
          <cell r="FG56">
            <v>0.08</v>
          </cell>
        </row>
        <row r="57">
          <cell r="C57" t="str">
            <v>FIAT F2X La Prima 1.2T MHEV</v>
          </cell>
          <cell r="D57" t="str">
            <v>FIAT F2X La Prima 1.2T MHEV</v>
          </cell>
          <cell r="G57">
            <v>0.05</v>
          </cell>
          <cell r="H57">
            <v>0.05</v>
          </cell>
          <cell r="I57">
            <v>0.05</v>
          </cell>
          <cell r="J57">
            <v>0.05</v>
          </cell>
          <cell r="K57">
            <v>0.05</v>
          </cell>
          <cell r="L57">
            <v>0.05</v>
          </cell>
          <cell r="M57">
            <v>0.05</v>
          </cell>
          <cell r="N57">
            <v>0.05</v>
          </cell>
          <cell r="O57">
            <v>0.05</v>
          </cell>
          <cell r="P57">
            <v>0.05</v>
          </cell>
          <cell r="Q57">
            <v>0.05</v>
          </cell>
          <cell r="R57">
            <v>0.05</v>
          </cell>
          <cell r="U57">
            <v>0.5</v>
          </cell>
          <cell r="V57">
            <v>0</v>
          </cell>
          <cell r="W57">
            <v>0.5</v>
          </cell>
          <cell r="X57">
            <v>0.5</v>
          </cell>
          <cell r="Y57">
            <v>0</v>
          </cell>
          <cell r="Z57">
            <v>0.5</v>
          </cell>
          <cell r="AA57">
            <v>0.5</v>
          </cell>
          <cell r="AB57">
            <v>0</v>
          </cell>
          <cell r="AC57">
            <v>0.5</v>
          </cell>
          <cell r="AD57">
            <v>0.5</v>
          </cell>
          <cell r="AE57">
            <v>0</v>
          </cell>
          <cell r="AF57">
            <v>0.5</v>
          </cell>
          <cell r="AG57">
            <v>0.5</v>
          </cell>
          <cell r="AH57">
            <v>0</v>
          </cell>
          <cell r="AI57">
            <v>0.5</v>
          </cell>
          <cell r="AJ57">
            <v>0.5</v>
          </cell>
          <cell r="AK57">
            <v>0</v>
          </cell>
          <cell r="AL57">
            <v>0.5</v>
          </cell>
          <cell r="AM57">
            <v>0.5</v>
          </cell>
          <cell r="AN57">
            <v>0</v>
          </cell>
          <cell r="AO57">
            <v>0.5</v>
          </cell>
          <cell r="AP57">
            <v>0.5</v>
          </cell>
          <cell r="AQ57">
            <v>0</v>
          </cell>
          <cell r="AR57">
            <v>0.5</v>
          </cell>
          <cell r="AS57">
            <v>0.5</v>
          </cell>
          <cell r="AT57">
            <v>0</v>
          </cell>
          <cell r="AU57">
            <v>0.5</v>
          </cell>
          <cell r="AV57">
            <v>0.5</v>
          </cell>
          <cell r="AW57">
            <v>0</v>
          </cell>
          <cell r="AX57">
            <v>0.5</v>
          </cell>
          <cell r="AY57">
            <v>0.5</v>
          </cell>
          <cell r="AZ57">
            <v>0</v>
          </cell>
          <cell r="BA57">
            <v>0.5</v>
          </cell>
          <cell r="BB57">
            <v>0.5</v>
          </cell>
          <cell r="BC57">
            <v>0</v>
          </cell>
          <cell r="BD57">
            <v>0.5</v>
          </cell>
          <cell r="BG57">
            <v>0.06</v>
          </cell>
          <cell r="BH57">
            <v>0.08</v>
          </cell>
          <cell r="BI57">
            <v>0.1</v>
          </cell>
          <cell r="BJ57">
            <v>0.06</v>
          </cell>
          <cell r="BK57">
            <v>0.08</v>
          </cell>
          <cell r="BL57">
            <v>0.1</v>
          </cell>
          <cell r="BM57">
            <v>0.06</v>
          </cell>
          <cell r="BN57">
            <v>0.08</v>
          </cell>
          <cell r="BO57">
            <v>0.1</v>
          </cell>
          <cell r="BP57">
            <v>0.06</v>
          </cell>
          <cell r="BQ57">
            <v>0.08</v>
          </cell>
          <cell r="BR57">
            <v>0.1</v>
          </cell>
          <cell r="BS57">
            <v>0.06</v>
          </cell>
          <cell r="BT57">
            <v>0.08</v>
          </cell>
          <cell r="BU57">
            <v>0.1</v>
          </cell>
          <cell r="BV57">
            <v>0.06</v>
          </cell>
          <cell r="BW57">
            <v>0.08</v>
          </cell>
          <cell r="BX57">
            <v>0.1</v>
          </cell>
          <cell r="BY57">
            <v>0.06</v>
          </cell>
          <cell r="BZ57">
            <v>0.08</v>
          </cell>
          <cell r="CA57">
            <v>0.1</v>
          </cell>
          <cell r="CB57">
            <v>0.06</v>
          </cell>
          <cell r="CC57">
            <v>0.08</v>
          </cell>
          <cell r="CD57">
            <v>0.1</v>
          </cell>
          <cell r="CE57">
            <v>0.06</v>
          </cell>
          <cell r="CF57">
            <v>0.08</v>
          </cell>
          <cell r="CG57">
            <v>0.1</v>
          </cell>
          <cell r="CH57">
            <v>0.06</v>
          </cell>
          <cell r="CI57">
            <v>0.08</v>
          </cell>
          <cell r="CJ57">
            <v>0.1</v>
          </cell>
          <cell r="CK57">
            <v>0.06</v>
          </cell>
          <cell r="CL57">
            <v>0.08</v>
          </cell>
          <cell r="CM57">
            <v>0.1</v>
          </cell>
          <cell r="CN57">
            <v>0.06</v>
          </cell>
          <cell r="CO57">
            <v>0.08</v>
          </cell>
          <cell r="CP57">
            <v>0.1</v>
          </cell>
          <cell r="CQ57">
            <v>0.06</v>
          </cell>
          <cell r="CR57">
            <v>0.08</v>
          </cell>
          <cell r="CS57">
            <v>0.1</v>
          </cell>
          <cell r="CV57">
            <v>5.5E-2</v>
          </cell>
          <cell r="CW57">
            <v>4.4999999999999998E-2</v>
          </cell>
          <cell r="CX57">
            <v>0.03</v>
          </cell>
          <cell r="CY57">
            <v>5.5E-2</v>
          </cell>
          <cell r="CZ57">
            <v>4.4999999999999998E-2</v>
          </cell>
          <cell r="DA57">
            <v>0.03</v>
          </cell>
          <cell r="DB57">
            <v>5.5E-2</v>
          </cell>
          <cell r="DC57">
            <v>4.4999999999999998E-2</v>
          </cell>
          <cell r="DD57">
            <v>0.03</v>
          </cell>
          <cell r="DE57">
            <v>0.06</v>
          </cell>
          <cell r="DF57">
            <v>0.05</v>
          </cell>
          <cell r="DG57">
            <v>0.04</v>
          </cell>
          <cell r="DH57">
            <v>0.06</v>
          </cell>
          <cell r="DI57">
            <v>0.05</v>
          </cell>
          <cell r="DJ57">
            <v>0.04</v>
          </cell>
          <cell r="DK57">
            <v>0.06</v>
          </cell>
          <cell r="DL57">
            <v>0.05</v>
          </cell>
          <cell r="DM57">
            <v>0.04</v>
          </cell>
          <cell r="DN57">
            <v>0.06</v>
          </cell>
          <cell r="DO57">
            <v>0.05</v>
          </cell>
          <cell r="DP57">
            <v>0.04</v>
          </cell>
          <cell r="DQ57">
            <v>0.06</v>
          </cell>
          <cell r="DR57">
            <v>0.05</v>
          </cell>
          <cell r="DS57">
            <v>0.04</v>
          </cell>
          <cell r="DT57">
            <v>0.06</v>
          </cell>
          <cell r="DU57">
            <v>0.05</v>
          </cell>
          <cell r="DV57">
            <v>0.04</v>
          </cell>
          <cell r="DW57">
            <v>0.06</v>
          </cell>
          <cell r="DX57">
            <v>0.05</v>
          </cell>
          <cell r="DY57">
            <v>0.04</v>
          </cell>
          <cell r="DZ57">
            <v>0.06</v>
          </cell>
          <cell r="EA57">
            <v>0.05</v>
          </cell>
          <cell r="EB57">
            <v>0.04</v>
          </cell>
          <cell r="EC57">
            <v>0.06</v>
          </cell>
          <cell r="ED57">
            <v>0.05</v>
          </cell>
          <cell r="EE57">
            <v>0.04</v>
          </cell>
          <cell r="EG57">
            <v>3.2500000000000001E-2</v>
          </cell>
          <cell r="EH57">
            <v>3.2500000000000001E-2</v>
          </cell>
          <cell r="EI57">
            <v>3.2500000000000001E-2</v>
          </cell>
          <cell r="EJ57">
            <v>3.2500000000000001E-2</v>
          </cell>
          <cell r="EK57">
            <v>4.0000000000000008E-2</v>
          </cell>
          <cell r="EL57">
            <v>4.0000000000000008E-2</v>
          </cell>
          <cell r="EM57">
            <v>4.0000000000000008E-2</v>
          </cell>
          <cell r="EN57">
            <v>4.0000000000000008E-2</v>
          </cell>
          <cell r="EO57">
            <v>4.0000000000000008E-2</v>
          </cell>
          <cell r="EP57">
            <v>4.0000000000000008E-2</v>
          </cell>
          <cell r="EQ57">
            <v>4.0000000000000008E-2</v>
          </cell>
          <cell r="ER57">
            <v>4.0000000000000008E-2</v>
          </cell>
          <cell r="ES57">
            <v>4.0000000000000008E-2</v>
          </cell>
          <cell r="EU57">
            <v>0.08</v>
          </cell>
          <cell r="EV57">
            <v>0.08</v>
          </cell>
          <cell r="EW57">
            <v>0.08</v>
          </cell>
          <cell r="EX57">
            <v>0.08</v>
          </cell>
          <cell r="EY57">
            <v>0.08</v>
          </cell>
          <cell r="EZ57">
            <v>0.08</v>
          </cell>
          <cell r="FA57">
            <v>0.08</v>
          </cell>
          <cell r="FB57">
            <v>0.08</v>
          </cell>
          <cell r="FC57">
            <v>0.08</v>
          </cell>
          <cell r="FD57">
            <v>0.08</v>
          </cell>
          <cell r="FE57">
            <v>0.08</v>
          </cell>
          <cell r="FF57">
            <v>0.08</v>
          </cell>
          <cell r="FG57">
            <v>0.08</v>
          </cell>
        </row>
        <row r="58">
          <cell r="D58" t="str">
            <v/>
          </cell>
          <cell r="G58">
            <v>0.05</v>
          </cell>
          <cell r="H58">
            <v>0.05</v>
          </cell>
          <cell r="I58">
            <v>0.05</v>
          </cell>
          <cell r="J58">
            <v>0.05</v>
          </cell>
          <cell r="K58">
            <v>0.05</v>
          </cell>
          <cell r="L58">
            <v>0.05</v>
          </cell>
          <cell r="M58">
            <v>0.05</v>
          </cell>
          <cell r="N58">
            <v>0.05</v>
          </cell>
          <cell r="O58">
            <v>0.05</v>
          </cell>
          <cell r="P58">
            <v>0.05</v>
          </cell>
          <cell r="Q58">
            <v>0.05</v>
          </cell>
          <cell r="R58">
            <v>0.05</v>
          </cell>
          <cell r="U58">
            <v>0.5</v>
          </cell>
          <cell r="V58">
            <v>0</v>
          </cell>
          <cell r="W58">
            <v>0.5</v>
          </cell>
          <cell r="X58">
            <v>0.5</v>
          </cell>
          <cell r="Y58">
            <v>0</v>
          </cell>
          <cell r="Z58">
            <v>0.5</v>
          </cell>
          <cell r="AA58">
            <v>0.5</v>
          </cell>
          <cell r="AB58">
            <v>0</v>
          </cell>
          <cell r="AC58">
            <v>0.5</v>
          </cell>
          <cell r="AD58">
            <v>0.5</v>
          </cell>
          <cell r="AE58">
            <v>0</v>
          </cell>
          <cell r="AF58">
            <v>0.5</v>
          </cell>
          <cell r="AG58">
            <v>0.5</v>
          </cell>
          <cell r="AH58">
            <v>0</v>
          </cell>
          <cell r="AI58">
            <v>0.5</v>
          </cell>
          <cell r="AJ58">
            <v>0.5</v>
          </cell>
          <cell r="AK58">
            <v>0</v>
          </cell>
          <cell r="AL58">
            <v>0.5</v>
          </cell>
          <cell r="AM58">
            <v>0.5</v>
          </cell>
          <cell r="AN58">
            <v>0</v>
          </cell>
          <cell r="AO58">
            <v>0.5</v>
          </cell>
          <cell r="AP58">
            <v>0.5</v>
          </cell>
          <cell r="AQ58">
            <v>0</v>
          </cell>
          <cell r="AR58">
            <v>0.5</v>
          </cell>
          <cell r="AS58">
            <v>0.5</v>
          </cell>
          <cell r="AT58">
            <v>0</v>
          </cell>
          <cell r="AU58">
            <v>0.5</v>
          </cell>
          <cell r="AV58">
            <v>0.5</v>
          </cell>
          <cell r="AW58">
            <v>0</v>
          </cell>
          <cell r="AX58">
            <v>0.5</v>
          </cell>
          <cell r="AY58">
            <v>0.5</v>
          </cell>
          <cell r="AZ58">
            <v>0</v>
          </cell>
          <cell r="BA58">
            <v>0.5</v>
          </cell>
          <cell r="BB58">
            <v>0.5</v>
          </cell>
          <cell r="BC58">
            <v>0</v>
          </cell>
          <cell r="BD58">
            <v>0.5</v>
          </cell>
          <cell r="BG58">
            <v>0.06</v>
          </cell>
          <cell r="BH58">
            <v>0.08</v>
          </cell>
          <cell r="BI58">
            <v>0.1</v>
          </cell>
          <cell r="BJ58">
            <v>0.06</v>
          </cell>
          <cell r="BK58">
            <v>0.08</v>
          </cell>
          <cell r="BL58">
            <v>0.1</v>
          </cell>
          <cell r="BM58">
            <v>0.06</v>
          </cell>
          <cell r="BN58">
            <v>0.08</v>
          </cell>
          <cell r="BO58">
            <v>0.1</v>
          </cell>
          <cell r="BP58">
            <v>0.06</v>
          </cell>
          <cell r="BQ58">
            <v>0.08</v>
          </cell>
          <cell r="BR58">
            <v>0.1</v>
          </cell>
          <cell r="BS58">
            <v>0.06</v>
          </cell>
          <cell r="BT58">
            <v>0.08</v>
          </cell>
          <cell r="BU58">
            <v>0.1</v>
          </cell>
          <cell r="BV58">
            <v>0.06</v>
          </cell>
          <cell r="BW58">
            <v>0.08</v>
          </cell>
          <cell r="BX58">
            <v>0.1</v>
          </cell>
          <cell r="BY58">
            <v>0.06</v>
          </cell>
          <cell r="BZ58">
            <v>0.08</v>
          </cell>
          <cell r="CA58">
            <v>0.1</v>
          </cell>
          <cell r="CB58">
            <v>0.06</v>
          </cell>
          <cell r="CC58">
            <v>0.08</v>
          </cell>
          <cell r="CD58">
            <v>0.1</v>
          </cell>
          <cell r="CE58">
            <v>0.06</v>
          </cell>
          <cell r="CF58">
            <v>0.08</v>
          </cell>
          <cell r="CG58">
            <v>0.1</v>
          </cell>
          <cell r="CH58">
            <v>0.06</v>
          </cell>
          <cell r="CI58">
            <v>0.08</v>
          </cell>
          <cell r="CJ58">
            <v>0.1</v>
          </cell>
          <cell r="CK58">
            <v>0.06</v>
          </cell>
          <cell r="CL58">
            <v>0.08</v>
          </cell>
          <cell r="CM58">
            <v>0.1</v>
          </cell>
          <cell r="CN58">
            <v>0.06</v>
          </cell>
          <cell r="CO58">
            <v>0.08</v>
          </cell>
          <cell r="CP58">
            <v>0.1</v>
          </cell>
          <cell r="CQ58">
            <v>0.06</v>
          </cell>
          <cell r="CR58">
            <v>0.08</v>
          </cell>
          <cell r="CS58">
            <v>0.1</v>
          </cell>
          <cell r="CV58">
            <v>5.5E-2</v>
          </cell>
          <cell r="CW58">
            <v>4.4999999999999998E-2</v>
          </cell>
          <cell r="CX58">
            <v>0.03</v>
          </cell>
          <cell r="CY58">
            <v>5.5E-2</v>
          </cell>
          <cell r="CZ58">
            <v>4.4999999999999998E-2</v>
          </cell>
          <cell r="DA58">
            <v>0.03</v>
          </cell>
          <cell r="DB58">
            <v>5.5E-2</v>
          </cell>
          <cell r="DC58">
            <v>4.4999999999999998E-2</v>
          </cell>
          <cell r="DD58">
            <v>0.03</v>
          </cell>
          <cell r="DE58">
            <v>0.06</v>
          </cell>
          <cell r="DF58">
            <v>0.05</v>
          </cell>
          <cell r="DG58">
            <v>0.04</v>
          </cell>
          <cell r="DH58">
            <v>0.06</v>
          </cell>
          <cell r="DI58">
            <v>0.05</v>
          </cell>
          <cell r="DJ58">
            <v>0.04</v>
          </cell>
          <cell r="DK58">
            <v>0.06</v>
          </cell>
          <cell r="DL58">
            <v>0.05</v>
          </cell>
          <cell r="DM58">
            <v>0.04</v>
          </cell>
          <cell r="DN58">
            <v>0.06</v>
          </cell>
          <cell r="DO58">
            <v>0.05</v>
          </cell>
          <cell r="DP58">
            <v>0.04</v>
          </cell>
          <cell r="DQ58">
            <v>0.06</v>
          </cell>
          <cell r="DR58">
            <v>0.05</v>
          </cell>
          <cell r="DS58">
            <v>0.04</v>
          </cell>
          <cell r="DT58">
            <v>0.06</v>
          </cell>
          <cell r="DU58">
            <v>0.05</v>
          </cell>
          <cell r="DV58">
            <v>0.04</v>
          </cell>
          <cell r="DW58">
            <v>0.06</v>
          </cell>
          <cell r="DX58">
            <v>0.05</v>
          </cell>
          <cell r="DY58">
            <v>0.04</v>
          </cell>
          <cell r="DZ58">
            <v>0.06</v>
          </cell>
          <cell r="EA58">
            <v>0.05</v>
          </cell>
          <cell r="EB58">
            <v>0.04</v>
          </cell>
          <cell r="EC58">
            <v>0.06</v>
          </cell>
          <cell r="ED58">
            <v>0.05</v>
          </cell>
          <cell r="EE58">
            <v>0.04</v>
          </cell>
          <cell r="EG58">
            <v>3.2500000000000001E-2</v>
          </cell>
          <cell r="EH58">
            <v>3.2500000000000001E-2</v>
          </cell>
          <cell r="EI58">
            <v>3.2500000000000001E-2</v>
          </cell>
          <cell r="EJ58">
            <v>3.2500000000000001E-2</v>
          </cell>
          <cell r="EK58">
            <v>4.0000000000000008E-2</v>
          </cell>
          <cell r="EL58">
            <v>4.0000000000000008E-2</v>
          </cell>
          <cell r="EM58">
            <v>4.0000000000000008E-2</v>
          </cell>
          <cell r="EN58">
            <v>4.0000000000000008E-2</v>
          </cell>
          <cell r="EO58">
            <v>4.0000000000000008E-2</v>
          </cell>
          <cell r="EP58">
            <v>4.0000000000000008E-2</v>
          </cell>
          <cell r="EQ58">
            <v>4.0000000000000008E-2</v>
          </cell>
          <cell r="ER58">
            <v>4.0000000000000008E-2</v>
          </cell>
          <cell r="ES58">
            <v>4.0000000000000008E-2</v>
          </cell>
          <cell r="EU58">
            <v>0.08</v>
          </cell>
          <cell r="EV58">
            <v>0.08</v>
          </cell>
          <cell r="EW58">
            <v>0.08</v>
          </cell>
          <cell r="EX58">
            <v>0.08</v>
          </cell>
          <cell r="EY58">
            <v>0.08</v>
          </cell>
          <cell r="EZ58">
            <v>0.08</v>
          </cell>
          <cell r="FA58">
            <v>0.08</v>
          </cell>
          <cell r="FB58">
            <v>0.08</v>
          </cell>
          <cell r="FC58">
            <v>0.08</v>
          </cell>
          <cell r="FD58">
            <v>0.08</v>
          </cell>
          <cell r="FE58">
            <v>0.08</v>
          </cell>
          <cell r="FF58">
            <v>0.08</v>
          </cell>
          <cell r="FG58">
            <v>0.08</v>
          </cell>
        </row>
        <row r="59">
          <cell r="C59" t="str">
            <v>FIAT F2X Icon 1.2T MT</v>
          </cell>
          <cell r="D59" t="str">
            <v>FIAT F2X Icon 1.2T MT</v>
          </cell>
          <cell r="G59">
            <v>0.05</v>
          </cell>
          <cell r="H59">
            <v>0.05</v>
          </cell>
          <cell r="I59">
            <v>0.05</v>
          </cell>
          <cell r="J59">
            <v>0.05</v>
          </cell>
          <cell r="K59">
            <v>0.05</v>
          </cell>
          <cell r="L59">
            <v>0.05</v>
          </cell>
          <cell r="M59">
            <v>0.05</v>
          </cell>
          <cell r="N59">
            <v>0.05</v>
          </cell>
          <cell r="O59">
            <v>0.05</v>
          </cell>
          <cell r="P59">
            <v>0.05</v>
          </cell>
          <cell r="Q59">
            <v>0.05</v>
          </cell>
          <cell r="R59">
            <v>0.05</v>
          </cell>
          <cell r="U59">
            <v>0.5</v>
          </cell>
          <cell r="V59">
            <v>0</v>
          </cell>
          <cell r="W59">
            <v>0.5</v>
          </cell>
          <cell r="X59">
            <v>0.5</v>
          </cell>
          <cell r="Y59">
            <v>0</v>
          </cell>
          <cell r="Z59">
            <v>0.5</v>
          </cell>
          <cell r="AA59">
            <v>0.5</v>
          </cell>
          <cell r="AB59">
            <v>0</v>
          </cell>
          <cell r="AC59">
            <v>0.5</v>
          </cell>
          <cell r="AD59">
            <v>0.5</v>
          </cell>
          <cell r="AE59">
            <v>0</v>
          </cell>
          <cell r="AF59">
            <v>0.5</v>
          </cell>
          <cell r="AG59">
            <v>0.5</v>
          </cell>
          <cell r="AH59">
            <v>0</v>
          </cell>
          <cell r="AI59">
            <v>0.5</v>
          </cell>
          <cell r="AJ59">
            <v>0.5</v>
          </cell>
          <cell r="AK59">
            <v>0</v>
          </cell>
          <cell r="AL59">
            <v>0.5</v>
          </cell>
          <cell r="AM59">
            <v>0.5</v>
          </cell>
          <cell r="AN59">
            <v>0</v>
          </cell>
          <cell r="AO59">
            <v>0.5</v>
          </cell>
          <cell r="AP59">
            <v>0.5</v>
          </cell>
          <cell r="AQ59">
            <v>0</v>
          </cell>
          <cell r="AR59">
            <v>0.5</v>
          </cell>
          <cell r="AS59">
            <v>0.5</v>
          </cell>
          <cell r="AT59">
            <v>0</v>
          </cell>
          <cell r="AU59">
            <v>0.5</v>
          </cell>
          <cell r="AV59">
            <v>0.5</v>
          </cell>
          <cell r="AW59">
            <v>0</v>
          </cell>
          <cell r="AX59">
            <v>0.5</v>
          </cell>
          <cell r="AY59">
            <v>0.5</v>
          </cell>
          <cell r="AZ59">
            <v>0</v>
          </cell>
          <cell r="BA59">
            <v>0.5</v>
          </cell>
          <cell r="BB59">
            <v>0.5</v>
          </cell>
          <cell r="BC59">
            <v>0</v>
          </cell>
          <cell r="BD59">
            <v>0.5</v>
          </cell>
          <cell r="BG59">
            <v>0.06</v>
          </cell>
          <cell r="BH59">
            <v>0.08</v>
          </cell>
          <cell r="BI59">
            <v>0.1</v>
          </cell>
          <cell r="BJ59">
            <v>0.06</v>
          </cell>
          <cell r="BK59">
            <v>0.08</v>
          </cell>
          <cell r="BL59">
            <v>0.1</v>
          </cell>
          <cell r="BM59">
            <v>0.06</v>
          </cell>
          <cell r="BN59">
            <v>0.08</v>
          </cell>
          <cell r="BO59">
            <v>0.1</v>
          </cell>
          <cell r="BP59">
            <v>0.06</v>
          </cell>
          <cell r="BQ59">
            <v>0.08</v>
          </cell>
          <cell r="BR59">
            <v>0.1</v>
          </cell>
          <cell r="BS59">
            <v>0.06</v>
          </cell>
          <cell r="BT59">
            <v>0.08</v>
          </cell>
          <cell r="BU59">
            <v>0.1</v>
          </cell>
          <cell r="BV59">
            <v>0.06</v>
          </cell>
          <cell r="BW59">
            <v>0.08</v>
          </cell>
          <cell r="BX59">
            <v>0.1</v>
          </cell>
          <cell r="BY59">
            <v>0.06</v>
          </cell>
          <cell r="BZ59">
            <v>0.08</v>
          </cell>
          <cell r="CA59">
            <v>0.1</v>
          </cell>
          <cell r="CB59">
            <v>0.06</v>
          </cell>
          <cell r="CC59">
            <v>0.08</v>
          </cell>
          <cell r="CD59">
            <v>0.1</v>
          </cell>
          <cell r="CE59">
            <v>0.06</v>
          </cell>
          <cell r="CF59">
            <v>0.08</v>
          </cell>
          <cell r="CG59">
            <v>0.1</v>
          </cell>
          <cell r="CH59">
            <v>0.06</v>
          </cell>
          <cell r="CI59">
            <v>0.08</v>
          </cell>
          <cell r="CJ59">
            <v>0.1</v>
          </cell>
          <cell r="CK59">
            <v>0.06</v>
          </cell>
          <cell r="CL59">
            <v>0.08</v>
          </cell>
          <cell r="CM59">
            <v>0.1</v>
          </cell>
          <cell r="CN59">
            <v>0.06</v>
          </cell>
          <cell r="CO59">
            <v>0.08</v>
          </cell>
          <cell r="CP59">
            <v>0.1</v>
          </cell>
          <cell r="CQ59">
            <v>0.06</v>
          </cell>
          <cell r="CR59">
            <v>0.08</v>
          </cell>
          <cell r="CS59">
            <v>0.1</v>
          </cell>
          <cell r="CV59">
            <v>5.5E-2</v>
          </cell>
          <cell r="CW59">
            <v>4.4999999999999998E-2</v>
          </cell>
          <cell r="CX59">
            <v>0.03</v>
          </cell>
          <cell r="CY59">
            <v>5.5E-2</v>
          </cell>
          <cell r="CZ59">
            <v>4.4999999999999998E-2</v>
          </cell>
          <cell r="DA59">
            <v>0.03</v>
          </cell>
          <cell r="DB59">
            <v>5.5E-2</v>
          </cell>
          <cell r="DC59">
            <v>4.4999999999999998E-2</v>
          </cell>
          <cell r="DD59">
            <v>0.03</v>
          </cell>
          <cell r="DE59">
            <v>0.06</v>
          </cell>
          <cell r="DF59">
            <v>0.05</v>
          </cell>
          <cell r="DG59">
            <v>0.04</v>
          </cell>
          <cell r="DH59">
            <v>0.06</v>
          </cell>
          <cell r="DI59">
            <v>0.05</v>
          </cell>
          <cell r="DJ59">
            <v>0.04</v>
          </cell>
          <cell r="DK59">
            <v>0.06</v>
          </cell>
          <cell r="DL59">
            <v>0.05</v>
          </cell>
          <cell r="DM59">
            <v>0.04</v>
          </cell>
          <cell r="DN59">
            <v>0.06</v>
          </cell>
          <cell r="DO59">
            <v>0.05</v>
          </cell>
          <cell r="DP59">
            <v>0.04</v>
          </cell>
          <cell r="DQ59">
            <v>0.06</v>
          </cell>
          <cell r="DR59">
            <v>0.05</v>
          </cell>
          <cell r="DS59">
            <v>0.04</v>
          </cell>
          <cell r="DT59">
            <v>0.06</v>
          </cell>
          <cell r="DU59">
            <v>0.05</v>
          </cell>
          <cell r="DV59">
            <v>0.04</v>
          </cell>
          <cell r="DW59">
            <v>0.06</v>
          </cell>
          <cell r="DX59">
            <v>0.05</v>
          </cell>
          <cell r="DY59">
            <v>0.04</v>
          </cell>
          <cell r="DZ59">
            <v>0.06</v>
          </cell>
          <cell r="EA59">
            <v>0.05</v>
          </cell>
          <cell r="EB59">
            <v>0.04</v>
          </cell>
          <cell r="EC59">
            <v>0.06</v>
          </cell>
          <cell r="ED59">
            <v>0.05</v>
          </cell>
          <cell r="EE59">
            <v>0.04</v>
          </cell>
          <cell r="EG59">
            <v>3.2500000000000001E-2</v>
          </cell>
          <cell r="EH59">
            <v>3.2500000000000001E-2</v>
          </cell>
          <cell r="EI59">
            <v>3.2500000000000001E-2</v>
          </cell>
          <cell r="EJ59">
            <v>3.2500000000000001E-2</v>
          </cell>
          <cell r="EK59">
            <v>4.0000000000000008E-2</v>
          </cell>
          <cell r="EL59">
            <v>4.0000000000000008E-2</v>
          </cell>
          <cell r="EM59">
            <v>4.0000000000000008E-2</v>
          </cell>
          <cell r="EN59">
            <v>4.0000000000000008E-2</v>
          </cell>
          <cell r="EO59">
            <v>4.0000000000000008E-2</v>
          </cell>
          <cell r="EP59">
            <v>4.0000000000000008E-2</v>
          </cell>
          <cell r="EQ59">
            <v>4.0000000000000008E-2</v>
          </cell>
          <cell r="ER59">
            <v>4.0000000000000008E-2</v>
          </cell>
          <cell r="ES59">
            <v>4.0000000000000008E-2</v>
          </cell>
          <cell r="EU59">
            <v>0.08</v>
          </cell>
          <cell r="EV59">
            <v>0.08</v>
          </cell>
          <cell r="EW59">
            <v>0.08</v>
          </cell>
          <cell r="EX59">
            <v>0.08</v>
          </cell>
          <cell r="EY59">
            <v>0.08</v>
          </cell>
          <cell r="EZ59">
            <v>0.08</v>
          </cell>
          <cell r="FA59">
            <v>0.08</v>
          </cell>
          <cell r="FB59">
            <v>0.08</v>
          </cell>
          <cell r="FC59">
            <v>0.08</v>
          </cell>
          <cell r="FD59">
            <v>0.08</v>
          </cell>
          <cell r="FE59">
            <v>0.08</v>
          </cell>
          <cell r="FF59">
            <v>0.08</v>
          </cell>
          <cell r="FG59">
            <v>0.08</v>
          </cell>
        </row>
        <row r="60">
          <cell r="C60" t="str">
            <v>FIAT F2X La Prima 1.2T MT</v>
          </cell>
          <cell r="D60" t="str">
            <v>FIAT F2X La Prima 1.2T MT</v>
          </cell>
          <cell r="G60">
            <v>0.05</v>
          </cell>
          <cell r="H60">
            <v>0.05</v>
          </cell>
          <cell r="I60">
            <v>0.05</v>
          </cell>
          <cell r="J60">
            <v>0.05</v>
          </cell>
          <cell r="K60">
            <v>0.05</v>
          </cell>
          <cell r="L60">
            <v>0.05</v>
          </cell>
          <cell r="M60">
            <v>0.05</v>
          </cell>
          <cell r="N60">
            <v>0.05</v>
          </cell>
          <cell r="O60">
            <v>0.05</v>
          </cell>
          <cell r="P60">
            <v>0.05</v>
          </cell>
          <cell r="Q60">
            <v>0.05</v>
          </cell>
          <cell r="R60">
            <v>0.05</v>
          </cell>
          <cell r="U60">
            <v>0.5</v>
          </cell>
          <cell r="V60">
            <v>0</v>
          </cell>
          <cell r="W60">
            <v>0.5</v>
          </cell>
          <cell r="X60">
            <v>0.5</v>
          </cell>
          <cell r="Y60">
            <v>0</v>
          </cell>
          <cell r="Z60">
            <v>0.5</v>
          </cell>
          <cell r="AA60">
            <v>0.5</v>
          </cell>
          <cell r="AB60">
            <v>0</v>
          </cell>
          <cell r="AC60">
            <v>0.5</v>
          </cell>
          <cell r="AD60">
            <v>0.5</v>
          </cell>
          <cell r="AE60">
            <v>0</v>
          </cell>
          <cell r="AF60">
            <v>0.5</v>
          </cell>
          <cell r="AG60">
            <v>0.5</v>
          </cell>
          <cell r="AH60">
            <v>0</v>
          </cell>
          <cell r="AI60">
            <v>0.5</v>
          </cell>
          <cell r="AJ60">
            <v>0.5</v>
          </cell>
          <cell r="AK60">
            <v>0</v>
          </cell>
          <cell r="AL60">
            <v>0.5</v>
          </cell>
          <cell r="AM60">
            <v>0.5</v>
          </cell>
          <cell r="AN60">
            <v>0</v>
          </cell>
          <cell r="AO60">
            <v>0.5</v>
          </cell>
          <cell r="AP60">
            <v>0.5</v>
          </cell>
          <cell r="AQ60">
            <v>0</v>
          </cell>
          <cell r="AR60">
            <v>0.5</v>
          </cell>
          <cell r="AS60">
            <v>0.5</v>
          </cell>
          <cell r="AT60">
            <v>0</v>
          </cell>
          <cell r="AU60">
            <v>0.5</v>
          </cell>
          <cell r="AV60">
            <v>0.5</v>
          </cell>
          <cell r="AW60">
            <v>0</v>
          </cell>
          <cell r="AX60">
            <v>0.5</v>
          </cell>
          <cell r="AY60">
            <v>0.5</v>
          </cell>
          <cell r="AZ60">
            <v>0</v>
          </cell>
          <cell r="BA60">
            <v>0.5</v>
          </cell>
          <cell r="BB60">
            <v>0.5</v>
          </cell>
          <cell r="BC60">
            <v>0</v>
          </cell>
          <cell r="BD60">
            <v>0.5</v>
          </cell>
          <cell r="BG60">
            <v>0.06</v>
          </cell>
          <cell r="BH60">
            <v>0.08</v>
          </cell>
          <cell r="BI60">
            <v>0.1</v>
          </cell>
          <cell r="BJ60">
            <v>0.06</v>
          </cell>
          <cell r="BK60">
            <v>0.08</v>
          </cell>
          <cell r="BL60">
            <v>0.1</v>
          </cell>
          <cell r="BM60">
            <v>0.06</v>
          </cell>
          <cell r="BN60">
            <v>0.08</v>
          </cell>
          <cell r="BO60">
            <v>0.1</v>
          </cell>
          <cell r="BP60">
            <v>0.06</v>
          </cell>
          <cell r="BQ60">
            <v>0.08</v>
          </cell>
          <cell r="BR60">
            <v>0.1</v>
          </cell>
          <cell r="BS60">
            <v>0.06</v>
          </cell>
          <cell r="BT60">
            <v>0.08</v>
          </cell>
          <cell r="BU60">
            <v>0.1</v>
          </cell>
          <cell r="BV60">
            <v>0.06</v>
          </cell>
          <cell r="BW60">
            <v>0.08</v>
          </cell>
          <cell r="BX60">
            <v>0.1</v>
          </cell>
          <cell r="BY60">
            <v>0.06</v>
          </cell>
          <cell r="BZ60">
            <v>0.08</v>
          </cell>
          <cell r="CA60">
            <v>0.1</v>
          </cell>
          <cell r="CB60">
            <v>0.06</v>
          </cell>
          <cell r="CC60">
            <v>0.08</v>
          </cell>
          <cell r="CD60">
            <v>0.1</v>
          </cell>
          <cell r="CE60">
            <v>0.06</v>
          </cell>
          <cell r="CF60">
            <v>0.08</v>
          </cell>
          <cell r="CG60">
            <v>0.1</v>
          </cell>
          <cell r="CH60">
            <v>0.06</v>
          </cell>
          <cell r="CI60">
            <v>0.08</v>
          </cell>
          <cell r="CJ60">
            <v>0.1</v>
          </cell>
          <cell r="CK60">
            <v>0.06</v>
          </cell>
          <cell r="CL60">
            <v>0.08</v>
          </cell>
          <cell r="CM60">
            <v>0.1</v>
          </cell>
          <cell r="CN60">
            <v>0.06</v>
          </cell>
          <cell r="CO60">
            <v>0.08</v>
          </cell>
          <cell r="CP60">
            <v>0.1</v>
          </cell>
          <cell r="CQ60">
            <v>0.06</v>
          </cell>
          <cell r="CR60">
            <v>0.08</v>
          </cell>
          <cell r="CS60">
            <v>0.1</v>
          </cell>
          <cell r="CV60">
            <v>5.5E-2</v>
          </cell>
          <cell r="CW60">
            <v>4.4999999999999998E-2</v>
          </cell>
          <cell r="CX60">
            <v>0.03</v>
          </cell>
          <cell r="CY60">
            <v>5.5E-2</v>
          </cell>
          <cell r="CZ60">
            <v>4.4999999999999998E-2</v>
          </cell>
          <cell r="DA60">
            <v>0.03</v>
          </cell>
          <cell r="DB60">
            <v>5.5E-2</v>
          </cell>
          <cell r="DC60">
            <v>4.4999999999999998E-2</v>
          </cell>
          <cell r="DD60">
            <v>0.03</v>
          </cell>
          <cell r="DE60">
            <v>0.06</v>
          </cell>
          <cell r="DF60">
            <v>0.05</v>
          </cell>
          <cell r="DG60">
            <v>0.04</v>
          </cell>
          <cell r="DH60">
            <v>0.06</v>
          </cell>
          <cell r="DI60">
            <v>0.05</v>
          </cell>
          <cell r="DJ60">
            <v>0.04</v>
          </cell>
          <cell r="DK60">
            <v>0.06</v>
          </cell>
          <cell r="DL60">
            <v>0.05</v>
          </cell>
          <cell r="DM60">
            <v>0.04</v>
          </cell>
          <cell r="DN60">
            <v>0.06</v>
          </cell>
          <cell r="DO60">
            <v>0.05</v>
          </cell>
          <cell r="DP60">
            <v>0.04</v>
          </cell>
          <cell r="DQ60">
            <v>0.06</v>
          </cell>
          <cell r="DR60">
            <v>0.05</v>
          </cell>
          <cell r="DS60">
            <v>0.04</v>
          </cell>
          <cell r="DT60">
            <v>0.06</v>
          </cell>
          <cell r="DU60">
            <v>0.05</v>
          </cell>
          <cell r="DV60">
            <v>0.04</v>
          </cell>
          <cell r="DW60">
            <v>0.06</v>
          </cell>
          <cell r="DX60">
            <v>0.05</v>
          </cell>
          <cell r="DY60">
            <v>0.04</v>
          </cell>
          <cell r="DZ60">
            <v>0.06</v>
          </cell>
          <cell r="EA60">
            <v>0.05</v>
          </cell>
          <cell r="EB60">
            <v>0.04</v>
          </cell>
          <cell r="EC60">
            <v>0.06</v>
          </cell>
          <cell r="ED60">
            <v>0.05</v>
          </cell>
          <cell r="EE60">
            <v>0.04</v>
          </cell>
          <cell r="EG60">
            <v>3.2500000000000001E-2</v>
          </cell>
          <cell r="EH60">
            <v>3.2500000000000001E-2</v>
          </cell>
          <cell r="EI60">
            <v>3.2500000000000001E-2</v>
          </cell>
          <cell r="EJ60">
            <v>3.2500000000000001E-2</v>
          </cell>
          <cell r="EK60">
            <v>4.0000000000000008E-2</v>
          </cell>
          <cell r="EL60">
            <v>4.0000000000000008E-2</v>
          </cell>
          <cell r="EM60">
            <v>4.0000000000000008E-2</v>
          </cell>
          <cell r="EN60">
            <v>4.0000000000000008E-2</v>
          </cell>
          <cell r="EO60">
            <v>4.0000000000000008E-2</v>
          </cell>
          <cell r="EP60">
            <v>4.0000000000000008E-2</v>
          </cell>
          <cell r="EQ60">
            <v>4.0000000000000008E-2</v>
          </cell>
          <cell r="ER60">
            <v>4.0000000000000008E-2</v>
          </cell>
          <cell r="ES60">
            <v>4.0000000000000008E-2</v>
          </cell>
          <cell r="EU60">
            <v>0.08</v>
          </cell>
          <cell r="EV60">
            <v>0.08</v>
          </cell>
          <cell r="EW60">
            <v>0.08</v>
          </cell>
          <cell r="EX60">
            <v>0.08</v>
          </cell>
          <cell r="EY60">
            <v>0.08</v>
          </cell>
          <cell r="EZ60">
            <v>0.08</v>
          </cell>
          <cell r="FA60">
            <v>0.08</v>
          </cell>
          <cell r="FB60">
            <v>0.08</v>
          </cell>
          <cell r="FC60">
            <v>0.08</v>
          </cell>
          <cell r="FD60">
            <v>0.08</v>
          </cell>
          <cell r="FE60">
            <v>0.08</v>
          </cell>
          <cell r="FF60">
            <v>0.08</v>
          </cell>
          <cell r="FG60">
            <v>0.08</v>
          </cell>
        </row>
        <row r="61">
          <cell r="D61" t="str">
            <v/>
          </cell>
          <cell r="G61">
            <v>0.05</v>
          </cell>
          <cell r="H61">
            <v>0.05</v>
          </cell>
          <cell r="I61">
            <v>0.05</v>
          </cell>
          <cell r="J61">
            <v>0.05</v>
          </cell>
          <cell r="K61">
            <v>0.05</v>
          </cell>
          <cell r="L61">
            <v>0.05</v>
          </cell>
          <cell r="M61">
            <v>0.05</v>
          </cell>
          <cell r="N61">
            <v>0.05</v>
          </cell>
          <cell r="O61">
            <v>0.05</v>
          </cell>
          <cell r="P61">
            <v>0.05</v>
          </cell>
          <cell r="Q61">
            <v>0.05</v>
          </cell>
          <cell r="R61">
            <v>0.05</v>
          </cell>
          <cell r="U61">
            <v>0.5</v>
          </cell>
          <cell r="V61">
            <v>0</v>
          </cell>
          <cell r="W61">
            <v>0.5</v>
          </cell>
          <cell r="X61">
            <v>0.5</v>
          </cell>
          <cell r="Y61">
            <v>0</v>
          </cell>
          <cell r="Z61">
            <v>0.5</v>
          </cell>
          <cell r="AA61">
            <v>0.5</v>
          </cell>
          <cell r="AB61">
            <v>0</v>
          </cell>
          <cell r="AC61">
            <v>0.5</v>
          </cell>
          <cell r="AD61">
            <v>0.5</v>
          </cell>
          <cell r="AE61">
            <v>0</v>
          </cell>
          <cell r="AF61">
            <v>0.5</v>
          </cell>
          <cell r="AG61">
            <v>0.5</v>
          </cell>
          <cell r="AH61">
            <v>0</v>
          </cell>
          <cell r="AI61">
            <v>0.5</v>
          </cell>
          <cell r="AJ61">
            <v>0.5</v>
          </cell>
          <cell r="AK61">
            <v>0</v>
          </cell>
          <cell r="AL61">
            <v>0.5</v>
          </cell>
          <cell r="AM61">
            <v>0.5</v>
          </cell>
          <cell r="AN61">
            <v>0</v>
          </cell>
          <cell r="AO61">
            <v>0.5</v>
          </cell>
          <cell r="AP61">
            <v>0.5</v>
          </cell>
          <cell r="AQ61">
            <v>0</v>
          </cell>
          <cell r="AR61">
            <v>0.5</v>
          </cell>
          <cell r="AS61">
            <v>0.5</v>
          </cell>
          <cell r="AT61">
            <v>0</v>
          </cell>
          <cell r="AU61">
            <v>0.5</v>
          </cell>
          <cell r="AV61">
            <v>0.5</v>
          </cell>
          <cell r="AW61">
            <v>0</v>
          </cell>
          <cell r="AX61">
            <v>0.5</v>
          </cell>
          <cell r="AY61">
            <v>0.5</v>
          </cell>
          <cell r="AZ61">
            <v>0</v>
          </cell>
          <cell r="BA61">
            <v>0.5</v>
          </cell>
          <cell r="BB61">
            <v>0.5</v>
          </cell>
          <cell r="BC61">
            <v>0</v>
          </cell>
          <cell r="BD61">
            <v>0.5</v>
          </cell>
          <cell r="BG61">
            <v>0.06</v>
          </cell>
          <cell r="BH61">
            <v>0.08</v>
          </cell>
          <cell r="BI61">
            <v>0.1</v>
          </cell>
          <cell r="BJ61">
            <v>0.06</v>
          </cell>
          <cell r="BK61">
            <v>0.08</v>
          </cell>
          <cell r="BL61">
            <v>0.1</v>
          </cell>
          <cell r="BM61">
            <v>0.06</v>
          </cell>
          <cell r="BN61">
            <v>0.08</v>
          </cell>
          <cell r="BO61">
            <v>0.1</v>
          </cell>
          <cell r="BP61">
            <v>0.06</v>
          </cell>
          <cell r="BQ61">
            <v>0.08</v>
          </cell>
          <cell r="BR61">
            <v>0.1</v>
          </cell>
          <cell r="BS61">
            <v>0.06</v>
          </cell>
          <cell r="BT61">
            <v>0.08</v>
          </cell>
          <cell r="BU61">
            <v>0.1</v>
          </cell>
          <cell r="BV61">
            <v>0.06</v>
          </cell>
          <cell r="BW61">
            <v>0.08</v>
          </cell>
          <cell r="BX61">
            <v>0.1</v>
          </cell>
          <cell r="BY61">
            <v>0.06</v>
          </cell>
          <cell r="BZ61">
            <v>0.08</v>
          </cell>
          <cell r="CA61">
            <v>0.1</v>
          </cell>
          <cell r="CB61">
            <v>0.06</v>
          </cell>
          <cell r="CC61">
            <v>0.08</v>
          </cell>
          <cell r="CD61">
            <v>0.1</v>
          </cell>
          <cell r="CE61">
            <v>0.06</v>
          </cell>
          <cell r="CF61">
            <v>0.08</v>
          </cell>
          <cell r="CG61">
            <v>0.1</v>
          </cell>
          <cell r="CH61">
            <v>0.06</v>
          </cell>
          <cell r="CI61">
            <v>0.08</v>
          </cell>
          <cell r="CJ61">
            <v>0.1</v>
          </cell>
          <cell r="CK61">
            <v>0.06</v>
          </cell>
          <cell r="CL61">
            <v>0.08</v>
          </cell>
          <cell r="CM61">
            <v>0.1</v>
          </cell>
          <cell r="CN61">
            <v>0.06</v>
          </cell>
          <cell r="CO61">
            <v>0.08</v>
          </cell>
          <cell r="CP61">
            <v>0.1</v>
          </cell>
          <cell r="CQ61">
            <v>0.06</v>
          </cell>
          <cell r="CR61">
            <v>0.08</v>
          </cell>
          <cell r="CS61">
            <v>0.1</v>
          </cell>
          <cell r="CV61">
            <v>5.5E-2</v>
          </cell>
          <cell r="CW61">
            <v>4.4999999999999998E-2</v>
          </cell>
          <cell r="CX61">
            <v>0.03</v>
          </cell>
          <cell r="CY61">
            <v>5.5E-2</v>
          </cell>
          <cell r="CZ61">
            <v>4.4999999999999998E-2</v>
          </cell>
          <cell r="DA61">
            <v>0.03</v>
          </cell>
          <cell r="DB61">
            <v>5.5E-2</v>
          </cell>
          <cell r="DC61">
            <v>4.4999999999999998E-2</v>
          </cell>
          <cell r="DD61">
            <v>0.03</v>
          </cell>
          <cell r="DE61">
            <v>0.06</v>
          </cell>
          <cell r="DF61">
            <v>0.05</v>
          </cell>
          <cell r="DG61">
            <v>0.04</v>
          </cell>
          <cell r="DH61">
            <v>0.06</v>
          </cell>
          <cell r="DI61">
            <v>0.05</v>
          </cell>
          <cell r="DJ61">
            <v>0.04</v>
          </cell>
          <cell r="DK61">
            <v>0.06</v>
          </cell>
          <cell r="DL61">
            <v>0.05</v>
          </cell>
          <cell r="DM61">
            <v>0.04</v>
          </cell>
          <cell r="DN61">
            <v>0.06</v>
          </cell>
          <cell r="DO61">
            <v>0.05</v>
          </cell>
          <cell r="DP61">
            <v>0.04</v>
          </cell>
          <cell r="DQ61">
            <v>0.06</v>
          </cell>
          <cell r="DR61">
            <v>0.05</v>
          </cell>
          <cell r="DS61">
            <v>0.04</v>
          </cell>
          <cell r="DT61">
            <v>0.06</v>
          </cell>
          <cell r="DU61">
            <v>0.05</v>
          </cell>
          <cell r="DV61">
            <v>0.04</v>
          </cell>
          <cell r="DW61">
            <v>0.06</v>
          </cell>
          <cell r="DX61">
            <v>0.05</v>
          </cell>
          <cell r="DY61">
            <v>0.04</v>
          </cell>
          <cell r="DZ61">
            <v>0.06</v>
          </cell>
          <cell r="EA61">
            <v>0.05</v>
          </cell>
          <cell r="EB61">
            <v>0.04</v>
          </cell>
          <cell r="EC61">
            <v>0.06</v>
          </cell>
          <cell r="ED61">
            <v>0.05</v>
          </cell>
          <cell r="EE61">
            <v>0.04</v>
          </cell>
          <cell r="EG61">
            <v>3.2500000000000001E-2</v>
          </cell>
          <cell r="EH61">
            <v>3.2500000000000001E-2</v>
          </cell>
          <cell r="EI61">
            <v>3.2500000000000001E-2</v>
          </cell>
          <cell r="EJ61">
            <v>3.2500000000000001E-2</v>
          </cell>
          <cell r="EK61">
            <v>4.0000000000000008E-2</v>
          </cell>
          <cell r="EL61">
            <v>4.0000000000000008E-2</v>
          </cell>
          <cell r="EM61">
            <v>4.0000000000000008E-2</v>
          </cell>
          <cell r="EN61">
            <v>4.0000000000000008E-2</v>
          </cell>
          <cell r="EO61">
            <v>4.0000000000000008E-2</v>
          </cell>
          <cell r="EP61">
            <v>4.0000000000000008E-2</v>
          </cell>
          <cell r="EQ61">
            <v>4.0000000000000008E-2</v>
          </cell>
          <cell r="ER61">
            <v>4.0000000000000008E-2</v>
          </cell>
          <cell r="ES61">
            <v>4.0000000000000008E-2</v>
          </cell>
          <cell r="EU61">
            <v>0.08</v>
          </cell>
          <cell r="EV61">
            <v>0.08</v>
          </cell>
          <cell r="EW61">
            <v>0.08</v>
          </cell>
          <cell r="EX61">
            <v>0.08</v>
          </cell>
          <cell r="EY61">
            <v>0.08</v>
          </cell>
          <cell r="EZ61">
            <v>0.08</v>
          </cell>
          <cell r="FA61">
            <v>0.08</v>
          </cell>
          <cell r="FB61">
            <v>0.08</v>
          </cell>
          <cell r="FC61">
            <v>0.08</v>
          </cell>
          <cell r="FD61">
            <v>0.08</v>
          </cell>
          <cell r="FE61">
            <v>0.08</v>
          </cell>
          <cell r="FF61">
            <v>0.08</v>
          </cell>
          <cell r="FG61">
            <v>0.08</v>
          </cell>
        </row>
        <row r="62">
          <cell r="C62" t="str">
            <v>FIAT F2U Icon 1.2T MT</v>
          </cell>
          <cell r="D62" t="str">
            <v>FIAT F2U Icon 1.2T MT</v>
          </cell>
          <cell r="G62">
            <v>0.05</v>
          </cell>
          <cell r="H62">
            <v>0.05</v>
          </cell>
          <cell r="I62">
            <v>0.05</v>
          </cell>
          <cell r="J62">
            <v>0.05</v>
          </cell>
          <cell r="K62">
            <v>0.05</v>
          </cell>
          <cell r="L62">
            <v>0.05</v>
          </cell>
          <cell r="M62">
            <v>0.05</v>
          </cell>
          <cell r="N62">
            <v>0.05</v>
          </cell>
          <cell r="O62">
            <v>0.05</v>
          </cell>
          <cell r="P62">
            <v>0.05</v>
          </cell>
          <cell r="Q62">
            <v>0.05</v>
          </cell>
          <cell r="R62">
            <v>0.05</v>
          </cell>
          <cell r="U62">
            <v>0.5</v>
          </cell>
          <cell r="V62">
            <v>0</v>
          </cell>
          <cell r="W62">
            <v>0.5</v>
          </cell>
          <cell r="X62">
            <v>0.5</v>
          </cell>
          <cell r="Y62">
            <v>0</v>
          </cell>
          <cell r="Z62">
            <v>0.5</v>
          </cell>
          <cell r="AA62">
            <v>0.5</v>
          </cell>
          <cell r="AB62">
            <v>0</v>
          </cell>
          <cell r="AC62">
            <v>0.5</v>
          </cell>
          <cell r="AD62">
            <v>0.5</v>
          </cell>
          <cell r="AE62">
            <v>0</v>
          </cell>
          <cell r="AF62">
            <v>0.5</v>
          </cell>
          <cell r="AG62">
            <v>0.5</v>
          </cell>
          <cell r="AH62">
            <v>0</v>
          </cell>
          <cell r="AI62">
            <v>0.5</v>
          </cell>
          <cell r="AJ62">
            <v>0.5</v>
          </cell>
          <cell r="AK62">
            <v>0</v>
          </cell>
          <cell r="AL62">
            <v>0.5</v>
          </cell>
          <cell r="AM62">
            <v>0.5</v>
          </cell>
          <cell r="AN62">
            <v>0</v>
          </cell>
          <cell r="AO62">
            <v>0.5</v>
          </cell>
          <cell r="AP62">
            <v>0.5</v>
          </cell>
          <cell r="AQ62">
            <v>0</v>
          </cell>
          <cell r="AR62">
            <v>0.5</v>
          </cell>
          <cell r="AS62">
            <v>0.5</v>
          </cell>
          <cell r="AT62">
            <v>0</v>
          </cell>
          <cell r="AU62">
            <v>0.5</v>
          </cell>
          <cell r="AV62">
            <v>0.5</v>
          </cell>
          <cell r="AW62">
            <v>0</v>
          </cell>
          <cell r="AX62">
            <v>0.5</v>
          </cell>
          <cell r="AY62">
            <v>0.5</v>
          </cell>
          <cell r="AZ62">
            <v>0</v>
          </cell>
          <cell r="BA62">
            <v>0.5</v>
          </cell>
          <cell r="BB62">
            <v>0.5</v>
          </cell>
          <cell r="BC62">
            <v>0</v>
          </cell>
          <cell r="BD62">
            <v>0.5</v>
          </cell>
          <cell r="BG62">
            <v>0.06</v>
          </cell>
          <cell r="BH62">
            <v>0.08</v>
          </cell>
          <cell r="BI62">
            <v>0.1</v>
          </cell>
          <cell r="BJ62">
            <v>0.06</v>
          </cell>
          <cell r="BK62">
            <v>0.08</v>
          </cell>
          <cell r="BL62">
            <v>0.1</v>
          </cell>
          <cell r="BM62">
            <v>0.06</v>
          </cell>
          <cell r="BN62">
            <v>0.08</v>
          </cell>
          <cell r="BO62">
            <v>0.1</v>
          </cell>
          <cell r="BP62">
            <v>0.06</v>
          </cell>
          <cell r="BQ62">
            <v>0.08</v>
          </cell>
          <cell r="BR62">
            <v>0.1</v>
          </cell>
          <cell r="BS62">
            <v>0.06</v>
          </cell>
          <cell r="BT62">
            <v>0.08</v>
          </cell>
          <cell r="BU62">
            <v>0.1</v>
          </cell>
          <cell r="BV62">
            <v>0.06</v>
          </cell>
          <cell r="BW62">
            <v>0.08</v>
          </cell>
          <cell r="BX62">
            <v>0.1</v>
          </cell>
          <cell r="BY62">
            <v>0.06</v>
          </cell>
          <cell r="BZ62">
            <v>0.08</v>
          </cell>
          <cell r="CA62">
            <v>0.1</v>
          </cell>
          <cell r="CB62">
            <v>0.06</v>
          </cell>
          <cell r="CC62">
            <v>0.08</v>
          </cell>
          <cell r="CD62">
            <v>0.1</v>
          </cell>
          <cell r="CE62">
            <v>0.06</v>
          </cell>
          <cell r="CF62">
            <v>0.08</v>
          </cell>
          <cell r="CG62">
            <v>0.1</v>
          </cell>
          <cell r="CH62">
            <v>0.06</v>
          </cell>
          <cell r="CI62">
            <v>0.08</v>
          </cell>
          <cell r="CJ62">
            <v>0.1</v>
          </cell>
          <cell r="CK62">
            <v>0.06</v>
          </cell>
          <cell r="CL62">
            <v>0.08</v>
          </cell>
          <cell r="CM62">
            <v>0.1</v>
          </cell>
          <cell r="CN62">
            <v>0.06</v>
          </cell>
          <cell r="CO62">
            <v>0.08</v>
          </cell>
          <cell r="CP62">
            <v>0.1</v>
          </cell>
          <cell r="CQ62">
            <v>0.06</v>
          </cell>
          <cell r="CR62">
            <v>0.08</v>
          </cell>
          <cell r="CS62">
            <v>0.1</v>
          </cell>
          <cell r="CV62">
            <v>5.5E-2</v>
          </cell>
          <cell r="CW62">
            <v>4.4999999999999998E-2</v>
          </cell>
          <cell r="CX62">
            <v>0.03</v>
          </cell>
          <cell r="CY62">
            <v>5.5E-2</v>
          </cell>
          <cell r="CZ62">
            <v>4.4999999999999998E-2</v>
          </cell>
          <cell r="DA62">
            <v>0.03</v>
          </cell>
          <cell r="DB62">
            <v>5.5E-2</v>
          </cell>
          <cell r="DC62">
            <v>4.4999999999999998E-2</v>
          </cell>
          <cell r="DD62">
            <v>0.03</v>
          </cell>
          <cell r="DE62">
            <v>0.06</v>
          </cell>
          <cell r="DF62">
            <v>0.05</v>
          </cell>
          <cell r="DG62">
            <v>0.04</v>
          </cell>
          <cell r="DH62">
            <v>0.06</v>
          </cell>
          <cell r="DI62">
            <v>0.05</v>
          </cell>
          <cell r="DJ62">
            <v>0.04</v>
          </cell>
          <cell r="DK62">
            <v>0.06</v>
          </cell>
          <cell r="DL62">
            <v>0.05</v>
          </cell>
          <cell r="DM62">
            <v>0.04</v>
          </cell>
          <cell r="DN62">
            <v>0.06</v>
          </cell>
          <cell r="DO62">
            <v>0.05</v>
          </cell>
          <cell r="DP62">
            <v>0.04</v>
          </cell>
          <cell r="DQ62">
            <v>0.06</v>
          </cell>
          <cell r="DR62">
            <v>0.05</v>
          </cell>
          <cell r="DS62">
            <v>0.04</v>
          </cell>
          <cell r="DT62">
            <v>0.06</v>
          </cell>
          <cell r="DU62">
            <v>0.05</v>
          </cell>
          <cell r="DV62">
            <v>0.04</v>
          </cell>
          <cell r="DW62">
            <v>0.06</v>
          </cell>
          <cell r="DX62">
            <v>0.05</v>
          </cell>
          <cell r="DY62">
            <v>0.04</v>
          </cell>
          <cell r="DZ62">
            <v>0.06</v>
          </cell>
          <cell r="EA62">
            <v>0.05</v>
          </cell>
          <cell r="EB62">
            <v>0.04</v>
          </cell>
          <cell r="EC62">
            <v>0.06</v>
          </cell>
          <cell r="ED62">
            <v>0.05</v>
          </cell>
          <cell r="EE62">
            <v>0.04</v>
          </cell>
          <cell r="EG62">
            <v>3.2500000000000001E-2</v>
          </cell>
          <cell r="EH62">
            <v>3.2500000000000001E-2</v>
          </cell>
          <cell r="EI62">
            <v>3.2500000000000001E-2</v>
          </cell>
          <cell r="EJ62">
            <v>3.2500000000000001E-2</v>
          </cell>
          <cell r="EK62">
            <v>4.0000000000000008E-2</v>
          </cell>
          <cell r="EL62">
            <v>4.0000000000000008E-2</v>
          </cell>
          <cell r="EM62">
            <v>4.0000000000000008E-2</v>
          </cell>
          <cell r="EN62">
            <v>4.0000000000000008E-2</v>
          </cell>
          <cell r="EO62">
            <v>4.0000000000000008E-2</v>
          </cell>
          <cell r="EP62">
            <v>4.0000000000000008E-2</v>
          </cell>
          <cell r="EQ62">
            <v>4.0000000000000008E-2</v>
          </cell>
          <cell r="ER62">
            <v>4.0000000000000008E-2</v>
          </cell>
          <cell r="ES62">
            <v>4.0000000000000008E-2</v>
          </cell>
          <cell r="EU62">
            <v>0.08</v>
          </cell>
          <cell r="EV62">
            <v>0.08</v>
          </cell>
          <cell r="EW62">
            <v>0.08</v>
          </cell>
          <cell r="EX62">
            <v>0.08</v>
          </cell>
          <cell r="EY62">
            <v>0.08</v>
          </cell>
          <cell r="EZ62">
            <v>0.08</v>
          </cell>
          <cell r="FA62">
            <v>0.08</v>
          </cell>
          <cell r="FB62">
            <v>0.08</v>
          </cell>
          <cell r="FC62">
            <v>0.08</v>
          </cell>
          <cell r="FD62">
            <v>0.08</v>
          </cell>
          <cell r="FE62">
            <v>0.08</v>
          </cell>
          <cell r="FF62">
            <v>0.08</v>
          </cell>
          <cell r="FG62">
            <v>0.08</v>
          </cell>
        </row>
        <row r="63">
          <cell r="C63" t="str">
            <v>FIAT F2U La Prima 1.2T MT</v>
          </cell>
          <cell r="D63" t="str">
            <v>FIAT F2U La Prima 1.2T MT</v>
          </cell>
          <cell r="G63">
            <v>0.05</v>
          </cell>
          <cell r="H63">
            <v>0.05</v>
          </cell>
          <cell r="I63">
            <v>0.05</v>
          </cell>
          <cell r="J63">
            <v>0.05</v>
          </cell>
          <cell r="K63">
            <v>0.05</v>
          </cell>
          <cell r="L63">
            <v>0.05</v>
          </cell>
          <cell r="M63">
            <v>0.05</v>
          </cell>
          <cell r="N63">
            <v>0.05</v>
          </cell>
          <cell r="O63">
            <v>0.05</v>
          </cell>
          <cell r="P63">
            <v>0.05</v>
          </cell>
          <cell r="Q63">
            <v>0.05</v>
          </cell>
          <cell r="R63">
            <v>0.05</v>
          </cell>
          <cell r="U63">
            <v>0.5</v>
          </cell>
          <cell r="V63">
            <v>0</v>
          </cell>
          <cell r="W63">
            <v>0.5</v>
          </cell>
          <cell r="X63">
            <v>0.5</v>
          </cell>
          <cell r="Y63">
            <v>0</v>
          </cell>
          <cell r="Z63">
            <v>0.5</v>
          </cell>
          <cell r="AA63">
            <v>0.5</v>
          </cell>
          <cell r="AB63">
            <v>0</v>
          </cell>
          <cell r="AC63">
            <v>0.5</v>
          </cell>
          <cell r="AD63">
            <v>0.5</v>
          </cell>
          <cell r="AE63">
            <v>0</v>
          </cell>
          <cell r="AF63">
            <v>0.5</v>
          </cell>
          <cell r="AG63">
            <v>0.5</v>
          </cell>
          <cell r="AH63">
            <v>0</v>
          </cell>
          <cell r="AI63">
            <v>0.5</v>
          </cell>
          <cell r="AJ63">
            <v>0.5</v>
          </cell>
          <cell r="AK63">
            <v>0</v>
          </cell>
          <cell r="AL63">
            <v>0.5</v>
          </cell>
          <cell r="AM63">
            <v>0.5</v>
          </cell>
          <cell r="AN63">
            <v>0</v>
          </cell>
          <cell r="AO63">
            <v>0.5</v>
          </cell>
          <cell r="AP63">
            <v>0.5</v>
          </cell>
          <cell r="AQ63">
            <v>0</v>
          </cell>
          <cell r="AR63">
            <v>0.5</v>
          </cell>
          <cell r="AS63">
            <v>0.5</v>
          </cell>
          <cell r="AT63">
            <v>0</v>
          </cell>
          <cell r="AU63">
            <v>0.5</v>
          </cell>
          <cell r="AV63">
            <v>0.5</v>
          </cell>
          <cell r="AW63">
            <v>0</v>
          </cell>
          <cell r="AX63">
            <v>0.5</v>
          </cell>
          <cell r="AY63">
            <v>0.5</v>
          </cell>
          <cell r="AZ63">
            <v>0</v>
          </cell>
          <cell r="BA63">
            <v>0.5</v>
          </cell>
          <cell r="BB63">
            <v>0.5</v>
          </cell>
          <cell r="BC63">
            <v>0</v>
          </cell>
          <cell r="BD63">
            <v>0.5</v>
          </cell>
          <cell r="BG63">
            <v>0.06</v>
          </cell>
          <cell r="BH63">
            <v>0.08</v>
          </cell>
          <cell r="BI63">
            <v>0.1</v>
          </cell>
          <cell r="BJ63">
            <v>0.06</v>
          </cell>
          <cell r="BK63">
            <v>0.08</v>
          </cell>
          <cell r="BL63">
            <v>0.1</v>
          </cell>
          <cell r="BM63">
            <v>0.06</v>
          </cell>
          <cell r="BN63">
            <v>0.08</v>
          </cell>
          <cell r="BO63">
            <v>0.1</v>
          </cell>
          <cell r="BP63">
            <v>0.06</v>
          </cell>
          <cell r="BQ63">
            <v>0.08</v>
          </cell>
          <cell r="BR63">
            <v>0.1</v>
          </cell>
          <cell r="BS63">
            <v>0.06</v>
          </cell>
          <cell r="BT63">
            <v>0.08</v>
          </cell>
          <cell r="BU63">
            <v>0.1</v>
          </cell>
          <cell r="BV63">
            <v>0.06</v>
          </cell>
          <cell r="BW63">
            <v>0.08</v>
          </cell>
          <cell r="BX63">
            <v>0.1</v>
          </cell>
          <cell r="BY63">
            <v>0.06</v>
          </cell>
          <cell r="BZ63">
            <v>0.08</v>
          </cell>
          <cell r="CA63">
            <v>0.1</v>
          </cell>
          <cell r="CB63">
            <v>0.06</v>
          </cell>
          <cell r="CC63">
            <v>0.08</v>
          </cell>
          <cell r="CD63">
            <v>0.1</v>
          </cell>
          <cell r="CE63">
            <v>0.06</v>
          </cell>
          <cell r="CF63">
            <v>0.08</v>
          </cell>
          <cell r="CG63">
            <v>0.1</v>
          </cell>
          <cell r="CH63">
            <v>0.06</v>
          </cell>
          <cell r="CI63">
            <v>0.08</v>
          </cell>
          <cell r="CJ63">
            <v>0.1</v>
          </cell>
          <cell r="CK63">
            <v>0.06</v>
          </cell>
          <cell r="CL63">
            <v>0.08</v>
          </cell>
          <cell r="CM63">
            <v>0.1</v>
          </cell>
          <cell r="CN63">
            <v>0.06</v>
          </cell>
          <cell r="CO63">
            <v>0.08</v>
          </cell>
          <cell r="CP63">
            <v>0.1</v>
          </cell>
          <cell r="CQ63">
            <v>0.06</v>
          </cell>
          <cell r="CR63">
            <v>0.08</v>
          </cell>
          <cell r="CS63">
            <v>0.1</v>
          </cell>
          <cell r="CV63">
            <v>5.5E-2</v>
          </cell>
          <cell r="CW63">
            <v>4.4999999999999998E-2</v>
          </cell>
          <cell r="CX63">
            <v>0.03</v>
          </cell>
          <cell r="CY63">
            <v>5.5E-2</v>
          </cell>
          <cell r="CZ63">
            <v>4.4999999999999998E-2</v>
          </cell>
          <cell r="DA63">
            <v>0.03</v>
          </cell>
          <cell r="DB63">
            <v>5.5E-2</v>
          </cell>
          <cell r="DC63">
            <v>4.4999999999999998E-2</v>
          </cell>
          <cell r="DD63">
            <v>0.03</v>
          </cell>
          <cell r="DE63">
            <v>0.06</v>
          </cell>
          <cell r="DF63">
            <v>0.05</v>
          </cell>
          <cell r="DG63">
            <v>0.04</v>
          </cell>
          <cell r="DH63">
            <v>0.06</v>
          </cell>
          <cell r="DI63">
            <v>0.05</v>
          </cell>
          <cell r="DJ63">
            <v>0.04</v>
          </cell>
          <cell r="DK63">
            <v>0.06</v>
          </cell>
          <cell r="DL63">
            <v>0.05</v>
          </cell>
          <cell r="DM63">
            <v>0.04</v>
          </cell>
          <cell r="DN63">
            <v>0.06</v>
          </cell>
          <cell r="DO63">
            <v>0.05</v>
          </cell>
          <cell r="DP63">
            <v>0.04</v>
          </cell>
          <cell r="DQ63">
            <v>0.06</v>
          </cell>
          <cell r="DR63">
            <v>0.05</v>
          </cell>
          <cell r="DS63">
            <v>0.04</v>
          </cell>
          <cell r="DT63">
            <v>0.06</v>
          </cell>
          <cell r="DU63">
            <v>0.05</v>
          </cell>
          <cell r="DV63">
            <v>0.04</v>
          </cell>
          <cell r="DW63">
            <v>0.06</v>
          </cell>
          <cell r="DX63">
            <v>0.05</v>
          </cell>
          <cell r="DY63">
            <v>0.04</v>
          </cell>
          <cell r="DZ63">
            <v>0.06</v>
          </cell>
          <cell r="EA63">
            <v>0.05</v>
          </cell>
          <cell r="EB63">
            <v>0.04</v>
          </cell>
          <cell r="EC63">
            <v>0.06</v>
          </cell>
          <cell r="ED63">
            <v>0.05</v>
          </cell>
          <cell r="EE63">
            <v>0.04</v>
          </cell>
          <cell r="EG63">
            <v>3.2500000000000001E-2</v>
          </cell>
          <cell r="EH63">
            <v>3.2500000000000001E-2</v>
          </cell>
          <cell r="EI63">
            <v>3.2500000000000001E-2</v>
          </cell>
          <cell r="EJ63">
            <v>3.2500000000000001E-2</v>
          </cell>
          <cell r="EK63">
            <v>4.0000000000000008E-2</v>
          </cell>
          <cell r="EL63">
            <v>4.0000000000000008E-2</v>
          </cell>
          <cell r="EM63">
            <v>4.0000000000000008E-2</v>
          </cell>
          <cell r="EN63">
            <v>4.0000000000000008E-2</v>
          </cell>
          <cell r="EO63">
            <v>4.0000000000000008E-2</v>
          </cell>
          <cell r="EP63">
            <v>4.0000000000000008E-2</v>
          </cell>
          <cell r="EQ63">
            <v>4.0000000000000008E-2</v>
          </cell>
          <cell r="ER63">
            <v>4.0000000000000008E-2</v>
          </cell>
          <cell r="ES63">
            <v>4.0000000000000008E-2</v>
          </cell>
          <cell r="EU63">
            <v>0.08</v>
          </cell>
          <cell r="EV63">
            <v>0.08</v>
          </cell>
          <cell r="EW63">
            <v>0.08</v>
          </cell>
          <cell r="EX63">
            <v>0.08</v>
          </cell>
          <cell r="EY63">
            <v>0.08</v>
          </cell>
          <cell r="EZ63">
            <v>0.08</v>
          </cell>
          <cell r="FA63">
            <v>0.08</v>
          </cell>
          <cell r="FB63">
            <v>0.08</v>
          </cell>
          <cell r="FC63">
            <v>0.08</v>
          </cell>
          <cell r="FD63">
            <v>0.08</v>
          </cell>
          <cell r="FE63">
            <v>0.08</v>
          </cell>
          <cell r="FF63">
            <v>0.08</v>
          </cell>
          <cell r="FG63">
            <v>0.08</v>
          </cell>
        </row>
        <row r="64">
          <cell r="D64" t="str">
            <v/>
          </cell>
          <cell r="G64">
            <v>0.05</v>
          </cell>
          <cell r="H64">
            <v>0.05</v>
          </cell>
          <cell r="I64">
            <v>0.05</v>
          </cell>
          <cell r="J64">
            <v>0.05</v>
          </cell>
          <cell r="K64">
            <v>0.05</v>
          </cell>
          <cell r="L64">
            <v>0.05</v>
          </cell>
          <cell r="M64">
            <v>0.05</v>
          </cell>
          <cell r="N64">
            <v>0.05</v>
          </cell>
          <cell r="O64">
            <v>0.05</v>
          </cell>
          <cell r="P64">
            <v>0.05</v>
          </cell>
          <cell r="Q64">
            <v>0.05</v>
          </cell>
          <cell r="R64">
            <v>0.05</v>
          </cell>
          <cell r="U64">
            <v>0.5</v>
          </cell>
          <cell r="V64">
            <v>0</v>
          </cell>
          <cell r="W64">
            <v>0.5</v>
          </cell>
          <cell r="X64">
            <v>0.5</v>
          </cell>
          <cell r="Y64">
            <v>0</v>
          </cell>
          <cell r="Z64">
            <v>0.5</v>
          </cell>
          <cell r="AA64">
            <v>0.5</v>
          </cell>
          <cell r="AB64">
            <v>0</v>
          </cell>
          <cell r="AC64">
            <v>0.5</v>
          </cell>
          <cell r="AD64">
            <v>0.5</v>
          </cell>
          <cell r="AE64">
            <v>0</v>
          </cell>
          <cell r="AF64">
            <v>0.5</v>
          </cell>
          <cell r="AG64">
            <v>0.5</v>
          </cell>
          <cell r="AH64">
            <v>0</v>
          </cell>
          <cell r="AI64">
            <v>0.5</v>
          </cell>
          <cell r="AJ64">
            <v>0.5</v>
          </cell>
          <cell r="AK64">
            <v>0</v>
          </cell>
          <cell r="AL64">
            <v>0.5</v>
          </cell>
          <cell r="AM64">
            <v>0.5</v>
          </cell>
          <cell r="AN64">
            <v>0</v>
          </cell>
          <cell r="AO64">
            <v>0.5</v>
          </cell>
          <cell r="AP64">
            <v>0.5</v>
          </cell>
          <cell r="AQ64">
            <v>0</v>
          </cell>
          <cell r="AR64">
            <v>0.5</v>
          </cell>
          <cell r="AS64">
            <v>0.5</v>
          </cell>
          <cell r="AT64">
            <v>0</v>
          </cell>
          <cell r="AU64">
            <v>0.5</v>
          </cell>
          <cell r="AV64">
            <v>0.5</v>
          </cell>
          <cell r="AW64">
            <v>0</v>
          </cell>
          <cell r="AX64">
            <v>0.5</v>
          </cell>
          <cell r="AY64">
            <v>0.5</v>
          </cell>
          <cell r="AZ64">
            <v>0</v>
          </cell>
          <cell r="BA64">
            <v>0.5</v>
          </cell>
          <cell r="BB64">
            <v>0.5</v>
          </cell>
          <cell r="BC64">
            <v>0</v>
          </cell>
          <cell r="BD64">
            <v>0.5</v>
          </cell>
          <cell r="BG64">
            <v>0.06</v>
          </cell>
          <cell r="BH64">
            <v>0.08</v>
          </cell>
          <cell r="BI64">
            <v>0.1</v>
          </cell>
          <cell r="BJ64">
            <v>0.06</v>
          </cell>
          <cell r="BK64">
            <v>0.08</v>
          </cell>
          <cell r="BL64">
            <v>0.1</v>
          </cell>
          <cell r="BM64">
            <v>0.06</v>
          </cell>
          <cell r="BN64">
            <v>0.08</v>
          </cell>
          <cell r="BO64">
            <v>0.1</v>
          </cell>
          <cell r="BP64">
            <v>0.06</v>
          </cell>
          <cell r="BQ64">
            <v>0.08</v>
          </cell>
          <cell r="BR64">
            <v>0.1</v>
          </cell>
          <cell r="BS64">
            <v>0.06</v>
          </cell>
          <cell r="BT64">
            <v>0.08</v>
          </cell>
          <cell r="BU64">
            <v>0.1</v>
          </cell>
          <cell r="BV64">
            <v>0.06</v>
          </cell>
          <cell r="BW64">
            <v>0.08</v>
          </cell>
          <cell r="BX64">
            <v>0.1</v>
          </cell>
          <cell r="BY64">
            <v>0.06</v>
          </cell>
          <cell r="BZ64">
            <v>0.08</v>
          </cell>
          <cell r="CA64">
            <v>0.1</v>
          </cell>
          <cell r="CB64">
            <v>0.06</v>
          </cell>
          <cell r="CC64">
            <v>0.08</v>
          </cell>
          <cell r="CD64">
            <v>0.1</v>
          </cell>
          <cell r="CE64">
            <v>0.06</v>
          </cell>
          <cell r="CF64">
            <v>0.08</v>
          </cell>
          <cell r="CG64">
            <v>0.1</v>
          </cell>
          <cell r="CH64">
            <v>0.06</v>
          </cell>
          <cell r="CI64">
            <v>0.08</v>
          </cell>
          <cell r="CJ64">
            <v>0.1</v>
          </cell>
          <cell r="CK64">
            <v>0.06</v>
          </cell>
          <cell r="CL64">
            <v>0.08</v>
          </cell>
          <cell r="CM64">
            <v>0.1</v>
          </cell>
          <cell r="CN64">
            <v>0.06</v>
          </cell>
          <cell r="CO64">
            <v>0.08</v>
          </cell>
          <cell r="CP64">
            <v>0.1</v>
          </cell>
          <cell r="CQ64">
            <v>0.06</v>
          </cell>
          <cell r="CR64">
            <v>0.08</v>
          </cell>
          <cell r="CS64">
            <v>0.1</v>
          </cell>
          <cell r="CV64">
            <v>5.5E-2</v>
          </cell>
          <cell r="CW64">
            <v>4.4999999999999998E-2</v>
          </cell>
          <cell r="CX64">
            <v>0.03</v>
          </cell>
          <cell r="CY64">
            <v>5.5E-2</v>
          </cell>
          <cell r="CZ64">
            <v>4.4999999999999998E-2</v>
          </cell>
          <cell r="DA64">
            <v>0.03</v>
          </cell>
          <cell r="DB64">
            <v>5.5E-2</v>
          </cell>
          <cell r="DC64">
            <v>4.4999999999999998E-2</v>
          </cell>
          <cell r="DD64">
            <v>0.03</v>
          </cell>
          <cell r="DE64">
            <v>0.06</v>
          </cell>
          <cell r="DF64">
            <v>0.05</v>
          </cell>
          <cell r="DG64">
            <v>0.04</v>
          </cell>
          <cell r="DH64">
            <v>0.06</v>
          </cell>
          <cell r="DI64">
            <v>0.05</v>
          </cell>
          <cell r="DJ64">
            <v>0.04</v>
          </cell>
          <cell r="DK64">
            <v>0.06</v>
          </cell>
          <cell r="DL64">
            <v>0.05</v>
          </cell>
          <cell r="DM64">
            <v>0.04</v>
          </cell>
          <cell r="DN64">
            <v>0.06</v>
          </cell>
          <cell r="DO64">
            <v>0.05</v>
          </cell>
          <cell r="DP64">
            <v>0.04</v>
          </cell>
          <cell r="DQ64">
            <v>0.06</v>
          </cell>
          <cell r="DR64">
            <v>0.05</v>
          </cell>
          <cell r="DS64">
            <v>0.04</v>
          </cell>
          <cell r="DT64">
            <v>0.06</v>
          </cell>
          <cell r="DU64">
            <v>0.05</v>
          </cell>
          <cell r="DV64">
            <v>0.04</v>
          </cell>
          <cell r="DW64">
            <v>0.06</v>
          </cell>
          <cell r="DX64">
            <v>0.05</v>
          </cell>
          <cell r="DY64">
            <v>0.04</v>
          </cell>
          <cell r="DZ64">
            <v>0.06</v>
          </cell>
          <cell r="EA64">
            <v>0.05</v>
          </cell>
          <cell r="EB64">
            <v>0.04</v>
          </cell>
          <cell r="EC64">
            <v>0.06</v>
          </cell>
          <cell r="ED64">
            <v>0.05</v>
          </cell>
          <cell r="EE64">
            <v>0.04</v>
          </cell>
          <cell r="EG64">
            <v>3.2500000000000001E-2</v>
          </cell>
          <cell r="EH64">
            <v>3.2500000000000001E-2</v>
          </cell>
          <cell r="EI64">
            <v>3.2500000000000001E-2</v>
          </cell>
          <cell r="EJ64">
            <v>3.2500000000000001E-2</v>
          </cell>
          <cell r="EK64">
            <v>4.0000000000000008E-2</v>
          </cell>
          <cell r="EL64">
            <v>4.0000000000000008E-2</v>
          </cell>
          <cell r="EM64">
            <v>4.0000000000000008E-2</v>
          </cell>
          <cell r="EN64">
            <v>4.0000000000000008E-2</v>
          </cell>
          <cell r="EO64">
            <v>4.0000000000000008E-2</v>
          </cell>
          <cell r="EP64">
            <v>4.0000000000000008E-2</v>
          </cell>
          <cell r="EQ64">
            <v>4.0000000000000008E-2</v>
          </cell>
          <cell r="ER64">
            <v>4.0000000000000008E-2</v>
          </cell>
          <cell r="ES64">
            <v>4.0000000000000008E-2</v>
          </cell>
          <cell r="EU64">
            <v>0.08</v>
          </cell>
          <cell r="EV64">
            <v>0.08</v>
          </cell>
          <cell r="EW64">
            <v>0.08</v>
          </cell>
          <cell r="EX64">
            <v>0.08</v>
          </cell>
          <cell r="EY64">
            <v>0.08</v>
          </cell>
          <cell r="EZ64">
            <v>0.08</v>
          </cell>
          <cell r="FA64">
            <v>0.08</v>
          </cell>
          <cell r="FB64">
            <v>0.08</v>
          </cell>
          <cell r="FC64">
            <v>0.08</v>
          </cell>
          <cell r="FD64">
            <v>0.08</v>
          </cell>
          <cell r="FE64">
            <v>0.08</v>
          </cell>
          <cell r="FF64">
            <v>0.08</v>
          </cell>
          <cell r="FG64">
            <v>0.08</v>
          </cell>
        </row>
        <row r="65">
          <cell r="C65" t="str">
            <v>FIAT F2U Icon 1.2T MHEV DCT</v>
          </cell>
          <cell r="D65" t="str">
            <v>FIAT F2U Icon 1.2T MHEV DCT</v>
          </cell>
          <cell r="G65">
            <v>0.05</v>
          </cell>
          <cell r="H65">
            <v>0.05</v>
          </cell>
          <cell r="I65">
            <v>0.05</v>
          </cell>
          <cell r="J65">
            <v>0.05</v>
          </cell>
          <cell r="K65">
            <v>0.05</v>
          </cell>
          <cell r="L65">
            <v>0.05</v>
          </cell>
          <cell r="M65">
            <v>0.05</v>
          </cell>
          <cell r="N65">
            <v>0.05</v>
          </cell>
          <cell r="O65">
            <v>0.05</v>
          </cell>
          <cell r="P65">
            <v>0.05</v>
          </cell>
          <cell r="Q65">
            <v>0.05</v>
          </cell>
          <cell r="R65">
            <v>0.05</v>
          </cell>
          <cell r="U65">
            <v>0.5</v>
          </cell>
          <cell r="V65">
            <v>0</v>
          </cell>
          <cell r="W65">
            <v>0.5</v>
          </cell>
          <cell r="X65">
            <v>0.5</v>
          </cell>
          <cell r="Y65">
            <v>0</v>
          </cell>
          <cell r="Z65">
            <v>0.5</v>
          </cell>
          <cell r="AA65">
            <v>0.5</v>
          </cell>
          <cell r="AB65">
            <v>0</v>
          </cell>
          <cell r="AC65">
            <v>0.5</v>
          </cell>
          <cell r="AD65">
            <v>0.5</v>
          </cell>
          <cell r="AE65">
            <v>0</v>
          </cell>
          <cell r="AF65">
            <v>0.5</v>
          </cell>
          <cell r="AG65">
            <v>0.5</v>
          </cell>
          <cell r="AH65">
            <v>0</v>
          </cell>
          <cell r="AI65">
            <v>0.5</v>
          </cell>
          <cell r="AJ65">
            <v>0.5</v>
          </cell>
          <cell r="AK65">
            <v>0</v>
          </cell>
          <cell r="AL65">
            <v>0.5</v>
          </cell>
          <cell r="AM65">
            <v>0.5</v>
          </cell>
          <cell r="AN65">
            <v>0</v>
          </cell>
          <cell r="AO65">
            <v>0.5</v>
          </cell>
          <cell r="AP65">
            <v>0.5</v>
          </cell>
          <cell r="AQ65">
            <v>0</v>
          </cell>
          <cell r="AR65">
            <v>0.5</v>
          </cell>
          <cell r="AS65">
            <v>0.5</v>
          </cell>
          <cell r="AT65">
            <v>0</v>
          </cell>
          <cell r="AU65">
            <v>0.5</v>
          </cell>
          <cell r="AV65">
            <v>0.5</v>
          </cell>
          <cell r="AW65">
            <v>0</v>
          </cell>
          <cell r="AX65">
            <v>0.5</v>
          </cell>
          <cell r="AY65">
            <v>0.5</v>
          </cell>
          <cell r="AZ65">
            <v>0</v>
          </cell>
          <cell r="BA65">
            <v>0.5</v>
          </cell>
          <cell r="BB65">
            <v>0.5</v>
          </cell>
          <cell r="BC65">
            <v>0</v>
          </cell>
          <cell r="BD65">
            <v>0.5</v>
          </cell>
          <cell r="BG65">
            <v>0.06</v>
          </cell>
          <cell r="BH65">
            <v>0.08</v>
          </cell>
          <cell r="BI65">
            <v>0.1</v>
          </cell>
          <cell r="BJ65">
            <v>0.06</v>
          </cell>
          <cell r="BK65">
            <v>0.08</v>
          </cell>
          <cell r="BL65">
            <v>0.1</v>
          </cell>
          <cell r="BM65">
            <v>0.06</v>
          </cell>
          <cell r="BN65">
            <v>0.08</v>
          </cell>
          <cell r="BO65">
            <v>0.1</v>
          </cell>
          <cell r="BP65">
            <v>0.06</v>
          </cell>
          <cell r="BQ65">
            <v>0.08</v>
          </cell>
          <cell r="BR65">
            <v>0.1</v>
          </cell>
          <cell r="BS65">
            <v>0.06</v>
          </cell>
          <cell r="BT65">
            <v>0.08</v>
          </cell>
          <cell r="BU65">
            <v>0.1</v>
          </cell>
          <cell r="BV65">
            <v>0.06</v>
          </cell>
          <cell r="BW65">
            <v>0.08</v>
          </cell>
          <cell r="BX65">
            <v>0.1</v>
          </cell>
          <cell r="BY65">
            <v>0.06</v>
          </cell>
          <cell r="BZ65">
            <v>0.08</v>
          </cell>
          <cell r="CA65">
            <v>0.1</v>
          </cell>
          <cell r="CB65">
            <v>0.06</v>
          </cell>
          <cell r="CC65">
            <v>0.08</v>
          </cell>
          <cell r="CD65">
            <v>0.1</v>
          </cell>
          <cell r="CE65">
            <v>0.06</v>
          </cell>
          <cell r="CF65">
            <v>0.08</v>
          </cell>
          <cell r="CG65">
            <v>0.1</v>
          </cell>
          <cell r="CH65">
            <v>0.06</v>
          </cell>
          <cell r="CI65">
            <v>0.08</v>
          </cell>
          <cell r="CJ65">
            <v>0.1</v>
          </cell>
          <cell r="CK65">
            <v>0.06</v>
          </cell>
          <cell r="CL65">
            <v>0.08</v>
          </cell>
          <cell r="CM65">
            <v>0.1</v>
          </cell>
          <cell r="CN65">
            <v>0.06</v>
          </cell>
          <cell r="CO65">
            <v>0.08</v>
          </cell>
          <cell r="CP65">
            <v>0.1</v>
          </cell>
          <cell r="CQ65">
            <v>0.06</v>
          </cell>
          <cell r="CR65">
            <v>0.08</v>
          </cell>
          <cell r="CS65">
            <v>0.1</v>
          </cell>
          <cell r="CV65">
            <v>5.5E-2</v>
          </cell>
          <cell r="CW65">
            <v>4.4999999999999998E-2</v>
          </cell>
          <cell r="CX65">
            <v>0.03</v>
          </cell>
          <cell r="CY65">
            <v>5.5E-2</v>
          </cell>
          <cell r="CZ65">
            <v>4.4999999999999998E-2</v>
          </cell>
          <cell r="DA65">
            <v>0.03</v>
          </cell>
          <cell r="DB65">
            <v>5.5E-2</v>
          </cell>
          <cell r="DC65">
            <v>4.4999999999999998E-2</v>
          </cell>
          <cell r="DD65">
            <v>0.03</v>
          </cell>
          <cell r="DE65">
            <v>0.06</v>
          </cell>
          <cell r="DF65">
            <v>0.05</v>
          </cell>
          <cell r="DG65">
            <v>0.04</v>
          </cell>
          <cell r="DH65">
            <v>0.06</v>
          </cell>
          <cell r="DI65">
            <v>0.05</v>
          </cell>
          <cell r="DJ65">
            <v>0.04</v>
          </cell>
          <cell r="DK65">
            <v>0.06</v>
          </cell>
          <cell r="DL65">
            <v>0.05</v>
          </cell>
          <cell r="DM65">
            <v>0.04</v>
          </cell>
          <cell r="DN65">
            <v>0.06</v>
          </cell>
          <cell r="DO65">
            <v>0.05</v>
          </cell>
          <cell r="DP65">
            <v>0.04</v>
          </cell>
          <cell r="DQ65">
            <v>0.06</v>
          </cell>
          <cell r="DR65">
            <v>0.05</v>
          </cell>
          <cell r="DS65">
            <v>0.04</v>
          </cell>
          <cell r="DT65">
            <v>0.06</v>
          </cell>
          <cell r="DU65">
            <v>0.05</v>
          </cell>
          <cell r="DV65">
            <v>0.04</v>
          </cell>
          <cell r="DW65">
            <v>0.06</v>
          </cell>
          <cell r="DX65">
            <v>0.05</v>
          </cell>
          <cell r="DY65">
            <v>0.04</v>
          </cell>
          <cell r="DZ65">
            <v>0.06</v>
          </cell>
          <cell r="EA65">
            <v>0.05</v>
          </cell>
          <cell r="EB65">
            <v>0.04</v>
          </cell>
          <cell r="EC65">
            <v>0.06</v>
          </cell>
          <cell r="ED65">
            <v>0.05</v>
          </cell>
          <cell r="EE65">
            <v>0.04</v>
          </cell>
          <cell r="EG65">
            <v>3.2500000000000001E-2</v>
          </cell>
          <cell r="EH65">
            <v>3.2500000000000001E-2</v>
          </cell>
          <cell r="EI65">
            <v>3.2500000000000001E-2</v>
          </cell>
          <cell r="EJ65">
            <v>3.2500000000000001E-2</v>
          </cell>
          <cell r="EK65">
            <v>4.0000000000000008E-2</v>
          </cell>
          <cell r="EL65">
            <v>4.0000000000000008E-2</v>
          </cell>
          <cell r="EM65">
            <v>4.0000000000000008E-2</v>
          </cell>
          <cell r="EN65">
            <v>4.0000000000000008E-2</v>
          </cell>
          <cell r="EO65">
            <v>4.0000000000000008E-2</v>
          </cell>
          <cell r="EP65">
            <v>4.0000000000000008E-2</v>
          </cell>
          <cell r="EQ65">
            <v>4.0000000000000008E-2</v>
          </cell>
          <cell r="ER65">
            <v>4.0000000000000008E-2</v>
          </cell>
          <cell r="ES65">
            <v>4.0000000000000008E-2</v>
          </cell>
          <cell r="EU65">
            <v>0.08</v>
          </cell>
          <cell r="EV65">
            <v>0.08</v>
          </cell>
          <cell r="EW65">
            <v>0.08</v>
          </cell>
          <cell r="EX65">
            <v>0.08</v>
          </cell>
          <cell r="EY65">
            <v>0.08</v>
          </cell>
          <cell r="EZ65">
            <v>0.08</v>
          </cell>
          <cell r="FA65">
            <v>0.08</v>
          </cell>
          <cell r="FB65">
            <v>0.08</v>
          </cell>
          <cell r="FC65">
            <v>0.08</v>
          </cell>
          <cell r="FD65">
            <v>0.08</v>
          </cell>
          <cell r="FE65">
            <v>0.08</v>
          </cell>
          <cell r="FF65">
            <v>0.08</v>
          </cell>
          <cell r="FG65">
            <v>0.08</v>
          </cell>
        </row>
        <row r="66">
          <cell r="C66" t="str">
            <v>FIAT F2U La Prima 1.2T MHEV DCT</v>
          </cell>
          <cell r="D66" t="str">
            <v>FIAT F2U La Prima 1.2T MHEV DCT</v>
          </cell>
          <cell r="G66">
            <v>0.05</v>
          </cell>
          <cell r="H66">
            <v>0.05</v>
          </cell>
          <cell r="I66">
            <v>0.05</v>
          </cell>
          <cell r="J66">
            <v>0.05</v>
          </cell>
          <cell r="K66">
            <v>0.05</v>
          </cell>
          <cell r="L66">
            <v>0.05</v>
          </cell>
          <cell r="M66">
            <v>0.05</v>
          </cell>
          <cell r="N66">
            <v>0.05</v>
          </cell>
          <cell r="O66">
            <v>0.05</v>
          </cell>
          <cell r="P66">
            <v>0.05</v>
          </cell>
          <cell r="Q66">
            <v>0.05</v>
          </cell>
          <cell r="R66">
            <v>0.05</v>
          </cell>
          <cell r="U66">
            <v>0.5</v>
          </cell>
          <cell r="V66">
            <v>0</v>
          </cell>
          <cell r="W66">
            <v>0.5</v>
          </cell>
          <cell r="X66">
            <v>0.5</v>
          </cell>
          <cell r="Y66">
            <v>0</v>
          </cell>
          <cell r="Z66">
            <v>0.5</v>
          </cell>
          <cell r="AA66">
            <v>0.5</v>
          </cell>
          <cell r="AB66">
            <v>0</v>
          </cell>
          <cell r="AC66">
            <v>0.5</v>
          </cell>
          <cell r="AD66">
            <v>0.5</v>
          </cell>
          <cell r="AE66">
            <v>0</v>
          </cell>
          <cell r="AF66">
            <v>0.5</v>
          </cell>
          <cell r="AG66">
            <v>0.5</v>
          </cell>
          <cell r="AH66">
            <v>0</v>
          </cell>
          <cell r="AI66">
            <v>0.5</v>
          </cell>
          <cell r="AJ66">
            <v>0.5</v>
          </cell>
          <cell r="AK66">
            <v>0</v>
          </cell>
          <cell r="AL66">
            <v>0.5</v>
          </cell>
          <cell r="AM66">
            <v>0.5</v>
          </cell>
          <cell r="AN66">
            <v>0</v>
          </cell>
          <cell r="AO66">
            <v>0.5</v>
          </cell>
          <cell r="AP66">
            <v>0.5</v>
          </cell>
          <cell r="AQ66">
            <v>0</v>
          </cell>
          <cell r="AR66">
            <v>0.5</v>
          </cell>
          <cell r="AS66">
            <v>0.5</v>
          </cell>
          <cell r="AT66">
            <v>0</v>
          </cell>
          <cell r="AU66">
            <v>0.5</v>
          </cell>
          <cell r="AV66">
            <v>0.5</v>
          </cell>
          <cell r="AW66">
            <v>0</v>
          </cell>
          <cell r="AX66">
            <v>0.5</v>
          </cell>
          <cell r="AY66">
            <v>0.5</v>
          </cell>
          <cell r="AZ66">
            <v>0</v>
          </cell>
          <cell r="BA66">
            <v>0.5</v>
          </cell>
          <cell r="BB66">
            <v>0.5</v>
          </cell>
          <cell r="BC66">
            <v>0</v>
          </cell>
          <cell r="BD66">
            <v>0.5</v>
          </cell>
          <cell r="BG66">
            <v>0.06</v>
          </cell>
          <cell r="BH66">
            <v>0.08</v>
          </cell>
          <cell r="BI66">
            <v>0.1</v>
          </cell>
          <cell r="BJ66">
            <v>0.06</v>
          </cell>
          <cell r="BK66">
            <v>0.08</v>
          </cell>
          <cell r="BL66">
            <v>0.1</v>
          </cell>
          <cell r="BM66">
            <v>0.06</v>
          </cell>
          <cell r="BN66">
            <v>0.08</v>
          </cell>
          <cell r="BO66">
            <v>0.1</v>
          </cell>
          <cell r="BP66">
            <v>0.06</v>
          </cell>
          <cell r="BQ66">
            <v>0.08</v>
          </cell>
          <cell r="BR66">
            <v>0.1</v>
          </cell>
          <cell r="BS66">
            <v>0.06</v>
          </cell>
          <cell r="BT66">
            <v>0.08</v>
          </cell>
          <cell r="BU66">
            <v>0.1</v>
          </cell>
          <cell r="BV66">
            <v>0.06</v>
          </cell>
          <cell r="BW66">
            <v>0.08</v>
          </cell>
          <cell r="BX66">
            <v>0.1</v>
          </cell>
          <cell r="BY66">
            <v>0.06</v>
          </cell>
          <cell r="BZ66">
            <v>0.08</v>
          </cell>
          <cell r="CA66">
            <v>0.1</v>
          </cell>
          <cell r="CB66">
            <v>0.06</v>
          </cell>
          <cell r="CC66">
            <v>0.08</v>
          </cell>
          <cell r="CD66">
            <v>0.1</v>
          </cell>
          <cell r="CE66">
            <v>0.06</v>
          </cell>
          <cell r="CF66">
            <v>0.08</v>
          </cell>
          <cell r="CG66">
            <v>0.1</v>
          </cell>
          <cell r="CH66">
            <v>0.06</v>
          </cell>
          <cell r="CI66">
            <v>0.08</v>
          </cell>
          <cell r="CJ66">
            <v>0.1</v>
          </cell>
          <cell r="CK66">
            <v>0.06</v>
          </cell>
          <cell r="CL66">
            <v>0.08</v>
          </cell>
          <cell r="CM66">
            <v>0.1</v>
          </cell>
          <cell r="CN66">
            <v>0.06</v>
          </cell>
          <cell r="CO66">
            <v>0.08</v>
          </cell>
          <cell r="CP66">
            <v>0.1</v>
          </cell>
          <cell r="CQ66">
            <v>0.06</v>
          </cell>
          <cell r="CR66">
            <v>0.08</v>
          </cell>
          <cell r="CS66">
            <v>0.1</v>
          </cell>
          <cell r="CV66">
            <v>5.5E-2</v>
          </cell>
          <cell r="CW66">
            <v>4.4999999999999998E-2</v>
          </cell>
          <cell r="CX66">
            <v>0.03</v>
          </cell>
          <cell r="CY66">
            <v>5.5E-2</v>
          </cell>
          <cell r="CZ66">
            <v>4.4999999999999998E-2</v>
          </cell>
          <cell r="DA66">
            <v>0.03</v>
          </cell>
          <cell r="DB66">
            <v>5.5E-2</v>
          </cell>
          <cell r="DC66">
            <v>4.4999999999999998E-2</v>
          </cell>
          <cell r="DD66">
            <v>0.03</v>
          </cell>
          <cell r="DE66">
            <v>0.06</v>
          </cell>
          <cell r="DF66">
            <v>0.05</v>
          </cell>
          <cell r="DG66">
            <v>0.04</v>
          </cell>
          <cell r="DH66">
            <v>0.06</v>
          </cell>
          <cell r="DI66">
            <v>0.05</v>
          </cell>
          <cell r="DJ66">
            <v>0.04</v>
          </cell>
          <cell r="DK66">
            <v>0.06</v>
          </cell>
          <cell r="DL66">
            <v>0.05</v>
          </cell>
          <cell r="DM66">
            <v>0.04</v>
          </cell>
          <cell r="DN66">
            <v>0.06</v>
          </cell>
          <cell r="DO66">
            <v>0.05</v>
          </cell>
          <cell r="DP66">
            <v>0.04</v>
          </cell>
          <cell r="DQ66">
            <v>0.06</v>
          </cell>
          <cell r="DR66">
            <v>0.05</v>
          </cell>
          <cell r="DS66">
            <v>0.04</v>
          </cell>
          <cell r="DT66">
            <v>0.06</v>
          </cell>
          <cell r="DU66">
            <v>0.05</v>
          </cell>
          <cell r="DV66">
            <v>0.04</v>
          </cell>
          <cell r="DW66">
            <v>0.06</v>
          </cell>
          <cell r="DX66">
            <v>0.05</v>
          </cell>
          <cell r="DY66">
            <v>0.04</v>
          </cell>
          <cell r="DZ66">
            <v>0.06</v>
          </cell>
          <cell r="EA66">
            <v>0.05</v>
          </cell>
          <cell r="EB66">
            <v>0.04</v>
          </cell>
          <cell r="EC66">
            <v>0.06</v>
          </cell>
          <cell r="ED66">
            <v>0.05</v>
          </cell>
          <cell r="EE66">
            <v>0.04</v>
          </cell>
          <cell r="EG66">
            <v>3.2500000000000001E-2</v>
          </cell>
          <cell r="EH66">
            <v>3.2500000000000001E-2</v>
          </cell>
          <cell r="EI66">
            <v>3.2500000000000001E-2</v>
          </cell>
          <cell r="EJ66">
            <v>3.2500000000000001E-2</v>
          </cell>
          <cell r="EK66">
            <v>4.0000000000000008E-2</v>
          </cell>
          <cell r="EL66">
            <v>4.0000000000000008E-2</v>
          </cell>
          <cell r="EM66">
            <v>4.0000000000000008E-2</v>
          </cell>
          <cell r="EN66">
            <v>4.0000000000000008E-2</v>
          </cell>
          <cell r="EO66">
            <v>4.0000000000000008E-2</v>
          </cell>
          <cell r="EP66">
            <v>4.0000000000000008E-2</v>
          </cell>
          <cell r="EQ66">
            <v>4.0000000000000008E-2</v>
          </cell>
          <cell r="ER66">
            <v>4.0000000000000008E-2</v>
          </cell>
          <cell r="ES66">
            <v>4.0000000000000008E-2</v>
          </cell>
          <cell r="EU66">
            <v>0.08</v>
          </cell>
          <cell r="EV66">
            <v>0.08</v>
          </cell>
          <cell r="EW66">
            <v>0.08</v>
          </cell>
          <cell r="EX66">
            <v>0.08</v>
          </cell>
          <cell r="EY66">
            <v>0.08</v>
          </cell>
          <cell r="EZ66">
            <v>0.08</v>
          </cell>
          <cell r="FA66">
            <v>0.08</v>
          </cell>
          <cell r="FB66">
            <v>0.08</v>
          </cell>
          <cell r="FC66">
            <v>0.08</v>
          </cell>
          <cell r="FD66">
            <v>0.08</v>
          </cell>
          <cell r="FE66">
            <v>0.08</v>
          </cell>
          <cell r="FF66">
            <v>0.08</v>
          </cell>
          <cell r="FG66">
            <v>0.08</v>
          </cell>
        </row>
        <row r="67">
          <cell r="D67" t="str">
            <v/>
          </cell>
          <cell r="G67">
            <v>0.05</v>
          </cell>
          <cell r="H67">
            <v>0.05</v>
          </cell>
          <cell r="I67">
            <v>0.05</v>
          </cell>
          <cell r="J67">
            <v>0.05</v>
          </cell>
          <cell r="K67">
            <v>0.05</v>
          </cell>
          <cell r="L67">
            <v>0.05</v>
          </cell>
          <cell r="M67">
            <v>0.05</v>
          </cell>
          <cell r="N67">
            <v>0.05</v>
          </cell>
          <cell r="O67">
            <v>0.05</v>
          </cell>
          <cell r="P67">
            <v>0.05</v>
          </cell>
          <cell r="Q67">
            <v>0.05</v>
          </cell>
          <cell r="R67">
            <v>0.05</v>
          </cell>
          <cell r="U67">
            <v>0.5</v>
          </cell>
          <cell r="V67">
            <v>0</v>
          </cell>
          <cell r="W67">
            <v>0.5</v>
          </cell>
          <cell r="X67">
            <v>0.5</v>
          </cell>
          <cell r="Y67">
            <v>0</v>
          </cell>
          <cell r="Z67">
            <v>0.5</v>
          </cell>
          <cell r="AA67">
            <v>0.5</v>
          </cell>
          <cell r="AB67">
            <v>0</v>
          </cell>
          <cell r="AC67">
            <v>0.5</v>
          </cell>
          <cell r="AD67">
            <v>0.5</v>
          </cell>
          <cell r="AE67">
            <v>0</v>
          </cell>
          <cell r="AF67">
            <v>0.5</v>
          </cell>
          <cell r="AG67">
            <v>0.5</v>
          </cell>
          <cell r="AH67">
            <v>0</v>
          </cell>
          <cell r="AI67">
            <v>0.5</v>
          </cell>
          <cell r="AJ67">
            <v>0.5</v>
          </cell>
          <cell r="AK67">
            <v>0</v>
          </cell>
          <cell r="AL67">
            <v>0.5</v>
          </cell>
          <cell r="AM67">
            <v>0.5</v>
          </cell>
          <cell r="AN67">
            <v>0</v>
          </cell>
          <cell r="AO67">
            <v>0.5</v>
          </cell>
          <cell r="AP67">
            <v>0.5</v>
          </cell>
          <cell r="AQ67">
            <v>0</v>
          </cell>
          <cell r="AR67">
            <v>0.5</v>
          </cell>
          <cell r="AS67">
            <v>0.5</v>
          </cell>
          <cell r="AT67">
            <v>0</v>
          </cell>
          <cell r="AU67">
            <v>0.5</v>
          </cell>
          <cell r="AV67">
            <v>0.5</v>
          </cell>
          <cell r="AW67">
            <v>0</v>
          </cell>
          <cell r="AX67">
            <v>0.5</v>
          </cell>
          <cell r="AY67">
            <v>0.5</v>
          </cell>
          <cell r="AZ67">
            <v>0</v>
          </cell>
          <cell r="BA67">
            <v>0.5</v>
          </cell>
          <cell r="BB67">
            <v>0.5</v>
          </cell>
          <cell r="BC67">
            <v>0</v>
          </cell>
          <cell r="BD67">
            <v>0.5</v>
          </cell>
          <cell r="BG67">
            <v>0.06</v>
          </cell>
          <cell r="BH67">
            <v>0.08</v>
          </cell>
          <cell r="BI67">
            <v>0.1</v>
          </cell>
          <cell r="BJ67">
            <v>0.06</v>
          </cell>
          <cell r="BK67">
            <v>0.08</v>
          </cell>
          <cell r="BL67">
            <v>0.1</v>
          </cell>
          <cell r="BM67">
            <v>0.06</v>
          </cell>
          <cell r="BN67">
            <v>0.08</v>
          </cell>
          <cell r="BO67">
            <v>0.1</v>
          </cell>
          <cell r="BP67">
            <v>0.06</v>
          </cell>
          <cell r="BQ67">
            <v>0.08</v>
          </cell>
          <cell r="BR67">
            <v>0.1</v>
          </cell>
          <cell r="BS67">
            <v>0.06</v>
          </cell>
          <cell r="BT67">
            <v>0.08</v>
          </cell>
          <cell r="BU67">
            <v>0.1</v>
          </cell>
          <cell r="BV67">
            <v>0.06</v>
          </cell>
          <cell r="BW67">
            <v>0.08</v>
          </cell>
          <cell r="BX67">
            <v>0.1</v>
          </cell>
          <cell r="BY67">
            <v>0.06</v>
          </cell>
          <cell r="BZ67">
            <v>0.08</v>
          </cell>
          <cell r="CA67">
            <v>0.1</v>
          </cell>
          <cell r="CB67">
            <v>0.06</v>
          </cell>
          <cell r="CC67">
            <v>0.08</v>
          </cell>
          <cell r="CD67">
            <v>0.1</v>
          </cell>
          <cell r="CE67">
            <v>0.06</v>
          </cell>
          <cell r="CF67">
            <v>0.08</v>
          </cell>
          <cell r="CG67">
            <v>0.1</v>
          </cell>
          <cell r="CH67">
            <v>0.06</v>
          </cell>
          <cell r="CI67">
            <v>0.08</v>
          </cell>
          <cell r="CJ67">
            <v>0.1</v>
          </cell>
          <cell r="CK67">
            <v>0.06</v>
          </cell>
          <cell r="CL67">
            <v>0.08</v>
          </cell>
          <cell r="CM67">
            <v>0.1</v>
          </cell>
          <cell r="CN67">
            <v>0.06</v>
          </cell>
          <cell r="CO67">
            <v>0.08</v>
          </cell>
          <cell r="CP67">
            <v>0.1</v>
          </cell>
          <cell r="CQ67">
            <v>0.06</v>
          </cell>
          <cell r="CR67">
            <v>0.08</v>
          </cell>
          <cell r="CS67">
            <v>0.1</v>
          </cell>
          <cell r="CV67">
            <v>5.5E-2</v>
          </cell>
          <cell r="CW67">
            <v>4.4999999999999998E-2</v>
          </cell>
          <cell r="CX67">
            <v>0.03</v>
          </cell>
          <cell r="CY67">
            <v>5.5E-2</v>
          </cell>
          <cell r="CZ67">
            <v>4.4999999999999998E-2</v>
          </cell>
          <cell r="DA67">
            <v>0.03</v>
          </cell>
          <cell r="DB67">
            <v>5.5E-2</v>
          </cell>
          <cell r="DC67">
            <v>4.4999999999999998E-2</v>
          </cell>
          <cell r="DD67">
            <v>0.03</v>
          </cell>
          <cell r="DE67">
            <v>0.06</v>
          </cell>
          <cell r="DF67">
            <v>0.05</v>
          </cell>
          <cell r="DG67">
            <v>0.04</v>
          </cell>
          <cell r="DH67">
            <v>0.06</v>
          </cell>
          <cell r="DI67">
            <v>0.05</v>
          </cell>
          <cell r="DJ67">
            <v>0.04</v>
          </cell>
          <cell r="DK67">
            <v>0.06</v>
          </cell>
          <cell r="DL67">
            <v>0.05</v>
          </cell>
          <cell r="DM67">
            <v>0.04</v>
          </cell>
          <cell r="DN67">
            <v>0.06</v>
          </cell>
          <cell r="DO67">
            <v>0.05</v>
          </cell>
          <cell r="DP67">
            <v>0.04</v>
          </cell>
          <cell r="DQ67">
            <v>0.06</v>
          </cell>
          <cell r="DR67">
            <v>0.05</v>
          </cell>
          <cell r="DS67">
            <v>0.04</v>
          </cell>
          <cell r="DT67">
            <v>0.06</v>
          </cell>
          <cell r="DU67">
            <v>0.05</v>
          </cell>
          <cell r="DV67">
            <v>0.04</v>
          </cell>
          <cell r="DW67">
            <v>0.06</v>
          </cell>
          <cell r="DX67">
            <v>0.05</v>
          </cell>
          <cell r="DY67">
            <v>0.04</v>
          </cell>
          <cell r="DZ67">
            <v>0.06</v>
          </cell>
          <cell r="EA67">
            <v>0.05</v>
          </cell>
          <cell r="EB67">
            <v>0.04</v>
          </cell>
          <cell r="EC67">
            <v>0.06</v>
          </cell>
          <cell r="ED67">
            <v>0.05</v>
          </cell>
          <cell r="EE67">
            <v>0.04</v>
          </cell>
          <cell r="EG67">
            <v>3.2500000000000001E-2</v>
          </cell>
          <cell r="EH67">
            <v>3.2500000000000001E-2</v>
          </cell>
          <cell r="EI67">
            <v>3.2500000000000001E-2</v>
          </cell>
          <cell r="EJ67">
            <v>3.2500000000000001E-2</v>
          </cell>
          <cell r="EK67">
            <v>4.0000000000000008E-2</v>
          </cell>
          <cell r="EL67">
            <v>4.0000000000000008E-2</v>
          </cell>
          <cell r="EM67">
            <v>4.0000000000000008E-2</v>
          </cell>
          <cell r="EN67">
            <v>4.0000000000000008E-2</v>
          </cell>
          <cell r="EO67">
            <v>4.0000000000000008E-2</v>
          </cell>
          <cell r="EP67">
            <v>4.0000000000000008E-2</v>
          </cell>
          <cell r="EQ67">
            <v>4.0000000000000008E-2</v>
          </cell>
          <cell r="ER67">
            <v>4.0000000000000008E-2</v>
          </cell>
          <cell r="ES67">
            <v>4.0000000000000008E-2</v>
          </cell>
          <cell r="EU67">
            <v>0.08</v>
          </cell>
          <cell r="EV67">
            <v>0.08</v>
          </cell>
          <cell r="EW67">
            <v>0.08</v>
          </cell>
          <cell r="EX67">
            <v>0.08</v>
          </cell>
          <cell r="EY67">
            <v>0.08</v>
          </cell>
          <cell r="EZ67">
            <v>0.08</v>
          </cell>
          <cell r="FA67">
            <v>0.08</v>
          </cell>
          <cell r="FB67">
            <v>0.08</v>
          </cell>
          <cell r="FC67">
            <v>0.08</v>
          </cell>
          <cell r="FD67">
            <v>0.08</v>
          </cell>
          <cell r="FE67">
            <v>0.08</v>
          </cell>
          <cell r="FF67">
            <v>0.08</v>
          </cell>
          <cell r="FG67">
            <v>0.08</v>
          </cell>
        </row>
        <row r="68">
          <cell r="C68" t="str">
            <v>FIAT PULSE Drive 1.3 MT MCA</v>
          </cell>
          <cell r="D68" t="str">
            <v>Pulse Drive 1.3 MT</v>
          </cell>
          <cell r="G68">
            <v>0.05</v>
          </cell>
          <cell r="H68">
            <v>0.05</v>
          </cell>
          <cell r="I68">
            <v>0.05</v>
          </cell>
          <cell r="J68">
            <v>0.05</v>
          </cell>
          <cell r="K68">
            <v>0.05</v>
          </cell>
          <cell r="L68">
            <v>0.05</v>
          </cell>
          <cell r="M68">
            <v>0.05</v>
          </cell>
          <cell r="N68">
            <v>0.05</v>
          </cell>
          <cell r="O68">
            <v>0.05</v>
          </cell>
          <cell r="P68">
            <v>0.05</v>
          </cell>
          <cell r="Q68">
            <v>0.05</v>
          </cell>
          <cell r="R68">
            <v>0.05</v>
          </cell>
          <cell r="U68">
            <v>0.5</v>
          </cell>
          <cell r="V68">
            <v>0</v>
          </cell>
          <cell r="W68">
            <v>0.5</v>
          </cell>
          <cell r="X68">
            <v>0.5</v>
          </cell>
          <cell r="Y68">
            <v>0</v>
          </cell>
          <cell r="Z68">
            <v>0.5</v>
          </cell>
          <cell r="AA68">
            <v>0.5</v>
          </cell>
          <cell r="AB68">
            <v>0</v>
          </cell>
          <cell r="AC68">
            <v>0.5</v>
          </cell>
          <cell r="AD68">
            <v>0.5</v>
          </cell>
          <cell r="AE68">
            <v>0</v>
          </cell>
          <cell r="AF68">
            <v>0.5</v>
          </cell>
          <cell r="AG68">
            <v>0.5</v>
          </cell>
          <cell r="AH68">
            <v>0</v>
          </cell>
          <cell r="AI68">
            <v>0.5</v>
          </cell>
          <cell r="AJ68">
            <v>0.5</v>
          </cell>
          <cell r="AK68">
            <v>0</v>
          </cell>
          <cell r="AL68">
            <v>0.5</v>
          </cell>
          <cell r="AM68">
            <v>0.5</v>
          </cell>
          <cell r="AN68">
            <v>0</v>
          </cell>
          <cell r="AO68">
            <v>0.5</v>
          </cell>
          <cell r="AP68">
            <v>0.5</v>
          </cell>
          <cell r="AQ68">
            <v>0</v>
          </cell>
          <cell r="AR68">
            <v>0.5</v>
          </cell>
          <cell r="AS68">
            <v>0.5</v>
          </cell>
          <cell r="AT68">
            <v>0</v>
          </cell>
          <cell r="AU68">
            <v>0.5</v>
          </cell>
          <cell r="AV68">
            <v>0.5</v>
          </cell>
          <cell r="AW68">
            <v>0</v>
          </cell>
          <cell r="AX68">
            <v>0.5</v>
          </cell>
          <cell r="AY68">
            <v>0.5</v>
          </cell>
          <cell r="AZ68">
            <v>0</v>
          </cell>
          <cell r="BA68">
            <v>0.5</v>
          </cell>
          <cell r="BB68">
            <v>0.5</v>
          </cell>
          <cell r="BC68">
            <v>0</v>
          </cell>
          <cell r="BD68">
            <v>0.5</v>
          </cell>
          <cell r="BG68">
            <v>0.06</v>
          </cell>
          <cell r="BH68">
            <v>0.08</v>
          </cell>
          <cell r="BI68">
            <v>0.1</v>
          </cell>
          <cell r="BJ68">
            <v>0.06</v>
          </cell>
          <cell r="BK68">
            <v>0.08</v>
          </cell>
          <cell r="BL68">
            <v>0.1</v>
          </cell>
          <cell r="BM68">
            <v>0.06</v>
          </cell>
          <cell r="BN68">
            <v>0.08</v>
          </cell>
          <cell r="BO68">
            <v>0.1</v>
          </cell>
          <cell r="BP68">
            <v>0.06</v>
          </cell>
          <cell r="BQ68">
            <v>0.08</v>
          </cell>
          <cell r="BR68">
            <v>0.1</v>
          </cell>
          <cell r="BS68">
            <v>0.06</v>
          </cell>
          <cell r="BT68">
            <v>0.08</v>
          </cell>
          <cell r="BU68">
            <v>0.1</v>
          </cell>
          <cell r="BV68">
            <v>0.06</v>
          </cell>
          <cell r="BW68">
            <v>0.08</v>
          </cell>
          <cell r="BX68">
            <v>0.1</v>
          </cell>
          <cell r="BY68">
            <v>0.06</v>
          </cell>
          <cell r="BZ68">
            <v>0.08</v>
          </cell>
          <cell r="CA68">
            <v>0.1</v>
          </cell>
          <cell r="CB68">
            <v>0.06</v>
          </cell>
          <cell r="CC68">
            <v>0.08</v>
          </cell>
          <cell r="CD68">
            <v>0.1</v>
          </cell>
          <cell r="CE68">
            <v>0.06</v>
          </cell>
          <cell r="CF68">
            <v>0.08</v>
          </cell>
          <cell r="CG68">
            <v>0.1</v>
          </cell>
          <cell r="CH68">
            <v>0.06</v>
          </cell>
          <cell r="CI68">
            <v>0.08</v>
          </cell>
          <cell r="CJ68">
            <v>0.1</v>
          </cell>
          <cell r="CK68">
            <v>0.06</v>
          </cell>
          <cell r="CL68">
            <v>0.08</v>
          </cell>
          <cell r="CM68">
            <v>0.1</v>
          </cell>
          <cell r="CN68">
            <v>0.06</v>
          </cell>
          <cell r="CO68">
            <v>0.08</v>
          </cell>
          <cell r="CP68">
            <v>0.1</v>
          </cell>
          <cell r="CQ68">
            <v>0.06</v>
          </cell>
          <cell r="CR68">
            <v>0.08</v>
          </cell>
          <cell r="CS68">
            <v>0.1</v>
          </cell>
          <cell r="CV68">
            <v>5.5E-2</v>
          </cell>
          <cell r="CW68">
            <v>4.4999999999999998E-2</v>
          </cell>
          <cell r="CX68">
            <v>0.03</v>
          </cell>
          <cell r="CY68">
            <v>5.5E-2</v>
          </cell>
          <cell r="CZ68">
            <v>4.4999999999999998E-2</v>
          </cell>
          <cell r="DA68">
            <v>0.03</v>
          </cell>
          <cell r="DB68">
            <v>5.5E-2</v>
          </cell>
          <cell r="DC68">
            <v>4.4999999999999998E-2</v>
          </cell>
          <cell r="DD68">
            <v>0.03</v>
          </cell>
          <cell r="DE68">
            <v>0.06</v>
          </cell>
          <cell r="DF68">
            <v>0.05</v>
          </cell>
          <cell r="DG68">
            <v>0.04</v>
          </cell>
          <cell r="DH68">
            <v>0.06</v>
          </cell>
          <cell r="DI68">
            <v>0.05</v>
          </cell>
          <cell r="DJ68">
            <v>0.04</v>
          </cell>
          <cell r="DK68">
            <v>0.06</v>
          </cell>
          <cell r="DL68">
            <v>0.05</v>
          </cell>
          <cell r="DM68">
            <v>0.04</v>
          </cell>
          <cell r="DN68">
            <v>0.06</v>
          </cell>
          <cell r="DO68">
            <v>0.05</v>
          </cell>
          <cell r="DP68">
            <v>0.04</v>
          </cell>
          <cell r="DQ68">
            <v>0.06</v>
          </cell>
          <cell r="DR68">
            <v>0.05</v>
          </cell>
          <cell r="DS68">
            <v>0.04</v>
          </cell>
          <cell r="DT68">
            <v>0.06</v>
          </cell>
          <cell r="DU68">
            <v>0.05</v>
          </cell>
          <cell r="DV68">
            <v>0.04</v>
          </cell>
          <cell r="DW68">
            <v>0.06</v>
          </cell>
          <cell r="DX68">
            <v>0.05</v>
          </cell>
          <cell r="DY68">
            <v>0.04</v>
          </cell>
          <cell r="DZ68">
            <v>0.06</v>
          </cell>
          <cell r="EA68">
            <v>0.05</v>
          </cell>
          <cell r="EB68">
            <v>0.04</v>
          </cell>
          <cell r="EC68">
            <v>0.06</v>
          </cell>
          <cell r="ED68">
            <v>0.05</v>
          </cell>
          <cell r="EE68">
            <v>0.04</v>
          </cell>
          <cell r="EG68">
            <v>3.2500000000000001E-2</v>
          </cell>
          <cell r="EH68">
            <v>3.2500000000000001E-2</v>
          </cell>
          <cell r="EI68">
            <v>3.2500000000000001E-2</v>
          </cell>
          <cell r="EJ68">
            <v>3.2500000000000001E-2</v>
          </cell>
          <cell r="EK68">
            <v>4.0000000000000008E-2</v>
          </cell>
          <cell r="EL68">
            <v>4.0000000000000008E-2</v>
          </cell>
          <cell r="EM68">
            <v>4.0000000000000008E-2</v>
          </cell>
          <cell r="EN68">
            <v>4.0000000000000008E-2</v>
          </cell>
          <cell r="EO68">
            <v>4.0000000000000008E-2</v>
          </cell>
          <cell r="EP68">
            <v>4.0000000000000008E-2</v>
          </cell>
          <cell r="EQ68">
            <v>4.0000000000000008E-2</v>
          </cell>
          <cell r="ER68">
            <v>4.0000000000000008E-2</v>
          </cell>
          <cell r="ES68">
            <v>4.0000000000000008E-2</v>
          </cell>
          <cell r="EU68">
            <v>0.08</v>
          </cell>
          <cell r="EV68">
            <v>0.08</v>
          </cell>
          <cell r="EW68">
            <v>0.08</v>
          </cell>
          <cell r="EX68">
            <v>0.08</v>
          </cell>
          <cell r="EY68">
            <v>0.08</v>
          </cell>
          <cell r="EZ68">
            <v>0.08</v>
          </cell>
          <cell r="FA68">
            <v>0.08</v>
          </cell>
          <cell r="FB68">
            <v>0.08</v>
          </cell>
          <cell r="FC68">
            <v>0.08</v>
          </cell>
          <cell r="FD68">
            <v>0.08</v>
          </cell>
          <cell r="FE68">
            <v>0.08</v>
          </cell>
          <cell r="FF68">
            <v>0.08</v>
          </cell>
          <cell r="FG68">
            <v>0.08</v>
          </cell>
        </row>
        <row r="69">
          <cell r="C69" t="str">
            <v>FIAT PULSE Drive 1.3 AT MCA</v>
          </cell>
          <cell r="D69" t="str">
            <v>Pulse Drive 1.3 CVT</v>
          </cell>
          <cell r="G69">
            <v>0.05</v>
          </cell>
          <cell r="H69">
            <v>0.05</v>
          </cell>
          <cell r="I69">
            <v>0.05</v>
          </cell>
          <cell r="J69">
            <v>0.05</v>
          </cell>
          <cell r="K69">
            <v>0.05</v>
          </cell>
          <cell r="L69">
            <v>0.05</v>
          </cell>
          <cell r="M69">
            <v>0.05</v>
          </cell>
          <cell r="N69">
            <v>0.05</v>
          </cell>
          <cell r="O69">
            <v>0.05</v>
          </cell>
          <cell r="P69">
            <v>0.05</v>
          </cell>
          <cell r="Q69">
            <v>0.05</v>
          </cell>
          <cell r="R69">
            <v>0.05</v>
          </cell>
          <cell r="U69">
            <v>0.5</v>
          </cell>
          <cell r="V69">
            <v>0</v>
          </cell>
          <cell r="W69">
            <v>0.5</v>
          </cell>
          <cell r="X69">
            <v>0.5</v>
          </cell>
          <cell r="Y69">
            <v>0</v>
          </cell>
          <cell r="Z69">
            <v>0.5</v>
          </cell>
          <cell r="AA69">
            <v>0.5</v>
          </cell>
          <cell r="AB69">
            <v>0</v>
          </cell>
          <cell r="AC69">
            <v>0.5</v>
          </cell>
          <cell r="AD69">
            <v>0.5</v>
          </cell>
          <cell r="AE69">
            <v>0</v>
          </cell>
          <cell r="AF69">
            <v>0.5</v>
          </cell>
          <cell r="AG69">
            <v>0.5</v>
          </cell>
          <cell r="AH69">
            <v>0</v>
          </cell>
          <cell r="AI69">
            <v>0.5</v>
          </cell>
          <cell r="AJ69">
            <v>0.5</v>
          </cell>
          <cell r="AK69">
            <v>0</v>
          </cell>
          <cell r="AL69">
            <v>0.5</v>
          </cell>
          <cell r="AM69">
            <v>0.5</v>
          </cell>
          <cell r="AN69">
            <v>0</v>
          </cell>
          <cell r="AO69">
            <v>0.5</v>
          </cell>
          <cell r="AP69">
            <v>0.5</v>
          </cell>
          <cell r="AQ69">
            <v>0</v>
          </cell>
          <cell r="AR69">
            <v>0.5</v>
          </cell>
          <cell r="AS69">
            <v>0.5</v>
          </cell>
          <cell r="AT69">
            <v>0</v>
          </cell>
          <cell r="AU69">
            <v>0.5</v>
          </cell>
          <cell r="AV69">
            <v>0.5</v>
          </cell>
          <cell r="AW69">
            <v>0</v>
          </cell>
          <cell r="AX69">
            <v>0.5</v>
          </cell>
          <cell r="AY69">
            <v>0.5</v>
          </cell>
          <cell r="AZ69">
            <v>0</v>
          </cell>
          <cell r="BA69">
            <v>0.5</v>
          </cell>
          <cell r="BB69">
            <v>0.5</v>
          </cell>
          <cell r="BC69">
            <v>0</v>
          </cell>
          <cell r="BD69">
            <v>0.5</v>
          </cell>
          <cell r="BG69">
            <v>0.06</v>
          </cell>
          <cell r="BH69">
            <v>0.08</v>
          </cell>
          <cell r="BI69">
            <v>0.1</v>
          </cell>
          <cell r="BJ69">
            <v>0.06</v>
          </cell>
          <cell r="BK69">
            <v>0.08</v>
          </cell>
          <cell r="BL69">
            <v>0.1</v>
          </cell>
          <cell r="BM69">
            <v>0.06</v>
          </cell>
          <cell r="BN69">
            <v>0.08</v>
          </cell>
          <cell r="BO69">
            <v>0.1</v>
          </cell>
          <cell r="BP69">
            <v>0.06</v>
          </cell>
          <cell r="BQ69">
            <v>0.08</v>
          </cell>
          <cell r="BR69">
            <v>0.1</v>
          </cell>
          <cell r="BS69">
            <v>0.06</v>
          </cell>
          <cell r="BT69">
            <v>0.08</v>
          </cell>
          <cell r="BU69">
            <v>0.1</v>
          </cell>
          <cell r="BV69">
            <v>0.06</v>
          </cell>
          <cell r="BW69">
            <v>0.08</v>
          </cell>
          <cell r="BX69">
            <v>0.1</v>
          </cell>
          <cell r="BY69">
            <v>0.06</v>
          </cell>
          <cell r="BZ69">
            <v>0.08</v>
          </cell>
          <cell r="CA69">
            <v>0.1</v>
          </cell>
          <cell r="CB69">
            <v>0.06</v>
          </cell>
          <cell r="CC69">
            <v>0.08</v>
          </cell>
          <cell r="CD69">
            <v>0.1</v>
          </cell>
          <cell r="CE69">
            <v>0.06</v>
          </cell>
          <cell r="CF69">
            <v>0.08</v>
          </cell>
          <cell r="CG69">
            <v>0.1</v>
          </cell>
          <cell r="CH69">
            <v>0.06</v>
          </cell>
          <cell r="CI69">
            <v>0.08</v>
          </cell>
          <cell r="CJ69">
            <v>0.1</v>
          </cell>
          <cell r="CK69">
            <v>0.06</v>
          </cell>
          <cell r="CL69">
            <v>0.08</v>
          </cell>
          <cell r="CM69">
            <v>0.1</v>
          </cell>
          <cell r="CN69">
            <v>0.06</v>
          </cell>
          <cell r="CO69">
            <v>0.08</v>
          </cell>
          <cell r="CP69">
            <v>0.1</v>
          </cell>
          <cell r="CQ69">
            <v>0.06</v>
          </cell>
          <cell r="CR69">
            <v>0.08</v>
          </cell>
          <cell r="CS69">
            <v>0.1</v>
          </cell>
          <cell r="CV69">
            <v>5.5E-2</v>
          </cell>
          <cell r="CW69">
            <v>4.4999999999999998E-2</v>
          </cell>
          <cell r="CX69">
            <v>0.03</v>
          </cell>
          <cell r="CY69">
            <v>5.5E-2</v>
          </cell>
          <cell r="CZ69">
            <v>4.4999999999999998E-2</v>
          </cell>
          <cell r="DA69">
            <v>0.03</v>
          </cell>
          <cell r="DB69">
            <v>5.5E-2</v>
          </cell>
          <cell r="DC69">
            <v>4.4999999999999998E-2</v>
          </cell>
          <cell r="DD69">
            <v>0.03</v>
          </cell>
          <cell r="DE69">
            <v>0.06</v>
          </cell>
          <cell r="DF69">
            <v>0.05</v>
          </cell>
          <cell r="DG69">
            <v>0.04</v>
          </cell>
          <cell r="DH69">
            <v>0.06</v>
          </cell>
          <cell r="DI69">
            <v>0.05</v>
          </cell>
          <cell r="DJ69">
            <v>0.04</v>
          </cell>
          <cell r="DK69">
            <v>0.06</v>
          </cell>
          <cell r="DL69">
            <v>0.05</v>
          </cell>
          <cell r="DM69">
            <v>0.04</v>
          </cell>
          <cell r="DN69">
            <v>0.06</v>
          </cell>
          <cell r="DO69">
            <v>0.05</v>
          </cell>
          <cell r="DP69">
            <v>0.04</v>
          </cell>
          <cell r="DQ69">
            <v>0.06</v>
          </cell>
          <cell r="DR69">
            <v>0.05</v>
          </cell>
          <cell r="DS69">
            <v>0.04</v>
          </cell>
          <cell r="DT69">
            <v>0.06</v>
          </cell>
          <cell r="DU69">
            <v>0.05</v>
          </cell>
          <cell r="DV69">
            <v>0.04</v>
          </cell>
          <cell r="DW69">
            <v>0.06</v>
          </cell>
          <cell r="DX69">
            <v>0.05</v>
          </cell>
          <cell r="DY69">
            <v>0.04</v>
          </cell>
          <cell r="DZ69">
            <v>0.06</v>
          </cell>
          <cell r="EA69">
            <v>0.05</v>
          </cell>
          <cell r="EB69">
            <v>0.04</v>
          </cell>
          <cell r="EC69">
            <v>0.06</v>
          </cell>
          <cell r="ED69">
            <v>0.05</v>
          </cell>
          <cell r="EE69">
            <v>0.04</v>
          </cell>
          <cell r="EG69">
            <v>3.2500000000000001E-2</v>
          </cell>
          <cell r="EH69">
            <v>3.2500000000000001E-2</v>
          </cell>
          <cell r="EI69">
            <v>3.2500000000000001E-2</v>
          </cell>
          <cell r="EJ69">
            <v>3.2500000000000001E-2</v>
          </cell>
          <cell r="EK69">
            <v>4.0000000000000008E-2</v>
          </cell>
          <cell r="EL69">
            <v>4.0000000000000008E-2</v>
          </cell>
          <cell r="EM69">
            <v>4.0000000000000008E-2</v>
          </cell>
          <cell r="EN69">
            <v>4.0000000000000008E-2</v>
          </cell>
          <cell r="EO69">
            <v>4.0000000000000008E-2</v>
          </cell>
          <cell r="EP69">
            <v>4.0000000000000008E-2</v>
          </cell>
          <cell r="EQ69">
            <v>4.0000000000000008E-2</v>
          </cell>
          <cell r="ER69">
            <v>4.0000000000000008E-2</v>
          </cell>
          <cell r="ES69">
            <v>4.0000000000000008E-2</v>
          </cell>
          <cell r="EU69">
            <v>0.08</v>
          </cell>
          <cell r="EV69">
            <v>0.08</v>
          </cell>
          <cell r="EW69">
            <v>0.08</v>
          </cell>
          <cell r="EX69">
            <v>0.08</v>
          </cell>
          <cell r="EY69">
            <v>0.08</v>
          </cell>
          <cell r="EZ69">
            <v>0.08</v>
          </cell>
          <cell r="FA69">
            <v>0.08</v>
          </cell>
          <cell r="FB69">
            <v>0.08</v>
          </cell>
          <cell r="FC69">
            <v>0.08</v>
          </cell>
          <cell r="FD69">
            <v>0.08</v>
          </cell>
          <cell r="FE69">
            <v>0.08</v>
          </cell>
          <cell r="FF69">
            <v>0.08</v>
          </cell>
          <cell r="FG69">
            <v>0.08</v>
          </cell>
        </row>
        <row r="70">
          <cell r="C70" t="str">
            <v>FIAT PULSE Impetus Turbo AT MCA</v>
          </cell>
          <cell r="D70" t="str">
            <v>PULSE IMPETUS 1.0 CVT</v>
          </cell>
          <cell r="G70">
            <v>0.05</v>
          </cell>
          <cell r="H70">
            <v>0.05</v>
          </cell>
          <cell r="I70">
            <v>0.05</v>
          </cell>
          <cell r="J70">
            <v>0.05</v>
          </cell>
          <cell r="K70">
            <v>0.05</v>
          </cell>
          <cell r="L70">
            <v>0.05</v>
          </cell>
          <cell r="M70">
            <v>0.05</v>
          </cell>
          <cell r="N70">
            <v>0.05</v>
          </cell>
          <cell r="O70">
            <v>0.05</v>
          </cell>
          <cell r="P70">
            <v>0.05</v>
          </cell>
          <cell r="Q70">
            <v>0.05</v>
          </cell>
          <cell r="R70">
            <v>0.05</v>
          </cell>
          <cell r="U70">
            <v>0.5</v>
          </cell>
          <cell r="V70">
            <v>0</v>
          </cell>
          <cell r="W70">
            <v>0.5</v>
          </cell>
          <cell r="X70">
            <v>0.5</v>
          </cell>
          <cell r="Y70">
            <v>0</v>
          </cell>
          <cell r="Z70">
            <v>0.5</v>
          </cell>
          <cell r="AA70">
            <v>0.5</v>
          </cell>
          <cell r="AB70">
            <v>0</v>
          </cell>
          <cell r="AC70">
            <v>0.5</v>
          </cell>
          <cell r="AD70">
            <v>0.5</v>
          </cell>
          <cell r="AE70">
            <v>0</v>
          </cell>
          <cell r="AF70">
            <v>0.5</v>
          </cell>
          <cell r="AG70">
            <v>0.5</v>
          </cell>
          <cell r="AH70">
            <v>0</v>
          </cell>
          <cell r="AI70">
            <v>0.5</v>
          </cell>
          <cell r="AJ70">
            <v>0.5</v>
          </cell>
          <cell r="AK70">
            <v>0</v>
          </cell>
          <cell r="AL70">
            <v>0.5</v>
          </cell>
          <cell r="AM70">
            <v>0.5</v>
          </cell>
          <cell r="AN70">
            <v>0</v>
          </cell>
          <cell r="AO70">
            <v>0.5</v>
          </cell>
          <cell r="AP70">
            <v>0.5</v>
          </cell>
          <cell r="AQ70">
            <v>0</v>
          </cell>
          <cell r="AR70">
            <v>0.5</v>
          </cell>
          <cell r="AS70">
            <v>0.5</v>
          </cell>
          <cell r="AT70">
            <v>0</v>
          </cell>
          <cell r="AU70">
            <v>0.5</v>
          </cell>
          <cell r="AV70">
            <v>0.5</v>
          </cell>
          <cell r="AW70">
            <v>0</v>
          </cell>
          <cell r="AX70">
            <v>0.5</v>
          </cell>
          <cell r="AY70">
            <v>0.5</v>
          </cell>
          <cell r="AZ70">
            <v>0</v>
          </cell>
          <cell r="BA70">
            <v>0.5</v>
          </cell>
          <cell r="BB70">
            <v>0.5</v>
          </cell>
          <cell r="BC70">
            <v>0</v>
          </cell>
          <cell r="BD70">
            <v>0.5</v>
          </cell>
          <cell r="BG70">
            <v>0.06</v>
          </cell>
          <cell r="BH70">
            <v>0.08</v>
          </cell>
          <cell r="BI70">
            <v>0.1</v>
          </cell>
          <cell r="BJ70">
            <v>0.06</v>
          </cell>
          <cell r="BK70">
            <v>0.08</v>
          </cell>
          <cell r="BL70">
            <v>0.1</v>
          </cell>
          <cell r="BM70">
            <v>0.06</v>
          </cell>
          <cell r="BN70">
            <v>0.08</v>
          </cell>
          <cell r="BO70">
            <v>0.1</v>
          </cell>
          <cell r="BP70">
            <v>0.06</v>
          </cell>
          <cell r="BQ70">
            <v>0.08</v>
          </cell>
          <cell r="BR70">
            <v>0.1</v>
          </cell>
          <cell r="BS70">
            <v>0.06</v>
          </cell>
          <cell r="BT70">
            <v>0.08</v>
          </cell>
          <cell r="BU70">
            <v>0.1</v>
          </cell>
          <cell r="BV70">
            <v>0.06</v>
          </cell>
          <cell r="BW70">
            <v>0.08</v>
          </cell>
          <cell r="BX70">
            <v>0.1</v>
          </cell>
          <cell r="BY70">
            <v>0.06</v>
          </cell>
          <cell r="BZ70">
            <v>0.08</v>
          </cell>
          <cell r="CA70">
            <v>0.1</v>
          </cell>
          <cell r="CB70">
            <v>0.06</v>
          </cell>
          <cell r="CC70">
            <v>0.08</v>
          </cell>
          <cell r="CD70">
            <v>0.1</v>
          </cell>
          <cell r="CE70">
            <v>0.06</v>
          </cell>
          <cell r="CF70">
            <v>0.08</v>
          </cell>
          <cell r="CG70">
            <v>0.1</v>
          </cell>
          <cell r="CH70">
            <v>0.06</v>
          </cell>
          <cell r="CI70">
            <v>0.08</v>
          </cell>
          <cell r="CJ70">
            <v>0.1</v>
          </cell>
          <cell r="CK70">
            <v>0.06</v>
          </cell>
          <cell r="CL70">
            <v>0.08</v>
          </cell>
          <cell r="CM70">
            <v>0.1</v>
          </cell>
          <cell r="CN70">
            <v>0.06</v>
          </cell>
          <cell r="CO70">
            <v>0.08</v>
          </cell>
          <cell r="CP70">
            <v>0.1</v>
          </cell>
          <cell r="CQ70">
            <v>0.06</v>
          </cell>
          <cell r="CR70">
            <v>0.08</v>
          </cell>
          <cell r="CS70">
            <v>0.1</v>
          </cell>
          <cell r="CV70">
            <v>5.5E-2</v>
          </cell>
          <cell r="CW70">
            <v>4.4999999999999998E-2</v>
          </cell>
          <cell r="CX70">
            <v>0.03</v>
          </cell>
          <cell r="CY70">
            <v>5.5E-2</v>
          </cell>
          <cell r="CZ70">
            <v>4.4999999999999998E-2</v>
          </cell>
          <cell r="DA70">
            <v>0.03</v>
          </cell>
          <cell r="DB70">
            <v>5.5E-2</v>
          </cell>
          <cell r="DC70">
            <v>4.4999999999999998E-2</v>
          </cell>
          <cell r="DD70">
            <v>0.03</v>
          </cell>
          <cell r="DE70">
            <v>0.06</v>
          </cell>
          <cell r="DF70">
            <v>0.05</v>
          </cell>
          <cell r="DG70">
            <v>0.04</v>
          </cell>
          <cell r="DH70">
            <v>0.06</v>
          </cell>
          <cell r="DI70">
            <v>0.05</v>
          </cell>
          <cell r="DJ70">
            <v>0.04</v>
          </cell>
          <cell r="DK70">
            <v>0.06</v>
          </cell>
          <cell r="DL70">
            <v>0.05</v>
          </cell>
          <cell r="DM70">
            <v>0.04</v>
          </cell>
          <cell r="DN70">
            <v>0.06</v>
          </cell>
          <cell r="DO70">
            <v>0.05</v>
          </cell>
          <cell r="DP70">
            <v>0.04</v>
          </cell>
          <cell r="DQ70">
            <v>0.06</v>
          </cell>
          <cell r="DR70">
            <v>0.05</v>
          </cell>
          <cell r="DS70">
            <v>0.04</v>
          </cell>
          <cell r="DT70">
            <v>0.06</v>
          </cell>
          <cell r="DU70">
            <v>0.05</v>
          </cell>
          <cell r="DV70">
            <v>0.04</v>
          </cell>
          <cell r="DW70">
            <v>0.06</v>
          </cell>
          <cell r="DX70">
            <v>0.05</v>
          </cell>
          <cell r="DY70">
            <v>0.04</v>
          </cell>
          <cell r="DZ70">
            <v>0.06</v>
          </cell>
          <cell r="EA70">
            <v>0.05</v>
          </cell>
          <cell r="EB70">
            <v>0.04</v>
          </cell>
          <cell r="EC70">
            <v>0.06</v>
          </cell>
          <cell r="ED70">
            <v>0.05</v>
          </cell>
          <cell r="EE70">
            <v>0.04</v>
          </cell>
          <cell r="EG70">
            <v>3.2500000000000001E-2</v>
          </cell>
          <cell r="EH70">
            <v>3.2500000000000001E-2</v>
          </cell>
          <cell r="EI70">
            <v>3.2500000000000001E-2</v>
          </cell>
          <cell r="EJ70">
            <v>3.2500000000000001E-2</v>
          </cell>
          <cell r="EK70">
            <v>4.0000000000000008E-2</v>
          </cell>
          <cell r="EL70">
            <v>4.0000000000000008E-2</v>
          </cell>
          <cell r="EM70">
            <v>4.0000000000000008E-2</v>
          </cell>
          <cell r="EN70">
            <v>4.0000000000000008E-2</v>
          </cell>
          <cell r="EO70">
            <v>4.0000000000000008E-2</v>
          </cell>
          <cell r="EP70">
            <v>4.0000000000000008E-2</v>
          </cell>
          <cell r="EQ70">
            <v>4.0000000000000008E-2</v>
          </cell>
          <cell r="ER70">
            <v>4.0000000000000008E-2</v>
          </cell>
          <cell r="ES70">
            <v>4.0000000000000008E-2</v>
          </cell>
          <cell r="EU70">
            <v>0.08</v>
          </cell>
          <cell r="EV70">
            <v>0.08</v>
          </cell>
          <cell r="EW70">
            <v>0.08</v>
          </cell>
          <cell r="EX70">
            <v>0.08</v>
          </cell>
          <cell r="EY70">
            <v>0.08</v>
          </cell>
          <cell r="EZ70">
            <v>0.08</v>
          </cell>
          <cell r="FA70">
            <v>0.08</v>
          </cell>
          <cell r="FB70">
            <v>0.08</v>
          </cell>
          <cell r="FC70">
            <v>0.08</v>
          </cell>
          <cell r="FD70">
            <v>0.08</v>
          </cell>
          <cell r="FE70">
            <v>0.08</v>
          </cell>
          <cell r="FF70">
            <v>0.08</v>
          </cell>
          <cell r="FG70">
            <v>0.08</v>
          </cell>
        </row>
        <row r="71">
          <cell r="C71" t="str">
            <v>FIAT PULSE Drive 1.3 MT</v>
          </cell>
          <cell r="D71" t="str">
            <v>FIAT PULSE Drive 1.3 MT</v>
          </cell>
          <cell r="G71">
            <v>0.05</v>
          </cell>
          <cell r="H71">
            <v>0.05</v>
          </cell>
          <cell r="I71">
            <v>0.05</v>
          </cell>
          <cell r="J71">
            <v>0.05</v>
          </cell>
          <cell r="K71">
            <v>0.05</v>
          </cell>
          <cell r="L71">
            <v>0.05</v>
          </cell>
          <cell r="M71">
            <v>0.05</v>
          </cell>
          <cell r="N71">
            <v>0.05</v>
          </cell>
          <cell r="O71">
            <v>0.05</v>
          </cell>
          <cell r="P71">
            <v>0.05</v>
          </cell>
          <cell r="Q71">
            <v>0.05</v>
          </cell>
          <cell r="R71">
            <v>0.05</v>
          </cell>
          <cell r="U71">
            <v>0.5</v>
          </cell>
          <cell r="V71">
            <v>0</v>
          </cell>
          <cell r="W71">
            <v>0.5</v>
          </cell>
          <cell r="X71">
            <v>0.5</v>
          </cell>
          <cell r="Y71">
            <v>0</v>
          </cell>
          <cell r="Z71">
            <v>0.5</v>
          </cell>
          <cell r="AA71">
            <v>0.5</v>
          </cell>
          <cell r="AB71">
            <v>0</v>
          </cell>
          <cell r="AC71">
            <v>0.5</v>
          </cell>
          <cell r="AD71">
            <v>0.5</v>
          </cell>
          <cell r="AE71">
            <v>0</v>
          </cell>
          <cell r="AF71">
            <v>0.5</v>
          </cell>
          <cell r="AG71">
            <v>0.5</v>
          </cell>
          <cell r="AH71">
            <v>0</v>
          </cell>
          <cell r="AI71">
            <v>0.5</v>
          </cell>
          <cell r="AJ71">
            <v>0.5</v>
          </cell>
          <cell r="AK71">
            <v>0</v>
          </cell>
          <cell r="AL71">
            <v>0.5</v>
          </cell>
          <cell r="AM71">
            <v>0.5</v>
          </cell>
          <cell r="AN71">
            <v>0</v>
          </cell>
          <cell r="AO71">
            <v>0.5</v>
          </cell>
          <cell r="AP71">
            <v>0.5</v>
          </cell>
          <cell r="AQ71">
            <v>0</v>
          </cell>
          <cell r="AR71">
            <v>0.5</v>
          </cell>
          <cell r="AS71">
            <v>0.5</v>
          </cell>
          <cell r="AT71">
            <v>0</v>
          </cell>
          <cell r="AU71">
            <v>0.5</v>
          </cell>
          <cell r="AV71">
            <v>0.5</v>
          </cell>
          <cell r="AW71">
            <v>0</v>
          </cell>
          <cell r="AX71">
            <v>0.5</v>
          </cell>
          <cell r="AY71">
            <v>0.5</v>
          </cell>
          <cell r="AZ71">
            <v>0</v>
          </cell>
          <cell r="BA71">
            <v>0.5</v>
          </cell>
          <cell r="BB71">
            <v>0.5</v>
          </cell>
          <cell r="BC71">
            <v>0</v>
          </cell>
          <cell r="BD71">
            <v>0.5</v>
          </cell>
          <cell r="BG71">
            <v>0.06</v>
          </cell>
          <cell r="BH71">
            <v>0.08</v>
          </cell>
          <cell r="BI71">
            <v>0.1</v>
          </cell>
          <cell r="BJ71">
            <v>0.06</v>
          </cell>
          <cell r="BK71">
            <v>0.08</v>
          </cell>
          <cell r="BL71">
            <v>0.1</v>
          </cell>
          <cell r="BM71">
            <v>0.06</v>
          </cell>
          <cell r="BN71">
            <v>0.08</v>
          </cell>
          <cell r="BO71">
            <v>0.1</v>
          </cell>
          <cell r="BP71">
            <v>0.06</v>
          </cell>
          <cell r="BQ71">
            <v>0.08</v>
          </cell>
          <cell r="BR71">
            <v>0.1</v>
          </cell>
          <cell r="BS71">
            <v>0.06</v>
          </cell>
          <cell r="BT71">
            <v>0.08</v>
          </cell>
          <cell r="BU71">
            <v>0.1</v>
          </cell>
          <cell r="BV71">
            <v>0.06</v>
          </cell>
          <cell r="BW71">
            <v>0.08</v>
          </cell>
          <cell r="BX71">
            <v>0.1</v>
          </cell>
          <cell r="BY71">
            <v>0.06</v>
          </cell>
          <cell r="BZ71">
            <v>0.08</v>
          </cell>
          <cell r="CA71">
            <v>0.1</v>
          </cell>
          <cell r="CB71">
            <v>0.06</v>
          </cell>
          <cell r="CC71">
            <v>0.08</v>
          </cell>
          <cell r="CD71">
            <v>0.1</v>
          </cell>
          <cell r="CE71">
            <v>0.06</v>
          </cell>
          <cell r="CF71">
            <v>0.08</v>
          </cell>
          <cell r="CG71">
            <v>0.1</v>
          </cell>
          <cell r="CH71">
            <v>0.06</v>
          </cell>
          <cell r="CI71">
            <v>0.08</v>
          </cell>
          <cell r="CJ71">
            <v>0.1</v>
          </cell>
          <cell r="CK71">
            <v>0.06</v>
          </cell>
          <cell r="CL71">
            <v>0.08</v>
          </cell>
          <cell r="CM71">
            <v>0.1</v>
          </cell>
          <cell r="CN71">
            <v>0.06</v>
          </cell>
          <cell r="CO71">
            <v>0.08</v>
          </cell>
          <cell r="CP71">
            <v>0.1</v>
          </cell>
          <cell r="CQ71">
            <v>0.06</v>
          </cell>
          <cell r="CR71">
            <v>0.08</v>
          </cell>
          <cell r="CS71">
            <v>0.1</v>
          </cell>
          <cell r="CV71">
            <v>5.5E-2</v>
          </cell>
          <cell r="CW71">
            <v>4.4999999999999998E-2</v>
          </cell>
          <cell r="CX71">
            <v>0.03</v>
          </cell>
          <cell r="CY71">
            <v>5.5E-2</v>
          </cell>
          <cell r="CZ71">
            <v>4.4999999999999998E-2</v>
          </cell>
          <cell r="DA71">
            <v>0.03</v>
          </cell>
          <cell r="DB71">
            <v>5.5E-2</v>
          </cell>
          <cell r="DC71">
            <v>4.4999999999999998E-2</v>
          </cell>
          <cell r="DD71">
            <v>0.03</v>
          </cell>
          <cell r="DE71">
            <v>0.06</v>
          </cell>
          <cell r="DF71">
            <v>0.05</v>
          </cell>
          <cell r="DG71">
            <v>0.04</v>
          </cell>
          <cell r="DH71">
            <v>0.06</v>
          </cell>
          <cell r="DI71">
            <v>0.05</v>
          </cell>
          <cell r="DJ71">
            <v>0.04</v>
          </cell>
          <cell r="DK71">
            <v>0.06</v>
          </cell>
          <cell r="DL71">
            <v>0.05</v>
          </cell>
          <cell r="DM71">
            <v>0.04</v>
          </cell>
          <cell r="DN71">
            <v>0.06</v>
          </cell>
          <cell r="DO71">
            <v>0.05</v>
          </cell>
          <cell r="DP71">
            <v>0.04</v>
          </cell>
          <cell r="DQ71">
            <v>0.06</v>
          </cell>
          <cell r="DR71">
            <v>0.05</v>
          </cell>
          <cell r="DS71">
            <v>0.04</v>
          </cell>
          <cell r="DT71">
            <v>0.06</v>
          </cell>
          <cell r="DU71">
            <v>0.05</v>
          </cell>
          <cell r="DV71">
            <v>0.04</v>
          </cell>
          <cell r="DW71">
            <v>0.06</v>
          </cell>
          <cell r="DX71">
            <v>0.05</v>
          </cell>
          <cell r="DY71">
            <v>0.04</v>
          </cell>
          <cell r="DZ71">
            <v>0.06</v>
          </cell>
          <cell r="EA71">
            <v>0.05</v>
          </cell>
          <cell r="EB71">
            <v>0.04</v>
          </cell>
          <cell r="EC71">
            <v>0.06</v>
          </cell>
          <cell r="ED71">
            <v>0.05</v>
          </cell>
          <cell r="EE71">
            <v>0.04</v>
          </cell>
          <cell r="EG71">
            <v>3.2500000000000001E-2</v>
          </cell>
          <cell r="EH71">
            <v>3.2500000000000001E-2</v>
          </cell>
          <cell r="EI71">
            <v>3.2500000000000001E-2</v>
          </cell>
          <cell r="EJ71">
            <v>3.2500000000000001E-2</v>
          </cell>
          <cell r="EK71">
            <v>4.0000000000000008E-2</v>
          </cell>
          <cell r="EL71">
            <v>4.0000000000000008E-2</v>
          </cell>
          <cell r="EM71">
            <v>4.0000000000000008E-2</v>
          </cell>
          <cell r="EN71">
            <v>4.0000000000000008E-2</v>
          </cell>
          <cell r="EO71">
            <v>4.0000000000000008E-2</v>
          </cell>
          <cell r="EP71">
            <v>4.0000000000000008E-2</v>
          </cell>
          <cell r="EQ71">
            <v>4.0000000000000008E-2</v>
          </cell>
          <cell r="ER71">
            <v>4.0000000000000008E-2</v>
          </cell>
          <cell r="ES71">
            <v>4.0000000000000008E-2</v>
          </cell>
          <cell r="EU71">
            <v>0.08</v>
          </cell>
          <cell r="EV71">
            <v>0.08</v>
          </cell>
          <cell r="EW71">
            <v>0.08</v>
          </cell>
          <cell r="EX71">
            <v>0.08</v>
          </cell>
          <cell r="EY71">
            <v>0.08</v>
          </cell>
          <cell r="EZ71">
            <v>0.08</v>
          </cell>
          <cell r="FA71">
            <v>0.08</v>
          </cell>
          <cell r="FB71">
            <v>0.08</v>
          </cell>
          <cell r="FC71">
            <v>0.08</v>
          </cell>
          <cell r="FD71">
            <v>0.08</v>
          </cell>
          <cell r="FE71">
            <v>0.08</v>
          </cell>
          <cell r="FF71">
            <v>0.08</v>
          </cell>
          <cell r="FG71">
            <v>0.08</v>
          </cell>
        </row>
        <row r="72">
          <cell r="C72" t="str">
            <v>FIAT FASTBACK Drive Turbo AT MCA</v>
          </cell>
          <cell r="D72" t="str">
            <v>Fastback Drive 1.0 CVT</v>
          </cell>
          <cell r="G72">
            <v>0.05</v>
          </cell>
          <cell r="H72">
            <v>0.05</v>
          </cell>
          <cell r="I72">
            <v>0.05</v>
          </cell>
          <cell r="J72">
            <v>0.05</v>
          </cell>
          <cell r="K72">
            <v>0.05</v>
          </cell>
          <cell r="L72">
            <v>0.05</v>
          </cell>
          <cell r="M72">
            <v>0.05</v>
          </cell>
          <cell r="N72">
            <v>0.05</v>
          </cell>
          <cell r="O72">
            <v>0.05</v>
          </cell>
          <cell r="P72">
            <v>0.05</v>
          </cell>
          <cell r="Q72">
            <v>0.05</v>
          </cell>
          <cell r="R72">
            <v>0.05</v>
          </cell>
          <cell r="U72">
            <v>0.5</v>
          </cell>
          <cell r="V72">
            <v>0</v>
          </cell>
          <cell r="W72">
            <v>0.5</v>
          </cell>
          <cell r="X72">
            <v>0.5</v>
          </cell>
          <cell r="Y72">
            <v>0</v>
          </cell>
          <cell r="Z72">
            <v>0.5</v>
          </cell>
          <cell r="AA72">
            <v>0.5</v>
          </cell>
          <cell r="AB72">
            <v>0</v>
          </cell>
          <cell r="AC72">
            <v>0.5</v>
          </cell>
          <cell r="AD72">
            <v>0.5</v>
          </cell>
          <cell r="AE72">
            <v>0</v>
          </cell>
          <cell r="AF72">
            <v>0.5</v>
          </cell>
          <cell r="AG72">
            <v>0.5</v>
          </cell>
          <cell r="AH72">
            <v>0</v>
          </cell>
          <cell r="AI72">
            <v>0.5</v>
          </cell>
          <cell r="AJ72">
            <v>0.5</v>
          </cell>
          <cell r="AK72">
            <v>0</v>
          </cell>
          <cell r="AL72">
            <v>0.5</v>
          </cell>
          <cell r="AM72">
            <v>0.5</v>
          </cell>
          <cell r="AN72">
            <v>0</v>
          </cell>
          <cell r="AO72">
            <v>0.5</v>
          </cell>
          <cell r="AP72">
            <v>0.5</v>
          </cell>
          <cell r="AQ72">
            <v>0</v>
          </cell>
          <cell r="AR72">
            <v>0.5</v>
          </cell>
          <cell r="AS72">
            <v>0.5</v>
          </cell>
          <cell r="AT72">
            <v>0</v>
          </cell>
          <cell r="AU72">
            <v>0.5</v>
          </cell>
          <cell r="AV72">
            <v>0.5</v>
          </cell>
          <cell r="AW72">
            <v>0</v>
          </cell>
          <cell r="AX72">
            <v>0.5</v>
          </cell>
          <cell r="AY72">
            <v>0.5</v>
          </cell>
          <cell r="AZ72">
            <v>0</v>
          </cell>
          <cell r="BA72">
            <v>0.5</v>
          </cell>
          <cell r="BB72">
            <v>0.5</v>
          </cell>
          <cell r="BC72">
            <v>0</v>
          </cell>
          <cell r="BD72">
            <v>0.5</v>
          </cell>
          <cell r="BG72">
            <v>0.06</v>
          </cell>
          <cell r="BH72">
            <v>0.08</v>
          </cell>
          <cell r="BI72">
            <v>0.1</v>
          </cell>
          <cell r="BJ72">
            <v>0.06</v>
          </cell>
          <cell r="BK72">
            <v>0.08</v>
          </cell>
          <cell r="BL72">
            <v>0.1</v>
          </cell>
          <cell r="BM72">
            <v>0.06</v>
          </cell>
          <cell r="BN72">
            <v>0.08</v>
          </cell>
          <cell r="BO72">
            <v>0.1</v>
          </cell>
          <cell r="BP72">
            <v>0.06</v>
          </cell>
          <cell r="BQ72">
            <v>0.08</v>
          </cell>
          <cell r="BR72">
            <v>0.1</v>
          </cell>
          <cell r="BS72">
            <v>0.06</v>
          </cell>
          <cell r="BT72">
            <v>0.08</v>
          </cell>
          <cell r="BU72">
            <v>0.1</v>
          </cell>
          <cell r="BV72">
            <v>0.06</v>
          </cell>
          <cell r="BW72">
            <v>0.08</v>
          </cell>
          <cell r="BX72">
            <v>0.1</v>
          </cell>
          <cell r="BY72">
            <v>0.06</v>
          </cell>
          <cell r="BZ72">
            <v>0.08</v>
          </cell>
          <cell r="CA72">
            <v>0.1</v>
          </cell>
          <cell r="CB72">
            <v>0.06</v>
          </cell>
          <cell r="CC72">
            <v>0.08</v>
          </cell>
          <cell r="CD72">
            <v>0.1</v>
          </cell>
          <cell r="CE72">
            <v>0.06</v>
          </cell>
          <cell r="CF72">
            <v>0.08</v>
          </cell>
          <cell r="CG72">
            <v>0.1</v>
          </cell>
          <cell r="CH72">
            <v>0.06</v>
          </cell>
          <cell r="CI72">
            <v>0.08</v>
          </cell>
          <cell r="CJ72">
            <v>0.1</v>
          </cell>
          <cell r="CK72">
            <v>0.06</v>
          </cell>
          <cell r="CL72">
            <v>0.08</v>
          </cell>
          <cell r="CM72">
            <v>0.1</v>
          </cell>
          <cell r="CN72">
            <v>0.06</v>
          </cell>
          <cell r="CO72">
            <v>0.08</v>
          </cell>
          <cell r="CP72">
            <v>0.1</v>
          </cell>
          <cell r="CQ72">
            <v>0.06</v>
          </cell>
          <cell r="CR72">
            <v>0.08</v>
          </cell>
          <cell r="CS72">
            <v>0.1</v>
          </cell>
          <cell r="CV72">
            <v>5.5E-2</v>
          </cell>
          <cell r="CW72">
            <v>4.4999999999999998E-2</v>
          </cell>
          <cell r="CX72">
            <v>0.03</v>
          </cell>
          <cell r="CY72">
            <v>5.5E-2</v>
          </cell>
          <cell r="CZ72">
            <v>4.4999999999999998E-2</v>
          </cell>
          <cell r="DA72">
            <v>0.03</v>
          </cell>
          <cell r="DB72">
            <v>5.5E-2</v>
          </cell>
          <cell r="DC72">
            <v>4.4999999999999998E-2</v>
          </cell>
          <cell r="DD72">
            <v>0.03</v>
          </cell>
          <cell r="DE72">
            <v>0.06</v>
          </cell>
          <cell r="DF72">
            <v>0.05</v>
          </cell>
          <cell r="DG72">
            <v>0.04</v>
          </cell>
          <cell r="DH72">
            <v>0.06</v>
          </cell>
          <cell r="DI72">
            <v>0.05</v>
          </cell>
          <cell r="DJ72">
            <v>0.04</v>
          </cell>
          <cell r="DK72">
            <v>0.06</v>
          </cell>
          <cell r="DL72">
            <v>0.05</v>
          </cell>
          <cell r="DM72">
            <v>0.04</v>
          </cell>
          <cell r="DN72">
            <v>0.06</v>
          </cell>
          <cell r="DO72">
            <v>0.05</v>
          </cell>
          <cell r="DP72">
            <v>0.04</v>
          </cell>
          <cell r="DQ72">
            <v>0.06</v>
          </cell>
          <cell r="DR72">
            <v>0.05</v>
          </cell>
          <cell r="DS72">
            <v>0.04</v>
          </cell>
          <cell r="DT72">
            <v>0.06</v>
          </cell>
          <cell r="DU72">
            <v>0.05</v>
          </cell>
          <cell r="DV72">
            <v>0.04</v>
          </cell>
          <cell r="DW72">
            <v>0.06</v>
          </cell>
          <cell r="DX72">
            <v>0.05</v>
          </cell>
          <cell r="DY72">
            <v>0.04</v>
          </cell>
          <cell r="DZ72">
            <v>0.06</v>
          </cell>
          <cell r="EA72">
            <v>0.05</v>
          </cell>
          <cell r="EB72">
            <v>0.04</v>
          </cell>
          <cell r="EC72">
            <v>0.06</v>
          </cell>
          <cell r="ED72">
            <v>0.05</v>
          </cell>
          <cell r="EE72">
            <v>0.04</v>
          </cell>
          <cell r="EG72">
            <v>3.2500000000000001E-2</v>
          </cell>
          <cell r="EH72">
            <v>3.2500000000000001E-2</v>
          </cell>
          <cell r="EI72">
            <v>3.2500000000000001E-2</v>
          </cell>
          <cell r="EJ72">
            <v>3.2500000000000001E-2</v>
          </cell>
          <cell r="EK72">
            <v>4.0000000000000008E-2</v>
          </cell>
          <cell r="EL72">
            <v>4.0000000000000008E-2</v>
          </cell>
          <cell r="EM72">
            <v>4.0000000000000008E-2</v>
          </cell>
          <cell r="EN72">
            <v>4.0000000000000008E-2</v>
          </cell>
          <cell r="EO72">
            <v>4.0000000000000008E-2</v>
          </cell>
          <cell r="EP72">
            <v>4.0000000000000008E-2</v>
          </cell>
          <cell r="EQ72">
            <v>4.0000000000000008E-2</v>
          </cell>
          <cell r="ER72">
            <v>4.0000000000000008E-2</v>
          </cell>
          <cell r="ES72">
            <v>4.0000000000000008E-2</v>
          </cell>
          <cell r="EU72">
            <v>0.08</v>
          </cell>
          <cell r="EV72">
            <v>0.08</v>
          </cell>
          <cell r="EW72">
            <v>0.08</v>
          </cell>
          <cell r="EX72">
            <v>0.08</v>
          </cell>
          <cell r="EY72">
            <v>0.08</v>
          </cell>
          <cell r="EZ72">
            <v>0.08</v>
          </cell>
          <cell r="FA72">
            <v>0.08</v>
          </cell>
          <cell r="FB72">
            <v>0.08</v>
          </cell>
          <cell r="FC72">
            <v>0.08</v>
          </cell>
          <cell r="FD72">
            <v>0.08</v>
          </cell>
          <cell r="FE72">
            <v>0.08</v>
          </cell>
          <cell r="FF72">
            <v>0.08</v>
          </cell>
          <cell r="FG72">
            <v>0.08</v>
          </cell>
        </row>
        <row r="73">
          <cell r="C73" t="str">
            <v>FIAT FASTBACK Impetus Turbo AT MCA</v>
          </cell>
          <cell r="D73" t="str">
            <v>Fastback Impetus 1.0 CVT</v>
          </cell>
          <cell r="G73">
            <v>0.05</v>
          </cell>
          <cell r="H73">
            <v>0.05</v>
          </cell>
          <cell r="I73">
            <v>0.05</v>
          </cell>
          <cell r="J73">
            <v>0.05</v>
          </cell>
          <cell r="K73">
            <v>0.05</v>
          </cell>
          <cell r="L73">
            <v>0.05</v>
          </cell>
          <cell r="M73">
            <v>0.05</v>
          </cell>
          <cell r="N73">
            <v>0.05</v>
          </cell>
          <cell r="O73">
            <v>0.05</v>
          </cell>
          <cell r="P73">
            <v>0.05</v>
          </cell>
          <cell r="Q73">
            <v>0.05</v>
          </cell>
          <cell r="R73">
            <v>0.05</v>
          </cell>
          <cell r="U73">
            <v>0.5</v>
          </cell>
          <cell r="V73">
            <v>0</v>
          </cell>
          <cell r="W73">
            <v>0.5</v>
          </cell>
          <cell r="X73">
            <v>0.5</v>
          </cell>
          <cell r="Y73">
            <v>0</v>
          </cell>
          <cell r="Z73">
            <v>0.5</v>
          </cell>
          <cell r="AA73">
            <v>0.5</v>
          </cell>
          <cell r="AB73">
            <v>0</v>
          </cell>
          <cell r="AC73">
            <v>0.5</v>
          </cell>
          <cell r="AD73">
            <v>0.5</v>
          </cell>
          <cell r="AE73">
            <v>0</v>
          </cell>
          <cell r="AF73">
            <v>0.5</v>
          </cell>
          <cell r="AG73">
            <v>0.5</v>
          </cell>
          <cell r="AH73">
            <v>0</v>
          </cell>
          <cell r="AI73">
            <v>0.5</v>
          </cell>
          <cell r="AJ73">
            <v>0.5</v>
          </cell>
          <cell r="AK73">
            <v>0</v>
          </cell>
          <cell r="AL73">
            <v>0.5</v>
          </cell>
          <cell r="AM73">
            <v>0.5</v>
          </cell>
          <cell r="AN73">
            <v>0</v>
          </cell>
          <cell r="AO73">
            <v>0.5</v>
          </cell>
          <cell r="AP73">
            <v>0.5</v>
          </cell>
          <cell r="AQ73">
            <v>0</v>
          </cell>
          <cell r="AR73">
            <v>0.5</v>
          </cell>
          <cell r="AS73">
            <v>0.5</v>
          </cell>
          <cell r="AT73">
            <v>0</v>
          </cell>
          <cell r="AU73">
            <v>0.5</v>
          </cell>
          <cell r="AV73">
            <v>0.5</v>
          </cell>
          <cell r="AW73">
            <v>0</v>
          </cell>
          <cell r="AX73">
            <v>0.5</v>
          </cell>
          <cell r="AY73">
            <v>0.5</v>
          </cell>
          <cell r="AZ73">
            <v>0</v>
          </cell>
          <cell r="BA73">
            <v>0.5</v>
          </cell>
          <cell r="BB73">
            <v>0.5</v>
          </cell>
          <cell r="BC73">
            <v>0</v>
          </cell>
          <cell r="BD73">
            <v>0.5</v>
          </cell>
          <cell r="BG73">
            <v>0.06</v>
          </cell>
          <cell r="BH73">
            <v>0.08</v>
          </cell>
          <cell r="BI73">
            <v>0.1</v>
          </cell>
          <cell r="BJ73">
            <v>0.06</v>
          </cell>
          <cell r="BK73">
            <v>0.08</v>
          </cell>
          <cell r="BL73">
            <v>0.1</v>
          </cell>
          <cell r="BM73">
            <v>0.06</v>
          </cell>
          <cell r="BN73">
            <v>0.08</v>
          </cell>
          <cell r="BO73">
            <v>0.1</v>
          </cell>
          <cell r="BP73">
            <v>0.06</v>
          </cell>
          <cell r="BQ73">
            <v>0.08</v>
          </cell>
          <cell r="BR73">
            <v>0.1</v>
          </cell>
          <cell r="BS73">
            <v>0.06</v>
          </cell>
          <cell r="BT73">
            <v>0.08</v>
          </cell>
          <cell r="BU73">
            <v>0.1</v>
          </cell>
          <cell r="BV73">
            <v>0.06</v>
          </cell>
          <cell r="BW73">
            <v>0.08</v>
          </cell>
          <cell r="BX73">
            <v>0.1</v>
          </cell>
          <cell r="BY73">
            <v>0.06</v>
          </cell>
          <cell r="BZ73">
            <v>0.08</v>
          </cell>
          <cell r="CA73">
            <v>0.1</v>
          </cell>
          <cell r="CB73">
            <v>0.06</v>
          </cell>
          <cell r="CC73">
            <v>0.08</v>
          </cell>
          <cell r="CD73">
            <v>0.1</v>
          </cell>
          <cell r="CE73">
            <v>0.06</v>
          </cell>
          <cell r="CF73">
            <v>0.08</v>
          </cell>
          <cell r="CG73">
            <v>0.1</v>
          </cell>
          <cell r="CH73">
            <v>0.06</v>
          </cell>
          <cell r="CI73">
            <v>0.08</v>
          </cell>
          <cell r="CJ73">
            <v>0.1</v>
          </cell>
          <cell r="CK73">
            <v>0.06</v>
          </cell>
          <cell r="CL73">
            <v>0.08</v>
          </cell>
          <cell r="CM73">
            <v>0.1</v>
          </cell>
          <cell r="CN73">
            <v>0.06</v>
          </cell>
          <cell r="CO73">
            <v>0.08</v>
          </cell>
          <cell r="CP73">
            <v>0.1</v>
          </cell>
          <cell r="CQ73">
            <v>0.06</v>
          </cell>
          <cell r="CR73">
            <v>0.08</v>
          </cell>
          <cell r="CS73">
            <v>0.1</v>
          </cell>
          <cell r="CV73">
            <v>5.5E-2</v>
          </cell>
          <cell r="CW73">
            <v>4.4999999999999998E-2</v>
          </cell>
          <cell r="CX73">
            <v>0.03</v>
          </cell>
          <cell r="CY73">
            <v>5.5E-2</v>
          </cell>
          <cell r="CZ73">
            <v>4.4999999999999998E-2</v>
          </cell>
          <cell r="DA73">
            <v>0.03</v>
          </cell>
          <cell r="DB73">
            <v>5.5E-2</v>
          </cell>
          <cell r="DC73">
            <v>4.4999999999999998E-2</v>
          </cell>
          <cell r="DD73">
            <v>0.03</v>
          </cell>
          <cell r="DE73">
            <v>0.06</v>
          </cell>
          <cell r="DF73">
            <v>0.05</v>
          </cell>
          <cell r="DG73">
            <v>0.04</v>
          </cell>
          <cell r="DH73">
            <v>0.06</v>
          </cell>
          <cell r="DI73">
            <v>0.05</v>
          </cell>
          <cell r="DJ73">
            <v>0.04</v>
          </cell>
          <cell r="DK73">
            <v>0.06</v>
          </cell>
          <cell r="DL73">
            <v>0.05</v>
          </cell>
          <cell r="DM73">
            <v>0.04</v>
          </cell>
          <cell r="DN73">
            <v>0.06</v>
          </cell>
          <cell r="DO73">
            <v>0.05</v>
          </cell>
          <cell r="DP73">
            <v>0.04</v>
          </cell>
          <cell r="DQ73">
            <v>0.06</v>
          </cell>
          <cell r="DR73">
            <v>0.05</v>
          </cell>
          <cell r="DS73">
            <v>0.04</v>
          </cell>
          <cell r="DT73">
            <v>0.06</v>
          </cell>
          <cell r="DU73">
            <v>0.05</v>
          </cell>
          <cell r="DV73">
            <v>0.04</v>
          </cell>
          <cell r="DW73">
            <v>0.06</v>
          </cell>
          <cell r="DX73">
            <v>0.05</v>
          </cell>
          <cell r="DY73">
            <v>0.04</v>
          </cell>
          <cell r="DZ73">
            <v>0.06</v>
          </cell>
          <cell r="EA73">
            <v>0.05</v>
          </cell>
          <cell r="EB73">
            <v>0.04</v>
          </cell>
          <cell r="EC73">
            <v>0.06</v>
          </cell>
          <cell r="ED73">
            <v>0.05</v>
          </cell>
          <cell r="EE73">
            <v>0.04</v>
          </cell>
          <cell r="EG73">
            <v>3.2500000000000001E-2</v>
          </cell>
          <cell r="EH73">
            <v>3.2500000000000001E-2</v>
          </cell>
          <cell r="EI73">
            <v>3.2500000000000001E-2</v>
          </cell>
          <cell r="EJ73">
            <v>3.2500000000000001E-2</v>
          </cell>
          <cell r="EK73">
            <v>4.0000000000000008E-2</v>
          </cell>
          <cell r="EL73">
            <v>4.0000000000000008E-2</v>
          </cell>
          <cell r="EM73">
            <v>4.0000000000000008E-2</v>
          </cell>
          <cell r="EN73">
            <v>4.0000000000000008E-2</v>
          </cell>
          <cell r="EO73">
            <v>4.0000000000000008E-2</v>
          </cell>
          <cell r="EP73">
            <v>4.0000000000000008E-2</v>
          </cell>
          <cell r="EQ73">
            <v>4.0000000000000008E-2</v>
          </cell>
          <cell r="ER73">
            <v>4.0000000000000008E-2</v>
          </cell>
          <cell r="ES73">
            <v>4.0000000000000008E-2</v>
          </cell>
          <cell r="EU73">
            <v>0.08</v>
          </cell>
          <cell r="EV73">
            <v>0.08</v>
          </cell>
          <cell r="EW73">
            <v>0.08</v>
          </cell>
          <cell r="EX73">
            <v>0.08</v>
          </cell>
          <cell r="EY73">
            <v>0.08</v>
          </cell>
          <cell r="EZ73">
            <v>0.08</v>
          </cell>
          <cell r="FA73">
            <v>0.08</v>
          </cell>
          <cell r="FB73">
            <v>0.08</v>
          </cell>
          <cell r="FC73">
            <v>0.08</v>
          </cell>
          <cell r="FD73">
            <v>0.08</v>
          </cell>
          <cell r="FE73">
            <v>0.08</v>
          </cell>
          <cell r="FF73">
            <v>0.08</v>
          </cell>
          <cell r="FG73">
            <v>0.08</v>
          </cell>
        </row>
        <row r="74">
          <cell r="D74" t="str">
            <v/>
          </cell>
          <cell r="G74">
            <v>0.05</v>
          </cell>
          <cell r="H74">
            <v>0.05</v>
          </cell>
          <cell r="I74">
            <v>0.05</v>
          </cell>
          <cell r="J74">
            <v>0.05</v>
          </cell>
          <cell r="K74">
            <v>0.05</v>
          </cell>
          <cell r="L74">
            <v>0.05</v>
          </cell>
          <cell r="M74">
            <v>0.05</v>
          </cell>
          <cell r="N74">
            <v>0.05</v>
          </cell>
          <cell r="O74">
            <v>0.05</v>
          </cell>
          <cell r="P74">
            <v>0.05</v>
          </cell>
          <cell r="Q74">
            <v>0.05</v>
          </cell>
          <cell r="R74">
            <v>0.05</v>
          </cell>
          <cell r="U74">
            <v>0.5</v>
          </cell>
          <cell r="V74">
            <v>0</v>
          </cell>
          <cell r="W74">
            <v>0.5</v>
          </cell>
          <cell r="X74">
            <v>0.5</v>
          </cell>
          <cell r="Y74">
            <v>0</v>
          </cell>
          <cell r="Z74">
            <v>0.5</v>
          </cell>
          <cell r="AA74">
            <v>0.5</v>
          </cell>
          <cell r="AB74">
            <v>0</v>
          </cell>
          <cell r="AC74">
            <v>0.5</v>
          </cell>
          <cell r="AD74">
            <v>0.5</v>
          </cell>
          <cell r="AE74">
            <v>0</v>
          </cell>
          <cell r="AF74">
            <v>0.5</v>
          </cell>
          <cell r="AG74">
            <v>0.5</v>
          </cell>
          <cell r="AH74">
            <v>0</v>
          </cell>
          <cell r="AI74">
            <v>0.5</v>
          </cell>
          <cell r="AJ74">
            <v>0.5</v>
          </cell>
          <cell r="AK74">
            <v>0</v>
          </cell>
          <cell r="AL74">
            <v>0.5</v>
          </cell>
          <cell r="AM74">
            <v>0.5</v>
          </cell>
          <cell r="AN74">
            <v>0</v>
          </cell>
          <cell r="AO74">
            <v>0.5</v>
          </cell>
          <cell r="AP74">
            <v>0.5</v>
          </cell>
          <cell r="AQ74">
            <v>0</v>
          </cell>
          <cell r="AR74">
            <v>0.5</v>
          </cell>
          <cell r="AS74">
            <v>0.5</v>
          </cell>
          <cell r="AT74">
            <v>0</v>
          </cell>
          <cell r="AU74">
            <v>0.5</v>
          </cell>
          <cell r="AV74">
            <v>0.5</v>
          </cell>
          <cell r="AW74">
            <v>0</v>
          </cell>
          <cell r="AX74">
            <v>0.5</v>
          </cell>
          <cell r="AY74">
            <v>0.5</v>
          </cell>
          <cell r="AZ74">
            <v>0</v>
          </cell>
          <cell r="BA74">
            <v>0.5</v>
          </cell>
          <cell r="BB74">
            <v>0.5</v>
          </cell>
          <cell r="BC74">
            <v>0</v>
          </cell>
          <cell r="BD74">
            <v>0.5</v>
          </cell>
          <cell r="BG74">
            <v>0.06</v>
          </cell>
          <cell r="BH74">
            <v>0.08</v>
          </cell>
          <cell r="BI74">
            <v>0.1</v>
          </cell>
          <cell r="BJ74">
            <v>0.06</v>
          </cell>
          <cell r="BK74">
            <v>0.08</v>
          </cell>
          <cell r="BL74">
            <v>0.1</v>
          </cell>
          <cell r="BM74">
            <v>0.06</v>
          </cell>
          <cell r="BN74">
            <v>0.08</v>
          </cell>
          <cell r="BO74">
            <v>0.1</v>
          </cell>
          <cell r="BP74">
            <v>0.06</v>
          </cell>
          <cell r="BQ74">
            <v>0.08</v>
          </cell>
          <cell r="BR74">
            <v>0.1</v>
          </cell>
          <cell r="BS74">
            <v>0.06</v>
          </cell>
          <cell r="BT74">
            <v>0.08</v>
          </cell>
          <cell r="BU74">
            <v>0.1</v>
          </cell>
          <cell r="BV74">
            <v>0.06</v>
          </cell>
          <cell r="BW74">
            <v>0.08</v>
          </cell>
          <cell r="BX74">
            <v>0.1</v>
          </cell>
          <cell r="BY74">
            <v>0.06</v>
          </cell>
          <cell r="BZ74">
            <v>0.08</v>
          </cell>
          <cell r="CA74">
            <v>0.1</v>
          </cell>
          <cell r="CB74">
            <v>0.06</v>
          </cell>
          <cell r="CC74">
            <v>0.08</v>
          </cell>
          <cell r="CD74">
            <v>0.1</v>
          </cell>
          <cell r="CE74">
            <v>0.06</v>
          </cell>
          <cell r="CF74">
            <v>0.08</v>
          </cell>
          <cell r="CG74">
            <v>0.1</v>
          </cell>
          <cell r="CH74">
            <v>0.06</v>
          </cell>
          <cell r="CI74">
            <v>0.08</v>
          </cell>
          <cell r="CJ74">
            <v>0.1</v>
          </cell>
          <cell r="CK74">
            <v>0.06</v>
          </cell>
          <cell r="CL74">
            <v>0.08</v>
          </cell>
          <cell r="CM74">
            <v>0.1</v>
          </cell>
          <cell r="CN74">
            <v>0.06</v>
          </cell>
          <cell r="CO74">
            <v>0.08</v>
          </cell>
          <cell r="CP74">
            <v>0.1</v>
          </cell>
          <cell r="CQ74">
            <v>0.06</v>
          </cell>
          <cell r="CR74">
            <v>0.08</v>
          </cell>
          <cell r="CS74">
            <v>0.1</v>
          </cell>
          <cell r="CV74">
            <v>5.5E-2</v>
          </cell>
          <cell r="CW74">
            <v>4.4999999999999998E-2</v>
          </cell>
          <cell r="CX74">
            <v>0.03</v>
          </cell>
          <cell r="CY74">
            <v>5.5E-2</v>
          </cell>
          <cell r="CZ74">
            <v>4.4999999999999998E-2</v>
          </cell>
          <cell r="DA74">
            <v>0.03</v>
          </cell>
          <cell r="DB74">
            <v>5.5E-2</v>
          </cell>
          <cell r="DC74">
            <v>4.4999999999999998E-2</v>
          </cell>
          <cell r="DD74">
            <v>0.03</v>
          </cell>
          <cell r="DE74">
            <v>0.06</v>
          </cell>
          <cell r="DF74">
            <v>0.05</v>
          </cell>
          <cell r="DG74">
            <v>0.04</v>
          </cell>
          <cell r="DH74">
            <v>0.06</v>
          </cell>
          <cell r="DI74">
            <v>0.05</v>
          </cell>
          <cell r="DJ74">
            <v>0.04</v>
          </cell>
          <cell r="DK74">
            <v>0.06</v>
          </cell>
          <cell r="DL74">
            <v>0.05</v>
          </cell>
          <cell r="DM74">
            <v>0.04</v>
          </cell>
          <cell r="DN74">
            <v>0.06</v>
          </cell>
          <cell r="DO74">
            <v>0.05</v>
          </cell>
          <cell r="DP74">
            <v>0.04</v>
          </cell>
          <cell r="DQ74">
            <v>0.06</v>
          </cell>
          <cell r="DR74">
            <v>0.05</v>
          </cell>
          <cell r="DS74">
            <v>0.04</v>
          </cell>
          <cell r="DT74">
            <v>0.06</v>
          </cell>
          <cell r="DU74">
            <v>0.05</v>
          </cell>
          <cell r="DV74">
            <v>0.04</v>
          </cell>
          <cell r="DW74">
            <v>0.06</v>
          </cell>
          <cell r="DX74">
            <v>0.05</v>
          </cell>
          <cell r="DY74">
            <v>0.04</v>
          </cell>
          <cell r="DZ74">
            <v>0.06</v>
          </cell>
          <cell r="EA74">
            <v>0.05</v>
          </cell>
          <cell r="EB74">
            <v>0.04</v>
          </cell>
          <cell r="EC74">
            <v>0.06</v>
          </cell>
          <cell r="ED74">
            <v>0.05</v>
          </cell>
          <cell r="EE74">
            <v>0.04</v>
          </cell>
          <cell r="EG74" t="e">
            <v>#N/A</v>
          </cell>
          <cell r="EH74" t="e">
            <v>#N/A</v>
          </cell>
          <cell r="EI74" t="e">
            <v>#N/A</v>
          </cell>
          <cell r="EJ74" t="e">
            <v>#N/A</v>
          </cell>
          <cell r="EK74" t="e">
            <v>#N/A</v>
          </cell>
          <cell r="EL74" t="e">
            <v>#N/A</v>
          </cell>
          <cell r="EM74" t="e">
            <v>#N/A</v>
          </cell>
          <cell r="EN74" t="e">
            <v>#N/A</v>
          </cell>
          <cell r="EO74" t="e">
            <v>#N/A</v>
          </cell>
          <cell r="EP74" t="e">
            <v>#N/A</v>
          </cell>
          <cell r="EQ74" t="e">
            <v>#N/A</v>
          </cell>
          <cell r="ER74" t="e">
            <v>#N/A</v>
          </cell>
          <cell r="ES74" t="e">
            <v>#N/A</v>
          </cell>
          <cell r="EU74">
            <v>0.08</v>
          </cell>
          <cell r="EV74">
            <v>0.08</v>
          </cell>
          <cell r="EW74">
            <v>0.08</v>
          </cell>
          <cell r="EX74">
            <v>0.08</v>
          </cell>
          <cell r="EY74">
            <v>0.08</v>
          </cell>
          <cell r="EZ74">
            <v>0.08</v>
          </cell>
          <cell r="FA74">
            <v>0.08</v>
          </cell>
          <cell r="FB74">
            <v>0.08</v>
          </cell>
          <cell r="FC74">
            <v>0.08</v>
          </cell>
          <cell r="FD74">
            <v>0.08</v>
          </cell>
          <cell r="FE74">
            <v>0.08</v>
          </cell>
          <cell r="FF74">
            <v>0.08</v>
          </cell>
          <cell r="FG74">
            <v>0.08</v>
          </cell>
        </row>
        <row r="75">
          <cell r="D75" t="str">
            <v/>
          </cell>
          <cell r="G75">
            <v>0.05</v>
          </cell>
          <cell r="H75">
            <v>0.05</v>
          </cell>
          <cell r="I75">
            <v>0.05</v>
          </cell>
          <cell r="J75">
            <v>0.05</v>
          </cell>
          <cell r="K75">
            <v>0.05</v>
          </cell>
          <cell r="L75">
            <v>0.05</v>
          </cell>
          <cell r="M75">
            <v>0.05</v>
          </cell>
          <cell r="N75">
            <v>0.05</v>
          </cell>
          <cell r="O75">
            <v>0.05</v>
          </cell>
          <cell r="P75">
            <v>0.05</v>
          </cell>
          <cell r="Q75">
            <v>0.05</v>
          </cell>
          <cell r="R75">
            <v>0.05</v>
          </cell>
          <cell r="U75">
            <v>0.5</v>
          </cell>
          <cell r="V75">
            <v>0</v>
          </cell>
          <cell r="W75">
            <v>0.5</v>
          </cell>
          <cell r="X75">
            <v>0.5</v>
          </cell>
          <cell r="Y75">
            <v>0</v>
          </cell>
          <cell r="Z75">
            <v>0.5</v>
          </cell>
          <cell r="AA75">
            <v>0.5</v>
          </cell>
          <cell r="AB75">
            <v>0</v>
          </cell>
          <cell r="AC75">
            <v>0.5</v>
          </cell>
          <cell r="AD75">
            <v>0.5</v>
          </cell>
          <cell r="AE75">
            <v>0</v>
          </cell>
          <cell r="AF75">
            <v>0.5</v>
          </cell>
          <cell r="AG75">
            <v>0.5</v>
          </cell>
          <cell r="AH75">
            <v>0</v>
          </cell>
          <cell r="AI75">
            <v>0.5</v>
          </cell>
          <cell r="AJ75">
            <v>0.5</v>
          </cell>
          <cell r="AK75">
            <v>0</v>
          </cell>
          <cell r="AL75">
            <v>0.5</v>
          </cell>
          <cell r="AM75">
            <v>0.5</v>
          </cell>
          <cell r="AN75">
            <v>0</v>
          </cell>
          <cell r="AO75">
            <v>0.5</v>
          </cell>
          <cell r="AP75">
            <v>0.5</v>
          </cell>
          <cell r="AQ75">
            <v>0</v>
          </cell>
          <cell r="AR75">
            <v>0.5</v>
          </cell>
          <cell r="AS75">
            <v>0.5</v>
          </cell>
          <cell r="AT75">
            <v>0</v>
          </cell>
          <cell r="AU75">
            <v>0.5</v>
          </cell>
          <cell r="AV75">
            <v>0.5</v>
          </cell>
          <cell r="AW75">
            <v>0</v>
          </cell>
          <cell r="AX75">
            <v>0.5</v>
          </cell>
          <cell r="AY75">
            <v>0.5</v>
          </cell>
          <cell r="AZ75">
            <v>0</v>
          </cell>
          <cell r="BA75">
            <v>0.5</v>
          </cell>
          <cell r="BB75">
            <v>0.5</v>
          </cell>
          <cell r="BC75">
            <v>0</v>
          </cell>
          <cell r="BD75">
            <v>0.5</v>
          </cell>
          <cell r="BG75">
            <v>0.06</v>
          </cell>
          <cell r="BH75">
            <v>0.08</v>
          </cell>
          <cell r="BI75">
            <v>0.1</v>
          </cell>
          <cell r="BJ75">
            <v>0.06</v>
          </cell>
          <cell r="BK75">
            <v>0.08</v>
          </cell>
          <cell r="BL75">
            <v>0.1</v>
          </cell>
          <cell r="BM75">
            <v>0.06</v>
          </cell>
          <cell r="BN75">
            <v>0.08</v>
          </cell>
          <cell r="BO75">
            <v>0.1</v>
          </cell>
          <cell r="BP75">
            <v>0.06</v>
          </cell>
          <cell r="BQ75">
            <v>0.08</v>
          </cell>
          <cell r="BR75">
            <v>0.1</v>
          </cell>
          <cell r="BS75">
            <v>0.06</v>
          </cell>
          <cell r="BT75">
            <v>0.08</v>
          </cell>
          <cell r="BU75">
            <v>0.1</v>
          </cell>
          <cell r="BV75">
            <v>0.06</v>
          </cell>
          <cell r="BW75">
            <v>0.08</v>
          </cell>
          <cell r="BX75">
            <v>0.1</v>
          </cell>
          <cell r="BY75">
            <v>0.06</v>
          </cell>
          <cell r="BZ75">
            <v>0.08</v>
          </cell>
          <cell r="CA75">
            <v>0.1</v>
          </cell>
          <cell r="CB75">
            <v>0.06</v>
          </cell>
          <cell r="CC75">
            <v>0.08</v>
          </cell>
          <cell r="CD75">
            <v>0.1</v>
          </cell>
          <cell r="CE75">
            <v>0.06</v>
          </cell>
          <cell r="CF75">
            <v>0.08</v>
          </cell>
          <cell r="CG75">
            <v>0.1</v>
          </cell>
          <cell r="CH75">
            <v>0.06</v>
          </cell>
          <cell r="CI75">
            <v>0.08</v>
          </cell>
          <cell r="CJ75">
            <v>0.1</v>
          </cell>
          <cell r="CK75">
            <v>0.06</v>
          </cell>
          <cell r="CL75">
            <v>0.08</v>
          </cell>
          <cell r="CM75">
            <v>0.1</v>
          </cell>
          <cell r="CN75">
            <v>0.06</v>
          </cell>
          <cell r="CO75">
            <v>0.08</v>
          </cell>
          <cell r="CP75">
            <v>0.1</v>
          </cell>
          <cell r="CQ75">
            <v>0.06</v>
          </cell>
          <cell r="CR75">
            <v>0.08</v>
          </cell>
          <cell r="CS75">
            <v>0.1</v>
          </cell>
          <cell r="CV75">
            <v>5.5E-2</v>
          </cell>
          <cell r="CW75">
            <v>4.4999999999999998E-2</v>
          </cell>
          <cell r="CX75">
            <v>0.03</v>
          </cell>
          <cell r="CY75">
            <v>5.5E-2</v>
          </cell>
          <cell r="CZ75">
            <v>4.4999999999999998E-2</v>
          </cell>
          <cell r="DA75">
            <v>0.03</v>
          </cell>
          <cell r="DB75">
            <v>5.5E-2</v>
          </cell>
          <cell r="DC75">
            <v>4.4999999999999998E-2</v>
          </cell>
          <cell r="DD75">
            <v>0.03</v>
          </cell>
          <cell r="DE75">
            <v>0.06</v>
          </cell>
          <cell r="DF75">
            <v>0.05</v>
          </cell>
          <cell r="DG75">
            <v>0.04</v>
          </cell>
          <cell r="DH75">
            <v>0.06</v>
          </cell>
          <cell r="DI75">
            <v>0.05</v>
          </cell>
          <cell r="DJ75">
            <v>0.04</v>
          </cell>
          <cell r="DK75">
            <v>0.06</v>
          </cell>
          <cell r="DL75">
            <v>0.05</v>
          </cell>
          <cell r="DM75">
            <v>0.04</v>
          </cell>
          <cell r="DN75">
            <v>0.06</v>
          </cell>
          <cell r="DO75">
            <v>0.05</v>
          </cell>
          <cell r="DP75">
            <v>0.04</v>
          </cell>
          <cell r="DQ75">
            <v>0.06</v>
          </cell>
          <cell r="DR75">
            <v>0.05</v>
          </cell>
          <cell r="DS75">
            <v>0.04</v>
          </cell>
          <cell r="DT75">
            <v>0.06</v>
          </cell>
          <cell r="DU75">
            <v>0.05</v>
          </cell>
          <cell r="DV75">
            <v>0.04</v>
          </cell>
          <cell r="DW75">
            <v>0.06</v>
          </cell>
          <cell r="DX75">
            <v>0.05</v>
          </cell>
          <cell r="DY75">
            <v>0.04</v>
          </cell>
          <cell r="DZ75">
            <v>0.06</v>
          </cell>
          <cell r="EA75">
            <v>0.05</v>
          </cell>
          <cell r="EB75">
            <v>0.04</v>
          </cell>
          <cell r="EC75">
            <v>0.06</v>
          </cell>
          <cell r="ED75">
            <v>0.05</v>
          </cell>
          <cell r="EE75">
            <v>0.04</v>
          </cell>
          <cell r="EG75" t="e">
            <v>#N/A</v>
          </cell>
          <cell r="EH75" t="e">
            <v>#N/A</v>
          </cell>
          <cell r="EI75" t="e">
            <v>#N/A</v>
          </cell>
          <cell r="EJ75" t="e">
            <v>#N/A</v>
          </cell>
          <cell r="EK75" t="e">
            <v>#N/A</v>
          </cell>
          <cell r="EL75" t="e">
            <v>#N/A</v>
          </cell>
          <cell r="EM75" t="e">
            <v>#N/A</v>
          </cell>
          <cell r="EN75" t="e">
            <v>#N/A</v>
          </cell>
          <cell r="EO75" t="e">
            <v>#N/A</v>
          </cell>
          <cell r="EP75" t="e">
            <v>#N/A</v>
          </cell>
          <cell r="EQ75" t="e">
            <v>#N/A</v>
          </cell>
          <cell r="ER75" t="e">
            <v>#N/A</v>
          </cell>
          <cell r="ES75" t="e">
            <v>#N/A</v>
          </cell>
          <cell r="EU75">
            <v>0.08</v>
          </cell>
          <cell r="EV75">
            <v>0.08</v>
          </cell>
          <cell r="EW75">
            <v>0.08</v>
          </cell>
          <cell r="EX75">
            <v>0.08</v>
          </cell>
          <cell r="EY75">
            <v>0.08</v>
          </cell>
          <cell r="EZ75">
            <v>0.08</v>
          </cell>
          <cell r="FA75">
            <v>0.08</v>
          </cell>
          <cell r="FB75">
            <v>0.08</v>
          </cell>
          <cell r="FC75">
            <v>0.08</v>
          </cell>
          <cell r="FD75">
            <v>0.08</v>
          </cell>
          <cell r="FE75">
            <v>0.08</v>
          </cell>
          <cell r="FF75">
            <v>0.08</v>
          </cell>
          <cell r="FG75">
            <v>0.08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111">
          <cell r="C111">
            <v>-84391139.797948599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inculos"/>
      <sheetName val="Resumen"/>
      <sheetName val="Gestión"/>
      <sheetName val="GCR"/>
      <sheetName val="Hoja1"/>
      <sheetName val="Verif. negativos"/>
      <sheetName val="Vol. Facturas"/>
      <sheetName val="Vol. Inmat"/>
      <sheetName val="Precios"/>
      <sheetName val="Color Especial"/>
      <sheetName val="Bonos"/>
      <sheetName val="Precio Promo"/>
      <sheetName val="Efecto Price"/>
      <sheetName val="B2B Directo"/>
      <sheetName val="Internos"/>
      <sheetName val="B2B Red"/>
      <sheetName val="Test Car"/>
      <sheetName val="Ayuda Zonales"/>
      <sheetName val="Acciones Tácticas B2C"/>
      <sheetName val="Acciones Tácticas B2B"/>
      <sheetName val="Floor Plan"/>
      <sheetName val="Prima Perfo"/>
      <sheetName val="Professional"/>
      <sheetName val="Quality"/>
      <sheetName val="Relación Cliente"/>
      <sheetName val="Provisión Financiera"/>
      <sheetName val="Fondo Coparticipado"/>
      <sheetName val="Otras Provisiones"/>
      <sheetName val="Ajustes"/>
      <sheetName val="Cierre Bonificación"/>
      <sheetName val="NPS"/>
    </sheetNames>
    <sheetDataSet>
      <sheetData sheetId="0">
        <row r="148">
          <cell r="B148" t="str">
            <v>ENERO</v>
          </cell>
        </row>
      </sheetData>
      <sheetData sheetId="1" refreshError="1"/>
      <sheetData sheetId="2">
        <row r="2">
          <cell r="J2" t="str">
            <v>ENERO</v>
          </cell>
        </row>
      </sheetData>
      <sheetData sheetId="3" refreshError="1"/>
      <sheetData sheetId="4" refreshError="1"/>
      <sheetData sheetId="5" refreshError="1"/>
      <sheetData sheetId="6">
        <row r="5">
          <cell r="D5" t="str">
            <v>EDS</v>
          </cell>
        </row>
      </sheetData>
      <sheetData sheetId="7" refreshError="1"/>
      <sheetData sheetId="8">
        <row r="5">
          <cell r="B5" t="str">
            <v>FAMILIA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4">
          <cell r="F4" t="str">
            <v>MIX VOL B2B RED</v>
          </cell>
          <cell r="T4" t="str">
            <v>MIX TLEAPMOTOROS</v>
          </cell>
          <cell r="BF4" t="str">
            <v>DESCUENTOS</v>
          </cell>
          <cell r="CU4" t="str">
            <v>MG RED</v>
          </cell>
          <cell r="EG4" t="str">
            <v>APORTE PONDERADO</v>
          </cell>
          <cell r="EU4" t="str">
            <v>DESCUENTO PONDERADO</v>
          </cell>
        </row>
        <row r="6">
          <cell r="G6" t="str">
            <v>ENERO</v>
          </cell>
          <cell r="H6" t="str">
            <v>FEBRERO</v>
          </cell>
          <cell r="I6" t="str">
            <v>MARZO</v>
          </cell>
          <cell r="J6" t="str">
            <v>ABRIL</v>
          </cell>
          <cell r="K6" t="str">
            <v>MAYO</v>
          </cell>
          <cell r="L6" t="str">
            <v>JUNIO</v>
          </cell>
          <cell r="M6" t="str">
            <v>JULIO</v>
          </cell>
          <cell r="N6" t="str">
            <v>AGOSTO</v>
          </cell>
          <cell r="O6" t="str">
            <v>SEPTIEMBRE</v>
          </cell>
          <cell r="P6" t="str">
            <v>OCTUBRE</v>
          </cell>
          <cell r="Q6" t="str">
            <v>NOVIEMBRE</v>
          </cell>
          <cell r="R6" t="str">
            <v>DICIEMBRE</v>
          </cell>
          <cell r="U6" t="str">
            <v>ENERO</v>
          </cell>
          <cell r="X6" t="str">
            <v>FEBRERO</v>
          </cell>
          <cell r="AA6" t="str">
            <v>MARZO</v>
          </cell>
          <cell r="AD6" t="str">
            <v>ABRIL</v>
          </cell>
          <cell r="AG6" t="str">
            <v>MAYO</v>
          </cell>
          <cell r="AJ6" t="str">
            <v>JUNIO</v>
          </cell>
          <cell r="AM6" t="str">
            <v>JULIO</v>
          </cell>
          <cell r="AP6" t="str">
            <v>AGOSTO</v>
          </cell>
          <cell r="AS6" t="str">
            <v>SEPTIEMBRE</v>
          </cell>
          <cell r="AV6" t="str">
            <v>OCTUBRE</v>
          </cell>
          <cell r="AY6" t="str">
            <v>NOVIEMBRE</v>
          </cell>
          <cell r="BB6" t="str">
            <v>DICIEMBRE</v>
          </cell>
          <cell r="BG6">
            <v>45992</v>
          </cell>
          <cell r="BJ6" t="str">
            <v>ENERO</v>
          </cell>
          <cell r="BM6" t="str">
            <v>FEBRERO</v>
          </cell>
          <cell r="BP6" t="str">
            <v>MARZO</v>
          </cell>
          <cell r="BS6" t="str">
            <v>ABRIL</v>
          </cell>
          <cell r="BV6" t="str">
            <v>MAYO</v>
          </cell>
          <cell r="BY6" t="str">
            <v>JUNIO</v>
          </cell>
          <cell r="CB6" t="str">
            <v>JULIO</v>
          </cell>
          <cell r="CE6" t="str">
            <v>AGOSTO</v>
          </cell>
          <cell r="CH6" t="str">
            <v>SEPTIEMBRE</v>
          </cell>
          <cell r="CK6" t="str">
            <v>OCTUBRE</v>
          </cell>
          <cell r="CN6" t="str">
            <v>NOVIEMBRE</v>
          </cell>
          <cell r="CQ6" t="str">
            <v>DICIEMBRE</v>
          </cell>
          <cell r="CV6" t="str">
            <v>ENERO</v>
          </cell>
          <cell r="CY6" t="str">
            <v>FEBRERO</v>
          </cell>
          <cell r="DB6" t="str">
            <v>MARZO</v>
          </cell>
          <cell r="DE6" t="str">
            <v>ABRIL</v>
          </cell>
          <cell r="DH6" t="str">
            <v>MAYO</v>
          </cell>
          <cell r="DK6" t="str">
            <v>JUNIO</v>
          </cell>
          <cell r="DN6" t="str">
            <v>JULIO</v>
          </cell>
          <cell r="DQ6" t="str">
            <v>AGOSTO</v>
          </cell>
          <cell r="DT6" t="str">
            <v>SEPTIEMBRE</v>
          </cell>
          <cell r="DW6" t="str">
            <v>OCTUBRE</v>
          </cell>
          <cell r="DZ6" t="str">
            <v>NOVIEMBRE</v>
          </cell>
          <cell r="EC6" t="str">
            <v>DICIEMBRE</v>
          </cell>
          <cell r="EG6">
            <v>45992</v>
          </cell>
          <cell r="EH6" t="str">
            <v>ENERO</v>
          </cell>
          <cell r="EI6" t="str">
            <v>FEBRERO</v>
          </cell>
          <cell r="EJ6" t="str">
            <v>MARZO</v>
          </cell>
          <cell r="EK6" t="str">
            <v>ABRIL</v>
          </cell>
          <cell r="EL6" t="str">
            <v>MAYO</v>
          </cell>
          <cell r="EM6" t="str">
            <v>JUNIO</v>
          </cell>
          <cell r="EN6" t="str">
            <v>JULIO</v>
          </cell>
          <cell r="EO6" t="str">
            <v>AGOSTO</v>
          </cell>
          <cell r="EP6" t="str">
            <v>SEPTIEMBRE</v>
          </cell>
          <cell r="EQ6" t="str">
            <v>OCTUBRE</v>
          </cell>
          <cell r="ER6" t="str">
            <v>NOVIEMBRE</v>
          </cell>
          <cell r="ES6" t="str">
            <v>DICIEMBRE</v>
          </cell>
          <cell r="EU6">
            <v>45992</v>
          </cell>
          <cell r="EV6" t="str">
            <v>ENERO</v>
          </cell>
          <cell r="EW6" t="str">
            <v>FEBRERO</v>
          </cell>
          <cell r="EX6" t="str">
            <v>MARZO</v>
          </cell>
          <cell r="EY6" t="str">
            <v>ABRIL</v>
          </cell>
          <cell r="EZ6" t="str">
            <v>MAYO</v>
          </cell>
          <cell r="FA6" t="str">
            <v>JUNIO</v>
          </cell>
          <cell r="FB6" t="str">
            <v>JULIO</v>
          </cell>
          <cell r="FC6" t="str">
            <v>AGOSTO</v>
          </cell>
          <cell r="FD6" t="str">
            <v>SEPTIEMBRE</v>
          </cell>
          <cell r="FE6" t="str">
            <v>OCTUBRE</v>
          </cell>
          <cell r="FF6" t="str">
            <v>NOVIEMBRE</v>
          </cell>
          <cell r="FG6" t="str">
            <v>DICIEMBRE</v>
          </cell>
        </row>
        <row r="7">
          <cell r="C7" t="str">
            <v>EDS</v>
          </cell>
          <cell r="D7" t="str">
            <v>CD</v>
          </cell>
          <cell r="U7" t="str">
            <v>T1</v>
          </cell>
          <cell r="V7" t="str">
            <v>T2</v>
          </cell>
          <cell r="W7" t="str">
            <v>GC</v>
          </cell>
          <cell r="X7" t="str">
            <v>T1</v>
          </cell>
          <cell r="Y7" t="str">
            <v>T2</v>
          </cell>
          <cell r="Z7" t="str">
            <v>GC</v>
          </cell>
          <cell r="AA7" t="str">
            <v>T1</v>
          </cell>
          <cell r="AB7" t="str">
            <v>T2</v>
          </cell>
          <cell r="AC7" t="str">
            <v>GC</v>
          </cell>
          <cell r="AD7" t="str">
            <v>T1</v>
          </cell>
          <cell r="AE7" t="str">
            <v>T2</v>
          </cell>
          <cell r="AF7" t="str">
            <v>GC</v>
          </cell>
          <cell r="AG7" t="str">
            <v>T1</v>
          </cell>
          <cell r="AH7" t="str">
            <v>T2</v>
          </cell>
          <cell r="AI7" t="str">
            <v>GC</v>
          </cell>
          <cell r="AJ7" t="str">
            <v>T1</v>
          </cell>
          <cell r="AK7" t="str">
            <v>T2</v>
          </cell>
          <cell r="AL7" t="str">
            <v>GC</v>
          </cell>
          <cell r="AM7" t="str">
            <v>T1</v>
          </cell>
          <cell r="AN7" t="str">
            <v>T2</v>
          </cell>
          <cell r="AO7" t="str">
            <v>GC</v>
          </cell>
          <cell r="AP7" t="str">
            <v>T1</v>
          </cell>
          <cell r="AQ7" t="str">
            <v>T2</v>
          </cell>
          <cell r="AR7" t="str">
            <v>GC</v>
          </cell>
          <cell r="AS7" t="str">
            <v>T1</v>
          </cell>
          <cell r="AT7" t="str">
            <v>T2</v>
          </cell>
          <cell r="AU7" t="str">
            <v>GC</v>
          </cell>
          <cell r="AV7" t="str">
            <v>T1</v>
          </cell>
          <cell r="AW7" t="str">
            <v>T2</v>
          </cell>
          <cell r="AX7" t="str">
            <v>GC</v>
          </cell>
          <cell r="AY7" t="str">
            <v>T1</v>
          </cell>
          <cell r="AZ7" t="str">
            <v>T2</v>
          </cell>
          <cell r="BA7" t="str">
            <v>GC</v>
          </cell>
          <cell r="BB7" t="str">
            <v>T1</v>
          </cell>
          <cell r="BC7" t="str">
            <v>T2</v>
          </cell>
          <cell r="BD7" t="str">
            <v>GC</v>
          </cell>
          <cell r="BG7" t="str">
            <v>T1</v>
          </cell>
          <cell r="BH7" t="str">
            <v>T2</v>
          </cell>
          <cell r="BI7" t="str">
            <v>GC</v>
          </cell>
          <cell r="BJ7" t="str">
            <v>T1</v>
          </cell>
          <cell r="BK7" t="str">
            <v>T2</v>
          </cell>
          <cell r="BL7" t="str">
            <v>GC</v>
          </cell>
          <cell r="BM7" t="str">
            <v>T1</v>
          </cell>
          <cell r="BN7" t="str">
            <v>T2</v>
          </cell>
          <cell r="BO7" t="str">
            <v>GC</v>
          </cell>
          <cell r="BP7" t="str">
            <v>T1</v>
          </cell>
          <cell r="BQ7" t="str">
            <v>T2</v>
          </cell>
          <cell r="BR7" t="str">
            <v>GC</v>
          </cell>
          <cell r="BS7" t="str">
            <v>T1</v>
          </cell>
          <cell r="BT7" t="str">
            <v>T2</v>
          </cell>
          <cell r="BU7" t="str">
            <v>GC</v>
          </cell>
          <cell r="BV7" t="str">
            <v>T1</v>
          </cell>
          <cell r="BW7" t="str">
            <v>T2</v>
          </cell>
          <cell r="BX7" t="str">
            <v>GC</v>
          </cell>
          <cell r="BY7" t="str">
            <v>T1</v>
          </cell>
          <cell r="BZ7" t="str">
            <v>T2</v>
          </cell>
          <cell r="CA7" t="str">
            <v>GC</v>
          </cell>
          <cell r="CB7" t="str">
            <v>T1</v>
          </cell>
          <cell r="CC7" t="str">
            <v>T2</v>
          </cell>
          <cell r="CD7" t="str">
            <v>GC</v>
          </cell>
          <cell r="CE7" t="str">
            <v>T1</v>
          </cell>
          <cell r="CF7" t="str">
            <v>T2</v>
          </cell>
          <cell r="CG7" t="str">
            <v>GC</v>
          </cell>
          <cell r="CH7" t="str">
            <v>T1</v>
          </cell>
          <cell r="CI7" t="str">
            <v>T2</v>
          </cell>
          <cell r="CJ7" t="str">
            <v>GC</v>
          </cell>
          <cell r="CK7" t="str">
            <v>T1</v>
          </cell>
          <cell r="CL7" t="str">
            <v>T2</v>
          </cell>
          <cell r="CM7" t="str">
            <v>GC</v>
          </cell>
          <cell r="CN7" t="str">
            <v>T1</v>
          </cell>
          <cell r="CO7" t="str">
            <v>T2</v>
          </cell>
          <cell r="CP7" t="str">
            <v>GC</v>
          </cell>
          <cell r="CQ7" t="str">
            <v>T1</v>
          </cell>
          <cell r="CR7" t="str">
            <v>T2</v>
          </cell>
          <cell r="CS7" t="str">
            <v>GC</v>
          </cell>
          <cell r="CV7" t="str">
            <v>T1</v>
          </cell>
          <cell r="CW7" t="str">
            <v>T2</v>
          </cell>
          <cell r="CX7" t="str">
            <v>GC</v>
          </cell>
          <cell r="CY7" t="str">
            <v>T1</v>
          </cell>
          <cell r="CZ7" t="str">
            <v>T2</v>
          </cell>
          <cell r="DA7" t="str">
            <v>GC</v>
          </cell>
          <cell r="DB7" t="str">
            <v>T1</v>
          </cell>
          <cell r="DC7" t="str">
            <v>T2</v>
          </cell>
          <cell r="DD7" t="str">
            <v>GC</v>
          </cell>
          <cell r="DE7" t="str">
            <v>T1</v>
          </cell>
          <cell r="DF7" t="str">
            <v>T2</v>
          </cell>
          <cell r="DG7" t="str">
            <v>GC</v>
          </cell>
          <cell r="DH7" t="str">
            <v>T1</v>
          </cell>
          <cell r="DI7" t="str">
            <v>T2</v>
          </cell>
          <cell r="DJ7" t="str">
            <v>GC</v>
          </cell>
          <cell r="DK7" t="str">
            <v>T1</v>
          </cell>
          <cell r="DL7" t="str">
            <v>T2</v>
          </cell>
          <cell r="DM7" t="str">
            <v>GC</v>
          </cell>
          <cell r="DN7" t="str">
            <v>T1</v>
          </cell>
          <cell r="DO7" t="str">
            <v>T2</v>
          </cell>
          <cell r="DP7" t="str">
            <v>GC</v>
          </cell>
          <cell r="DQ7" t="str">
            <v>T1</v>
          </cell>
          <cell r="DR7" t="str">
            <v>T2</v>
          </cell>
          <cell r="DS7" t="str">
            <v>GC</v>
          </cell>
          <cell r="DT7" t="str">
            <v>T1</v>
          </cell>
          <cell r="DU7" t="str">
            <v>T2</v>
          </cell>
          <cell r="DV7" t="str">
            <v>GC</v>
          </cell>
          <cell r="DW7" t="str">
            <v>T1</v>
          </cell>
          <cell r="DX7" t="str">
            <v>T2</v>
          </cell>
          <cell r="DY7" t="str">
            <v>GC</v>
          </cell>
          <cell r="DZ7" t="str">
            <v>T1</v>
          </cell>
          <cell r="EA7" t="str">
            <v>T2</v>
          </cell>
          <cell r="EB7" t="str">
            <v>GC</v>
          </cell>
          <cell r="EC7" t="str">
            <v>T1</v>
          </cell>
          <cell r="ED7" t="str">
            <v>T2</v>
          </cell>
          <cell r="EE7" t="str">
            <v>GC</v>
          </cell>
        </row>
        <row r="8">
          <cell r="C8" t="str">
            <v>A10 BEV</v>
          </cell>
          <cell r="D8" t="str">
            <v>A10 BEV</v>
          </cell>
          <cell r="G8">
            <v>0.05</v>
          </cell>
          <cell r="H8">
            <v>0.05</v>
          </cell>
          <cell r="I8">
            <v>0.05</v>
          </cell>
          <cell r="J8">
            <v>0.05</v>
          </cell>
          <cell r="K8">
            <v>0.05</v>
          </cell>
          <cell r="L8">
            <v>0.05</v>
          </cell>
          <cell r="M8">
            <v>0.05</v>
          </cell>
          <cell r="N8">
            <v>0.05</v>
          </cell>
          <cell r="O8">
            <v>0.05</v>
          </cell>
          <cell r="P8">
            <v>0.05</v>
          </cell>
          <cell r="Q8">
            <v>0.05</v>
          </cell>
          <cell r="R8">
            <v>0.05</v>
          </cell>
          <cell r="U8">
            <v>0.5</v>
          </cell>
          <cell r="V8">
            <v>0</v>
          </cell>
          <cell r="W8">
            <v>0.5</v>
          </cell>
          <cell r="X8">
            <v>0.5</v>
          </cell>
          <cell r="Y8">
            <v>0</v>
          </cell>
          <cell r="Z8">
            <v>0.5</v>
          </cell>
          <cell r="AA8">
            <v>0.5</v>
          </cell>
          <cell r="AB8">
            <v>0</v>
          </cell>
          <cell r="AC8">
            <v>0.5</v>
          </cell>
          <cell r="AD8">
            <v>0.5</v>
          </cell>
          <cell r="AE8">
            <v>0</v>
          </cell>
          <cell r="AF8">
            <v>0.5</v>
          </cell>
          <cell r="AG8">
            <v>0.5</v>
          </cell>
          <cell r="AH8">
            <v>0</v>
          </cell>
          <cell r="AI8">
            <v>0.5</v>
          </cell>
          <cell r="AJ8">
            <v>0.5</v>
          </cell>
          <cell r="AK8">
            <v>0</v>
          </cell>
          <cell r="AL8">
            <v>0.5</v>
          </cell>
          <cell r="AM8">
            <v>0.5</v>
          </cell>
          <cell r="AN8">
            <v>0</v>
          </cell>
          <cell r="AO8">
            <v>0.5</v>
          </cell>
          <cell r="AP8">
            <v>0.5</v>
          </cell>
          <cell r="AQ8">
            <v>0</v>
          </cell>
          <cell r="AR8">
            <v>0.5</v>
          </cell>
          <cell r="AS8">
            <v>0.5</v>
          </cell>
          <cell r="AT8">
            <v>0</v>
          </cell>
          <cell r="AU8">
            <v>0.5</v>
          </cell>
          <cell r="AV8">
            <v>0.5</v>
          </cell>
          <cell r="AW8">
            <v>0</v>
          </cell>
          <cell r="AX8">
            <v>0.5</v>
          </cell>
          <cell r="AY8">
            <v>0.5</v>
          </cell>
          <cell r="AZ8">
            <v>0</v>
          </cell>
          <cell r="BA8">
            <v>0.5</v>
          </cell>
          <cell r="BB8">
            <v>0.5</v>
          </cell>
          <cell r="BC8">
            <v>0</v>
          </cell>
          <cell r="BD8">
            <v>0.5</v>
          </cell>
          <cell r="BG8">
            <v>0.08</v>
          </cell>
          <cell r="BH8">
            <v>0.1</v>
          </cell>
          <cell r="BI8">
            <v>0.12</v>
          </cell>
          <cell r="BJ8">
            <v>0.08</v>
          </cell>
          <cell r="BK8">
            <v>0.1</v>
          </cell>
          <cell r="BL8">
            <v>0.12</v>
          </cell>
          <cell r="BM8">
            <v>0.08</v>
          </cell>
          <cell r="BN8">
            <v>0.1</v>
          </cell>
          <cell r="BO8">
            <v>0.12</v>
          </cell>
          <cell r="BP8">
            <v>0.08</v>
          </cell>
          <cell r="BQ8">
            <v>0.1</v>
          </cell>
          <cell r="BR8">
            <v>0.12</v>
          </cell>
          <cell r="BS8">
            <v>0.08</v>
          </cell>
          <cell r="BT8">
            <v>0.1</v>
          </cell>
          <cell r="BU8">
            <v>0.12</v>
          </cell>
          <cell r="BV8">
            <v>0.08</v>
          </cell>
          <cell r="BW8">
            <v>0.1</v>
          </cell>
          <cell r="BX8">
            <v>0.12</v>
          </cell>
          <cell r="BY8">
            <v>0.08</v>
          </cell>
          <cell r="BZ8">
            <v>0.1</v>
          </cell>
          <cell r="CA8">
            <v>0.12</v>
          </cell>
          <cell r="CB8">
            <v>0.08</v>
          </cell>
          <cell r="CC8">
            <v>0.1</v>
          </cell>
          <cell r="CD8">
            <v>0.12</v>
          </cell>
          <cell r="CE8">
            <v>0.08</v>
          </cell>
          <cell r="CF8">
            <v>0.1</v>
          </cell>
          <cell r="CG8">
            <v>0.12</v>
          </cell>
          <cell r="CH8">
            <v>0.08</v>
          </cell>
          <cell r="CI8">
            <v>0.1</v>
          </cell>
          <cell r="CJ8">
            <v>0.12</v>
          </cell>
          <cell r="CK8">
            <v>0.08</v>
          </cell>
          <cell r="CL8">
            <v>0.1</v>
          </cell>
          <cell r="CM8">
            <v>0.12</v>
          </cell>
          <cell r="CN8">
            <v>0.08</v>
          </cell>
          <cell r="CO8">
            <v>0.1</v>
          </cell>
          <cell r="CP8">
            <v>0.12</v>
          </cell>
          <cell r="CQ8">
            <v>0.08</v>
          </cell>
          <cell r="CR8">
            <v>0.1</v>
          </cell>
          <cell r="CS8">
            <v>0.12</v>
          </cell>
          <cell r="CV8">
            <v>5.5E-2</v>
          </cell>
          <cell r="CW8">
            <v>4.4999999999999998E-2</v>
          </cell>
          <cell r="CX8">
            <v>0.03</v>
          </cell>
          <cell r="CY8">
            <v>5.5E-2</v>
          </cell>
          <cell r="CZ8">
            <v>4.4999999999999998E-2</v>
          </cell>
          <cell r="DA8">
            <v>0.03</v>
          </cell>
          <cell r="DB8">
            <v>5.5E-2</v>
          </cell>
          <cell r="DC8">
            <v>4.4999999999999998E-2</v>
          </cell>
          <cell r="DD8">
            <v>0.03</v>
          </cell>
          <cell r="DE8">
            <v>5.5E-2</v>
          </cell>
          <cell r="DF8">
            <v>4.4999999999999998E-2</v>
          </cell>
          <cell r="DG8">
            <v>0.03</v>
          </cell>
          <cell r="DH8">
            <v>5.5E-2</v>
          </cell>
          <cell r="DI8">
            <v>4.4999999999999998E-2</v>
          </cell>
          <cell r="DJ8">
            <v>0.03</v>
          </cell>
          <cell r="DK8">
            <v>5.5E-2</v>
          </cell>
          <cell r="DL8">
            <v>4.4999999999999998E-2</v>
          </cell>
          <cell r="DM8">
            <v>0.03</v>
          </cell>
          <cell r="DN8">
            <v>5.5E-2</v>
          </cell>
          <cell r="DO8">
            <v>4.4999999999999998E-2</v>
          </cell>
          <cell r="DP8">
            <v>0.03</v>
          </cell>
          <cell r="DQ8">
            <v>5.5E-2</v>
          </cell>
          <cell r="DR8">
            <v>4.4999999999999998E-2</v>
          </cell>
          <cell r="DS8">
            <v>0.03</v>
          </cell>
          <cell r="DT8">
            <v>5.5E-2</v>
          </cell>
          <cell r="DU8">
            <v>4.4999999999999998E-2</v>
          </cell>
          <cell r="DV8">
            <v>0.03</v>
          </cell>
          <cell r="DW8">
            <v>5.5E-2</v>
          </cell>
          <cell r="DX8">
            <v>4.4999999999999998E-2</v>
          </cell>
          <cell r="DY8">
            <v>0.03</v>
          </cell>
          <cell r="DZ8">
            <v>5.5E-2</v>
          </cell>
          <cell r="EA8">
            <v>4.4999999999999998E-2</v>
          </cell>
          <cell r="EB8">
            <v>0.03</v>
          </cell>
          <cell r="EC8">
            <v>5.5E-2</v>
          </cell>
          <cell r="ED8">
            <v>4.4999999999999998E-2</v>
          </cell>
          <cell r="EE8">
            <v>0.03</v>
          </cell>
          <cell r="EG8">
            <v>5.2500000000000005E-2</v>
          </cell>
          <cell r="EH8">
            <v>5.2500000000000005E-2</v>
          </cell>
          <cell r="EI8">
            <v>5.2500000000000005E-2</v>
          </cell>
          <cell r="EJ8">
            <v>5.2500000000000005E-2</v>
          </cell>
          <cell r="EK8">
            <v>5.2500000000000005E-2</v>
          </cell>
          <cell r="EL8">
            <v>5.2500000000000005E-2</v>
          </cell>
          <cell r="EM8">
            <v>5.2500000000000005E-2</v>
          </cell>
          <cell r="EN8">
            <v>5.2500000000000005E-2</v>
          </cell>
          <cell r="EO8">
            <v>5.2500000000000005E-2</v>
          </cell>
          <cell r="EP8">
            <v>5.2500000000000005E-2</v>
          </cell>
          <cell r="EQ8">
            <v>5.2500000000000005E-2</v>
          </cell>
          <cell r="ER8">
            <v>5.2500000000000005E-2</v>
          </cell>
          <cell r="ES8">
            <v>5.2500000000000005E-2</v>
          </cell>
          <cell r="EU8">
            <v>0.1</v>
          </cell>
          <cell r="EV8">
            <v>0.1</v>
          </cell>
          <cell r="EW8">
            <v>0.1</v>
          </cell>
          <cell r="EX8">
            <v>0.1</v>
          </cell>
          <cell r="EY8">
            <v>0.1</v>
          </cell>
          <cell r="EZ8">
            <v>0.1</v>
          </cell>
          <cell r="FA8">
            <v>0.1</v>
          </cell>
          <cell r="FB8">
            <v>0.1</v>
          </cell>
          <cell r="FC8">
            <v>0.1</v>
          </cell>
          <cell r="FD8">
            <v>0.1</v>
          </cell>
          <cell r="FE8">
            <v>0.1</v>
          </cell>
          <cell r="FF8">
            <v>0.1</v>
          </cell>
          <cell r="FG8">
            <v>0.1</v>
          </cell>
        </row>
        <row r="9">
          <cell r="D9" t="str">
            <v/>
          </cell>
          <cell r="G9">
            <v>0.05</v>
          </cell>
          <cell r="H9">
            <v>0.05</v>
          </cell>
          <cell r="I9">
            <v>0.05</v>
          </cell>
          <cell r="J9">
            <v>0.05</v>
          </cell>
          <cell r="K9">
            <v>0.05</v>
          </cell>
          <cell r="L9">
            <v>0.05</v>
          </cell>
          <cell r="M9">
            <v>0.05</v>
          </cell>
          <cell r="N9">
            <v>0.05</v>
          </cell>
          <cell r="O9">
            <v>0.05</v>
          </cell>
          <cell r="P9">
            <v>0.05</v>
          </cell>
          <cell r="Q9">
            <v>0.05</v>
          </cell>
          <cell r="R9">
            <v>0.05</v>
          </cell>
          <cell r="U9">
            <v>0.5</v>
          </cell>
          <cell r="V9">
            <v>0</v>
          </cell>
          <cell r="W9">
            <v>0.5</v>
          </cell>
          <cell r="X9">
            <v>0.5</v>
          </cell>
          <cell r="Y9">
            <v>0</v>
          </cell>
          <cell r="Z9">
            <v>0.5</v>
          </cell>
          <cell r="AA9">
            <v>0.5</v>
          </cell>
          <cell r="AB9">
            <v>0</v>
          </cell>
          <cell r="AC9">
            <v>0.5</v>
          </cell>
          <cell r="AD9">
            <v>0.5</v>
          </cell>
          <cell r="AE9">
            <v>0</v>
          </cell>
          <cell r="AF9">
            <v>0.5</v>
          </cell>
          <cell r="AG9">
            <v>0.5</v>
          </cell>
          <cell r="AH9">
            <v>0</v>
          </cell>
          <cell r="AI9">
            <v>0.5</v>
          </cell>
          <cell r="AJ9">
            <v>0.5</v>
          </cell>
          <cell r="AK9">
            <v>0</v>
          </cell>
          <cell r="AL9">
            <v>0.5</v>
          </cell>
          <cell r="AM9">
            <v>0.5</v>
          </cell>
          <cell r="AN9">
            <v>0</v>
          </cell>
          <cell r="AO9">
            <v>0.5</v>
          </cell>
          <cell r="AP9">
            <v>0.5</v>
          </cell>
          <cell r="AQ9">
            <v>0</v>
          </cell>
          <cell r="AR9">
            <v>0.5</v>
          </cell>
          <cell r="AS9">
            <v>0.5</v>
          </cell>
          <cell r="AT9">
            <v>0</v>
          </cell>
          <cell r="AU9">
            <v>0.5</v>
          </cell>
          <cell r="AV9">
            <v>0.5</v>
          </cell>
          <cell r="AW9">
            <v>0</v>
          </cell>
          <cell r="AX9">
            <v>0.5</v>
          </cell>
          <cell r="AY9">
            <v>0.5</v>
          </cell>
          <cell r="AZ9">
            <v>0</v>
          </cell>
          <cell r="BA9">
            <v>0.5</v>
          </cell>
          <cell r="BB9">
            <v>0.5</v>
          </cell>
          <cell r="BC9">
            <v>0</v>
          </cell>
          <cell r="BD9">
            <v>0.5</v>
          </cell>
          <cell r="BG9">
            <v>0.08</v>
          </cell>
          <cell r="BH9">
            <v>0.1</v>
          </cell>
          <cell r="BI9">
            <v>0.12</v>
          </cell>
          <cell r="BJ9">
            <v>0.08</v>
          </cell>
          <cell r="BK9">
            <v>0.1</v>
          </cell>
          <cell r="BL9">
            <v>0.12</v>
          </cell>
          <cell r="BM9">
            <v>0.08</v>
          </cell>
          <cell r="BN9">
            <v>0.1</v>
          </cell>
          <cell r="BO9">
            <v>0.12</v>
          </cell>
          <cell r="BP9">
            <v>0.08</v>
          </cell>
          <cell r="BQ9">
            <v>0.1</v>
          </cell>
          <cell r="BR9">
            <v>0.12</v>
          </cell>
          <cell r="BS9">
            <v>0.08</v>
          </cell>
          <cell r="BT9">
            <v>0.1</v>
          </cell>
          <cell r="BU9">
            <v>0.12</v>
          </cell>
          <cell r="BV9">
            <v>0.08</v>
          </cell>
          <cell r="BW9">
            <v>0.1</v>
          </cell>
          <cell r="BX9">
            <v>0.12</v>
          </cell>
          <cell r="BY9">
            <v>0.08</v>
          </cell>
          <cell r="BZ9">
            <v>0.1</v>
          </cell>
          <cell r="CA9">
            <v>0.12</v>
          </cell>
          <cell r="CB9">
            <v>0.08</v>
          </cell>
          <cell r="CC9">
            <v>0.1</v>
          </cell>
          <cell r="CD9">
            <v>0.12</v>
          </cell>
          <cell r="CE9">
            <v>0.08</v>
          </cell>
          <cell r="CF9">
            <v>0.1</v>
          </cell>
          <cell r="CG9">
            <v>0.12</v>
          </cell>
          <cell r="CH9">
            <v>0.08</v>
          </cell>
          <cell r="CI9">
            <v>0.1</v>
          </cell>
          <cell r="CJ9">
            <v>0.12</v>
          </cell>
          <cell r="CK9">
            <v>0.08</v>
          </cell>
          <cell r="CL9">
            <v>0.1</v>
          </cell>
          <cell r="CM9">
            <v>0.12</v>
          </cell>
          <cell r="CN9">
            <v>0.08</v>
          </cell>
          <cell r="CO9">
            <v>0.1</v>
          </cell>
          <cell r="CP9">
            <v>0.12</v>
          </cell>
          <cell r="CQ9">
            <v>0.08</v>
          </cell>
          <cell r="CR9">
            <v>0.1</v>
          </cell>
          <cell r="CS9">
            <v>0.12</v>
          </cell>
          <cell r="CV9">
            <v>5.5E-2</v>
          </cell>
          <cell r="CW9">
            <v>4.4999999999999998E-2</v>
          </cell>
          <cell r="CX9">
            <v>0.03</v>
          </cell>
          <cell r="CY9">
            <v>5.5E-2</v>
          </cell>
          <cell r="CZ9">
            <v>4.4999999999999998E-2</v>
          </cell>
          <cell r="DA9">
            <v>0.03</v>
          </cell>
          <cell r="DB9">
            <v>5.5E-2</v>
          </cell>
          <cell r="DC9">
            <v>4.4999999999999998E-2</v>
          </cell>
          <cell r="DD9">
            <v>0.03</v>
          </cell>
          <cell r="DE9">
            <v>5.5E-2</v>
          </cell>
          <cell r="DF9">
            <v>4.4999999999999998E-2</v>
          </cell>
          <cell r="DG9">
            <v>0.03</v>
          </cell>
          <cell r="DH9">
            <v>5.5E-2</v>
          </cell>
          <cell r="DI9">
            <v>4.4999999999999998E-2</v>
          </cell>
          <cell r="DJ9">
            <v>0.03</v>
          </cell>
          <cell r="DK9">
            <v>5.5E-2</v>
          </cell>
          <cell r="DL9">
            <v>4.4999999999999998E-2</v>
          </cell>
          <cell r="DM9">
            <v>0.03</v>
          </cell>
          <cell r="DN9">
            <v>5.5E-2</v>
          </cell>
          <cell r="DO9">
            <v>4.4999999999999998E-2</v>
          </cell>
          <cell r="DP9">
            <v>0.03</v>
          </cell>
          <cell r="DQ9">
            <v>5.5E-2</v>
          </cell>
          <cell r="DR9">
            <v>4.4999999999999998E-2</v>
          </cell>
          <cell r="DS9">
            <v>0.03</v>
          </cell>
          <cell r="DT9">
            <v>5.5E-2</v>
          </cell>
          <cell r="DU9">
            <v>4.4999999999999998E-2</v>
          </cell>
          <cell r="DV9">
            <v>0.03</v>
          </cell>
          <cell r="DW9">
            <v>5.5E-2</v>
          </cell>
          <cell r="DX9">
            <v>4.4999999999999998E-2</v>
          </cell>
          <cell r="DY9">
            <v>0.03</v>
          </cell>
          <cell r="DZ9">
            <v>5.5E-2</v>
          </cell>
          <cell r="EA9">
            <v>4.4999999999999998E-2</v>
          </cell>
          <cell r="EB9">
            <v>0.03</v>
          </cell>
          <cell r="EC9">
            <v>5.5E-2</v>
          </cell>
          <cell r="ED9">
            <v>4.4999999999999998E-2</v>
          </cell>
          <cell r="EE9">
            <v>0.03</v>
          </cell>
          <cell r="EG9">
            <v>5.2500000000000005E-2</v>
          </cell>
          <cell r="EH9">
            <v>5.2500000000000005E-2</v>
          </cell>
          <cell r="EI9">
            <v>5.2500000000000005E-2</v>
          </cell>
          <cell r="EJ9">
            <v>5.2500000000000005E-2</v>
          </cell>
          <cell r="EK9">
            <v>5.2500000000000005E-2</v>
          </cell>
          <cell r="EL9">
            <v>5.2500000000000005E-2</v>
          </cell>
          <cell r="EM9">
            <v>5.2500000000000005E-2</v>
          </cell>
          <cell r="EN9">
            <v>5.2500000000000005E-2</v>
          </cell>
          <cell r="EO9">
            <v>5.2500000000000005E-2</v>
          </cell>
          <cell r="EP9">
            <v>5.2500000000000005E-2</v>
          </cell>
          <cell r="EQ9">
            <v>5.2500000000000005E-2</v>
          </cell>
          <cell r="ER9">
            <v>5.2500000000000005E-2</v>
          </cell>
          <cell r="ES9">
            <v>5.2500000000000005E-2</v>
          </cell>
          <cell r="EU9">
            <v>0.1</v>
          </cell>
          <cell r="EV9">
            <v>0.1</v>
          </cell>
          <cell r="EW9">
            <v>0.1</v>
          </cell>
          <cell r="EX9">
            <v>0.1</v>
          </cell>
          <cell r="EY9">
            <v>0.1</v>
          </cell>
          <cell r="EZ9">
            <v>0.1</v>
          </cell>
          <cell r="FA9">
            <v>0.1</v>
          </cell>
          <cell r="FB9">
            <v>0.1</v>
          </cell>
          <cell r="FC9">
            <v>0.1</v>
          </cell>
          <cell r="FD9">
            <v>0.1</v>
          </cell>
          <cell r="FE9">
            <v>0.1</v>
          </cell>
          <cell r="FF9">
            <v>0.1</v>
          </cell>
          <cell r="FG9">
            <v>0.1</v>
          </cell>
        </row>
        <row r="10">
          <cell r="C10" t="str">
            <v>B10 BEV</v>
          </cell>
          <cell r="D10" t="str">
            <v>B10-BEV</v>
          </cell>
          <cell r="G10">
            <v>0.05</v>
          </cell>
          <cell r="H10">
            <v>0.05</v>
          </cell>
          <cell r="I10">
            <v>0.05</v>
          </cell>
          <cell r="J10">
            <v>0.05</v>
          </cell>
          <cell r="K10">
            <v>0.05</v>
          </cell>
          <cell r="L10">
            <v>0.05</v>
          </cell>
          <cell r="M10">
            <v>0.05</v>
          </cell>
          <cell r="N10">
            <v>0.05</v>
          </cell>
          <cell r="O10">
            <v>0.05</v>
          </cell>
          <cell r="P10">
            <v>0.05</v>
          </cell>
          <cell r="Q10">
            <v>0.05</v>
          </cell>
          <cell r="R10">
            <v>0.05</v>
          </cell>
          <cell r="U10">
            <v>0.5</v>
          </cell>
          <cell r="V10">
            <v>0</v>
          </cell>
          <cell r="W10">
            <v>0.5</v>
          </cell>
          <cell r="X10">
            <v>0.5</v>
          </cell>
          <cell r="Y10">
            <v>0</v>
          </cell>
          <cell r="Z10">
            <v>0.5</v>
          </cell>
          <cell r="AA10">
            <v>0.5</v>
          </cell>
          <cell r="AB10">
            <v>0</v>
          </cell>
          <cell r="AC10">
            <v>0.5</v>
          </cell>
          <cell r="AD10">
            <v>0.5</v>
          </cell>
          <cell r="AE10">
            <v>0</v>
          </cell>
          <cell r="AF10">
            <v>0.5</v>
          </cell>
          <cell r="AG10">
            <v>0.5</v>
          </cell>
          <cell r="AH10">
            <v>0</v>
          </cell>
          <cell r="AI10">
            <v>0.5</v>
          </cell>
          <cell r="AJ10">
            <v>0.5</v>
          </cell>
          <cell r="AK10">
            <v>0</v>
          </cell>
          <cell r="AL10">
            <v>0.5</v>
          </cell>
          <cell r="AM10">
            <v>0.5</v>
          </cell>
          <cell r="AN10">
            <v>0</v>
          </cell>
          <cell r="AO10">
            <v>0.5</v>
          </cell>
          <cell r="AP10">
            <v>0.5</v>
          </cell>
          <cell r="AQ10">
            <v>0</v>
          </cell>
          <cell r="AR10">
            <v>0.5</v>
          </cell>
          <cell r="AS10">
            <v>0.5</v>
          </cell>
          <cell r="AT10">
            <v>0</v>
          </cell>
          <cell r="AU10">
            <v>0.5</v>
          </cell>
          <cell r="AV10">
            <v>0.5</v>
          </cell>
          <cell r="AW10">
            <v>0</v>
          </cell>
          <cell r="AX10">
            <v>0.5</v>
          </cell>
          <cell r="AY10">
            <v>0.5</v>
          </cell>
          <cell r="AZ10">
            <v>0</v>
          </cell>
          <cell r="BA10">
            <v>0.5</v>
          </cell>
          <cell r="BB10">
            <v>0.5</v>
          </cell>
          <cell r="BC10">
            <v>0</v>
          </cell>
          <cell r="BD10">
            <v>0.5</v>
          </cell>
          <cell r="BG10">
            <v>0.08</v>
          </cell>
          <cell r="BH10">
            <v>0.1</v>
          </cell>
          <cell r="BI10">
            <v>0.12</v>
          </cell>
          <cell r="BJ10">
            <v>0.08</v>
          </cell>
          <cell r="BK10">
            <v>0.1</v>
          </cell>
          <cell r="BL10">
            <v>0.12</v>
          </cell>
          <cell r="BM10">
            <v>0.08</v>
          </cell>
          <cell r="BN10">
            <v>0.1</v>
          </cell>
          <cell r="BO10">
            <v>0.12</v>
          </cell>
          <cell r="BP10">
            <v>0.08</v>
          </cell>
          <cell r="BQ10">
            <v>0.1</v>
          </cell>
          <cell r="BR10">
            <v>0.12</v>
          </cell>
          <cell r="BS10">
            <v>0.08</v>
          </cell>
          <cell r="BT10">
            <v>0.1</v>
          </cell>
          <cell r="BU10">
            <v>0.12</v>
          </cell>
          <cell r="BV10">
            <v>0.08</v>
          </cell>
          <cell r="BW10">
            <v>0.1</v>
          </cell>
          <cell r="BX10">
            <v>0.12</v>
          </cell>
          <cell r="BY10">
            <v>0.08</v>
          </cell>
          <cell r="BZ10">
            <v>0.1</v>
          </cell>
          <cell r="CA10">
            <v>0.12</v>
          </cell>
          <cell r="CB10">
            <v>0.08</v>
          </cell>
          <cell r="CC10">
            <v>0.1</v>
          </cell>
          <cell r="CD10">
            <v>0.12</v>
          </cell>
          <cell r="CE10">
            <v>0.08</v>
          </cell>
          <cell r="CF10">
            <v>0.1</v>
          </cell>
          <cell r="CG10">
            <v>0.12</v>
          </cell>
          <cell r="CH10">
            <v>0.08</v>
          </cell>
          <cell r="CI10">
            <v>0.1</v>
          </cell>
          <cell r="CJ10">
            <v>0.12</v>
          </cell>
          <cell r="CK10">
            <v>0.08</v>
          </cell>
          <cell r="CL10">
            <v>0.1</v>
          </cell>
          <cell r="CM10">
            <v>0.12</v>
          </cell>
          <cell r="CN10">
            <v>0.08</v>
          </cell>
          <cell r="CO10">
            <v>0.1</v>
          </cell>
          <cell r="CP10">
            <v>0.12</v>
          </cell>
          <cell r="CQ10">
            <v>0.08</v>
          </cell>
          <cell r="CR10">
            <v>0.1</v>
          </cell>
          <cell r="CS10">
            <v>0.12</v>
          </cell>
          <cell r="CV10">
            <v>5.5E-2</v>
          </cell>
          <cell r="CW10">
            <v>4.4999999999999998E-2</v>
          </cell>
          <cell r="CX10">
            <v>0.03</v>
          </cell>
          <cell r="CY10">
            <v>5.5E-2</v>
          </cell>
          <cell r="CZ10">
            <v>4.4999999999999998E-2</v>
          </cell>
          <cell r="DA10">
            <v>0.03</v>
          </cell>
          <cell r="DB10">
            <v>5.5E-2</v>
          </cell>
          <cell r="DC10">
            <v>4.4999999999999998E-2</v>
          </cell>
          <cell r="DD10">
            <v>0.03</v>
          </cell>
          <cell r="DE10">
            <v>5.5E-2</v>
          </cell>
          <cell r="DF10">
            <v>4.4999999999999998E-2</v>
          </cell>
          <cell r="DG10">
            <v>0.03</v>
          </cell>
          <cell r="DH10">
            <v>5.5E-2</v>
          </cell>
          <cell r="DI10">
            <v>4.4999999999999998E-2</v>
          </cell>
          <cell r="DJ10">
            <v>0.03</v>
          </cell>
          <cell r="DK10">
            <v>5.5E-2</v>
          </cell>
          <cell r="DL10">
            <v>4.4999999999999998E-2</v>
          </cell>
          <cell r="DM10">
            <v>0.03</v>
          </cell>
          <cell r="DN10">
            <v>5.5E-2</v>
          </cell>
          <cell r="DO10">
            <v>4.4999999999999998E-2</v>
          </cell>
          <cell r="DP10">
            <v>0.03</v>
          </cell>
          <cell r="DQ10">
            <v>5.5E-2</v>
          </cell>
          <cell r="DR10">
            <v>4.4999999999999998E-2</v>
          </cell>
          <cell r="DS10">
            <v>0.03</v>
          </cell>
          <cell r="DT10">
            <v>5.5E-2</v>
          </cell>
          <cell r="DU10">
            <v>4.4999999999999998E-2</v>
          </cell>
          <cell r="DV10">
            <v>0.03</v>
          </cell>
          <cell r="DW10">
            <v>5.5E-2</v>
          </cell>
          <cell r="DX10">
            <v>4.4999999999999998E-2</v>
          </cell>
          <cell r="DY10">
            <v>0.03</v>
          </cell>
          <cell r="DZ10">
            <v>5.5E-2</v>
          </cell>
          <cell r="EA10">
            <v>4.4999999999999998E-2</v>
          </cell>
          <cell r="EB10">
            <v>0.03</v>
          </cell>
          <cell r="EC10">
            <v>5.5E-2</v>
          </cell>
          <cell r="ED10">
            <v>4.4999999999999998E-2</v>
          </cell>
          <cell r="EE10">
            <v>0.03</v>
          </cell>
          <cell r="EG10">
            <v>5.2500000000000005E-2</v>
          </cell>
          <cell r="EH10">
            <v>5.2500000000000005E-2</v>
          </cell>
          <cell r="EI10">
            <v>5.2500000000000005E-2</v>
          </cell>
          <cell r="EJ10">
            <v>5.2500000000000005E-2</v>
          </cell>
          <cell r="EK10">
            <v>5.2500000000000005E-2</v>
          </cell>
          <cell r="EL10">
            <v>5.2500000000000005E-2</v>
          </cell>
          <cell r="EM10">
            <v>5.2500000000000005E-2</v>
          </cell>
          <cell r="EN10">
            <v>5.2500000000000005E-2</v>
          </cell>
          <cell r="EO10">
            <v>5.2500000000000005E-2</v>
          </cell>
          <cell r="EP10">
            <v>5.2500000000000005E-2</v>
          </cell>
          <cell r="EQ10">
            <v>5.2500000000000005E-2</v>
          </cell>
          <cell r="ER10">
            <v>5.2500000000000005E-2</v>
          </cell>
          <cell r="ES10">
            <v>5.2500000000000005E-2</v>
          </cell>
          <cell r="EU10">
            <v>0.1</v>
          </cell>
          <cell r="EV10">
            <v>0.1</v>
          </cell>
          <cell r="EW10">
            <v>0.1</v>
          </cell>
          <cell r="EX10">
            <v>0.1</v>
          </cell>
          <cell r="EY10">
            <v>0.1</v>
          </cell>
          <cell r="EZ10">
            <v>0.1</v>
          </cell>
          <cell r="FA10">
            <v>0.1</v>
          </cell>
          <cell r="FB10">
            <v>0.1</v>
          </cell>
          <cell r="FC10">
            <v>0.1</v>
          </cell>
          <cell r="FD10">
            <v>0.1</v>
          </cell>
          <cell r="FE10">
            <v>0.1</v>
          </cell>
          <cell r="FF10">
            <v>0.1</v>
          </cell>
          <cell r="FG10">
            <v>0.1</v>
          </cell>
        </row>
        <row r="11">
          <cell r="D11" t="str">
            <v/>
          </cell>
          <cell r="G11">
            <v>0.05</v>
          </cell>
          <cell r="H11">
            <v>0.05</v>
          </cell>
          <cell r="I11">
            <v>0.05</v>
          </cell>
          <cell r="J11">
            <v>0.05</v>
          </cell>
          <cell r="K11">
            <v>0.05</v>
          </cell>
          <cell r="L11">
            <v>0.05</v>
          </cell>
          <cell r="M11">
            <v>0.05</v>
          </cell>
          <cell r="N11">
            <v>0.05</v>
          </cell>
          <cell r="O11">
            <v>0.05</v>
          </cell>
          <cell r="P11">
            <v>0.05</v>
          </cell>
          <cell r="Q11">
            <v>0.05</v>
          </cell>
          <cell r="R11">
            <v>0.05</v>
          </cell>
          <cell r="U11">
            <v>0.5</v>
          </cell>
          <cell r="V11">
            <v>0</v>
          </cell>
          <cell r="W11">
            <v>0.5</v>
          </cell>
          <cell r="X11">
            <v>0.5</v>
          </cell>
          <cell r="Y11">
            <v>0</v>
          </cell>
          <cell r="Z11">
            <v>0.5</v>
          </cell>
          <cell r="AA11">
            <v>0.5</v>
          </cell>
          <cell r="AB11">
            <v>0</v>
          </cell>
          <cell r="AC11">
            <v>0.5</v>
          </cell>
          <cell r="AD11">
            <v>0.5</v>
          </cell>
          <cell r="AE11">
            <v>0</v>
          </cell>
          <cell r="AF11">
            <v>0.5</v>
          </cell>
          <cell r="AG11">
            <v>0.5</v>
          </cell>
          <cell r="AH11">
            <v>0</v>
          </cell>
          <cell r="AI11">
            <v>0.5</v>
          </cell>
          <cell r="AJ11">
            <v>0.5</v>
          </cell>
          <cell r="AK11">
            <v>0</v>
          </cell>
          <cell r="AL11">
            <v>0.5</v>
          </cell>
          <cell r="AM11">
            <v>0.5</v>
          </cell>
          <cell r="AN11">
            <v>0</v>
          </cell>
          <cell r="AO11">
            <v>0.5</v>
          </cell>
          <cell r="AP11">
            <v>0.5</v>
          </cell>
          <cell r="AQ11">
            <v>0</v>
          </cell>
          <cell r="AR11">
            <v>0.5</v>
          </cell>
          <cell r="AS11">
            <v>0.5</v>
          </cell>
          <cell r="AT11">
            <v>0</v>
          </cell>
          <cell r="AU11">
            <v>0.5</v>
          </cell>
          <cell r="AV11">
            <v>0.5</v>
          </cell>
          <cell r="AW11">
            <v>0</v>
          </cell>
          <cell r="AX11">
            <v>0.5</v>
          </cell>
          <cell r="AY11">
            <v>0.5</v>
          </cell>
          <cell r="AZ11">
            <v>0</v>
          </cell>
          <cell r="BA11">
            <v>0.5</v>
          </cell>
          <cell r="BB11">
            <v>0.5</v>
          </cell>
          <cell r="BC11">
            <v>0</v>
          </cell>
          <cell r="BD11">
            <v>0.5</v>
          </cell>
          <cell r="BG11">
            <v>0.08</v>
          </cell>
          <cell r="BH11">
            <v>0.1</v>
          </cell>
          <cell r="BI11">
            <v>0.12</v>
          </cell>
          <cell r="BJ11">
            <v>0.08</v>
          </cell>
          <cell r="BK11">
            <v>0.1</v>
          </cell>
          <cell r="BL11">
            <v>0.12</v>
          </cell>
          <cell r="BM11">
            <v>0.08</v>
          </cell>
          <cell r="BN11">
            <v>0.1</v>
          </cell>
          <cell r="BO11">
            <v>0.12</v>
          </cell>
          <cell r="BP11">
            <v>0.08</v>
          </cell>
          <cell r="BQ11">
            <v>0.1</v>
          </cell>
          <cell r="BR11">
            <v>0.12</v>
          </cell>
          <cell r="BS11">
            <v>0.08</v>
          </cell>
          <cell r="BT11">
            <v>0.1</v>
          </cell>
          <cell r="BU11">
            <v>0.12</v>
          </cell>
          <cell r="BV11">
            <v>0.08</v>
          </cell>
          <cell r="BW11">
            <v>0.1</v>
          </cell>
          <cell r="BX11">
            <v>0.12</v>
          </cell>
          <cell r="BY11">
            <v>0.08</v>
          </cell>
          <cell r="BZ11">
            <v>0.1</v>
          </cell>
          <cell r="CA11">
            <v>0.12</v>
          </cell>
          <cell r="CB11">
            <v>0.08</v>
          </cell>
          <cell r="CC11">
            <v>0.1</v>
          </cell>
          <cell r="CD11">
            <v>0.12</v>
          </cell>
          <cell r="CE11">
            <v>0.08</v>
          </cell>
          <cell r="CF11">
            <v>0.1</v>
          </cell>
          <cell r="CG11">
            <v>0.12</v>
          </cell>
          <cell r="CH11">
            <v>0.08</v>
          </cell>
          <cell r="CI11">
            <v>0.1</v>
          </cell>
          <cell r="CJ11">
            <v>0.12</v>
          </cell>
          <cell r="CK11">
            <v>0.08</v>
          </cell>
          <cell r="CL11">
            <v>0.1</v>
          </cell>
          <cell r="CM11">
            <v>0.12</v>
          </cell>
          <cell r="CN11">
            <v>0.08</v>
          </cell>
          <cell r="CO11">
            <v>0.1</v>
          </cell>
          <cell r="CP11">
            <v>0.12</v>
          </cell>
          <cell r="CQ11">
            <v>0.08</v>
          </cell>
          <cell r="CR11">
            <v>0.1</v>
          </cell>
          <cell r="CS11">
            <v>0.12</v>
          </cell>
          <cell r="CV11">
            <v>5.5E-2</v>
          </cell>
          <cell r="CW11">
            <v>4.4999999999999998E-2</v>
          </cell>
          <cell r="CX11">
            <v>0.03</v>
          </cell>
          <cell r="CY11">
            <v>5.5E-2</v>
          </cell>
          <cell r="CZ11">
            <v>4.4999999999999998E-2</v>
          </cell>
          <cell r="DA11">
            <v>0.03</v>
          </cell>
          <cell r="DB11">
            <v>5.5E-2</v>
          </cell>
          <cell r="DC11">
            <v>4.4999999999999998E-2</v>
          </cell>
          <cell r="DD11">
            <v>0.03</v>
          </cell>
          <cell r="DE11">
            <v>5.5E-2</v>
          </cell>
          <cell r="DF11">
            <v>4.4999999999999998E-2</v>
          </cell>
          <cell r="DG11">
            <v>0.03</v>
          </cell>
          <cell r="DH11">
            <v>5.5E-2</v>
          </cell>
          <cell r="DI11">
            <v>4.4999999999999998E-2</v>
          </cell>
          <cell r="DJ11">
            <v>0.03</v>
          </cell>
          <cell r="DK11">
            <v>5.5E-2</v>
          </cell>
          <cell r="DL11">
            <v>4.4999999999999998E-2</v>
          </cell>
          <cell r="DM11">
            <v>0.03</v>
          </cell>
          <cell r="DN11">
            <v>5.5E-2</v>
          </cell>
          <cell r="DO11">
            <v>4.4999999999999998E-2</v>
          </cell>
          <cell r="DP11">
            <v>0.03</v>
          </cell>
          <cell r="DQ11">
            <v>5.5E-2</v>
          </cell>
          <cell r="DR11">
            <v>4.4999999999999998E-2</v>
          </cell>
          <cell r="DS11">
            <v>0.03</v>
          </cell>
          <cell r="DT11">
            <v>5.5E-2</v>
          </cell>
          <cell r="DU11">
            <v>4.4999999999999998E-2</v>
          </cell>
          <cell r="DV11">
            <v>0.03</v>
          </cell>
          <cell r="DW11">
            <v>5.5E-2</v>
          </cell>
          <cell r="DX11">
            <v>4.4999999999999998E-2</v>
          </cell>
          <cell r="DY11">
            <v>0.03</v>
          </cell>
          <cell r="DZ11">
            <v>5.5E-2</v>
          </cell>
          <cell r="EA11">
            <v>4.4999999999999998E-2</v>
          </cell>
          <cell r="EB11">
            <v>0.03</v>
          </cell>
          <cell r="EC11">
            <v>5.5E-2</v>
          </cell>
          <cell r="ED11">
            <v>4.4999999999999998E-2</v>
          </cell>
          <cell r="EE11">
            <v>0.03</v>
          </cell>
          <cell r="EG11">
            <v>5.2500000000000005E-2</v>
          </cell>
          <cell r="EH11">
            <v>5.2500000000000005E-2</v>
          </cell>
          <cell r="EI11">
            <v>5.2500000000000005E-2</v>
          </cell>
          <cell r="EJ11">
            <v>5.2500000000000005E-2</v>
          </cell>
          <cell r="EK11">
            <v>5.2500000000000005E-2</v>
          </cell>
          <cell r="EL11">
            <v>5.2500000000000005E-2</v>
          </cell>
          <cell r="EM11">
            <v>5.2500000000000005E-2</v>
          </cell>
          <cell r="EN11">
            <v>5.2500000000000005E-2</v>
          </cell>
          <cell r="EO11">
            <v>5.2500000000000005E-2</v>
          </cell>
          <cell r="EP11">
            <v>5.2500000000000005E-2</v>
          </cell>
          <cell r="EQ11">
            <v>5.2500000000000005E-2</v>
          </cell>
          <cell r="ER11">
            <v>5.2500000000000005E-2</v>
          </cell>
          <cell r="ES11">
            <v>5.2500000000000005E-2</v>
          </cell>
          <cell r="EU11">
            <v>0.1</v>
          </cell>
          <cell r="EV11">
            <v>0.1</v>
          </cell>
          <cell r="EW11">
            <v>0.1</v>
          </cell>
          <cell r="EX11">
            <v>0.1</v>
          </cell>
          <cell r="EY11">
            <v>0.1</v>
          </cell>
          <cell r="EZ11">
            <v>0.1</v>
          </cell>
          <cell r="FA11">
            <v>0.1</v>
          </cell>
          <cell r="FB11">
            <v>0.1</v>
          </cell>
          <cell r="FC11">
            <v>0.1</v>
          </cell>
          <cell r="FD11">
            <v>0.1</v>
          </cell>
          <cell r="FE11">
            <v>0.1</v>
          </cell>
          <cell r="FF11">
            <v>0.1</v>
          </cell>
          <cell r="FG11">
            <v>0.1</v>
          </cell>
        </row>
        <row r="12">
          <cell r="C12" t="str">
            <v>B10 REEV</v>
          </cell>
          <cell r="D12" t="str">
            <v>B10 REEV</v>
          </cell>
          <cell r="G12">
            <v>0.05</v>
          </cell>
          <cell r="H12">
            <v>0.05</v>
          </cell>
          <cell r="I12">
            <v>0.05</v>
          </cell>
          <cell r="J12">
            <v>0.05</v>
          </cell>
          <cell r="K12">
            <v>0.05</v>
          </cell>
          <cell r="L12">
            <v>0.05</v>
          </cell>
          <cell r="M12">
            <v>0.05</v>
          </cell>
          <cell r="N12">
            <v>0.05</v>
          </cell>
          <cell r="O12">
            <v>0.05</v>
          </cell>
          <cell r="P12">
            <v>0.05</v>
          </cell>
          <cell r="Q12">
            <v>0.05</v>
          </cell>
          <cell r="R12">
            <v>0.05</v>
          </cell>
          <cell r="U12">
            <v>0.5</v>
          </cell>
          <cell r="V12">
            <v>0</v>
          </cell>
          <cell r="W12">
            <v>0.5</v>
          </cell>
          <cell r="X12">
            <v>0.5</v>
          </cell>
          <cell r="Y12">
            <v>0</v>
          </cell>
          <cell r="Z12">
            <v>0.5</v>
          </cell>
          <cell r="AA12">
            <v>0.5</v>
          </cell>
          <cell r="AB12">
            <v>0</v>
          </cell>
          <cell r="AC12">
            <v>0.5</v>
          </cell>
          <cell r="AD12">
            <v>0.5</v>
          </cell>
          <cell r="AE12">
            <v>0</v>
          </cell>
          <cell r="AF12">
            <v>0.5</v>
          </cell>
          <cell r="AG12">
            <v>0.5</v>
          </cell>
          <cell r="AH12">
            <v>0</v>
          </cell>
          <cell r="AI12">
            <v>0.5</v>
          </cell>
          <cell r="AJ12">
            <v>0.5</v>
          </cell>
          <cell r="AK12">
            <v>0</v>
          </cell>
          <cell r="AL12">
            <v>0.5</v>
          </cell>
          <cell r="AM12">
            <v>0.5</v>
          </cell>
          <cell r="AN12">
            <v>0</v>
          </cell>
          <cell r="AO12">
            <v>0.5</v>
          </cell>
          <cell r="AP12">
            <v>0.5</v>
          </cell>
          <cell r="AQ12">
            <v>0</v>
          </cell>
          <cell r="AR12">
            <v>0.5</v>
          </cell>
          <cell r="AS12">
            <v>0.5</v>
          </cell>
          <cell r="AT12">
            <v>0</v>
          </cell>
          <cell r="AU12">
            <v>0.5</v>
          </cell>
          <cell r="AV12">
            <v>0.5</v>
          </cell>
          <cell r="AW12">
            <v>0</v>
          </cell>
          <cell r="AX12">
            <v>0.5</v>
          </cell>
          <cell r="AY12">
            <v>0.5</v>
          </cell>
          <cell r="AZ12">
            <v>0</v>
          </cell>
          <cell r="BA12">
            <v>0.5</v>
          </cell>
          <cell r="BB12">
            <v>0.5</v>
          </cell>
          <cell r="BC12">
            <v>0</v>
          </cell>
          <cell r="BD12">
            <v>0.5</v>
          </cell>
          <cell r="BG12">
            <v>0.08</v>
          </cell>
          <cell r="BH12">
            <v>0.1</v>
          </cell>
          <cell r="BI12">
            <v>0.12</v>
          </cell>
          <cell r="BJ12">
            <v>0.08</v>
          </cell>
          <cell r="BK12">
            <v>0.1</v>
          </cell>
          <cell r="BL12">
            <v>0.12</v>
          </cell>
          <cell r="BM12">
            <v>0.08</v>
          </cell>
          <cell r="BN12">
            <v>0.1</v>
          </cell>
          <cell r="BO12">
            <v>0.12</v>
          </cell>
          <cell r="BP12">
            <v>0.08</v>
          </cell>
          <cell r="BQ12">
            <v>0.1</v>
          </cell>
          <cell r="BR12">
            <v>0.12</v>
          </cell>
          <cell r="BS12">
            <v>0.08</v>
          </cell>
          <cell r="BT12">
            <v>0.1</v>
          </cell>
          <cell r="BU12">
            <v>0.12</v>
          </cell>
          <cell r="BV12">
            <v>0.08</v>
          </cell>
          <cell r="BW12">
            <v>0.1</v>
          </cell>
          <cell r="BX12">
            <v>0.12</v>
          </cell>
          <cell r="BY12">
            <v>0.08</v>
          </cell>
          <cell r="BZ12">
            <v>0.1</v>
          </cell>
          <cell r="CA12">
            <v>0.12</v>
          </cell>
          <cell r="CB12">
            <v>0.08</v>
          </cell>
          <cell r="CC12">
            <v>0.1</v>
          </cell>
          <cell r="CD12">
            <v>0.12</v>
          </cell>
          <cell r="CE12">
            <v>0.08</v>
          </cell>
          <cell r="CF12">
            <v>0.1</v>
          </cell>
          <cell r="CG12">
            <v>0.12</v>
          </cell>
          <cell r="CH12">
            <v>0.08</v>
          </cell>
          <cell r="CI12">
            <v>0.1</v>
          </cell>
          <cell r="CJ12">
            <v>0.12</v>
          </cell>
          <cell r="CK12">
            <v>0.08</v>
          </cell>
          <cell r="CL12">
            <v>0.1</v>
          </cell>
          <cell r="CM12">
            <v>0.12</v>
          </cell>
          <cell r="CN12">
            <v>0.08</v>
          </cell>
          <cell r="CO12">
            <v>0.1</v>
          </cell>
          <cell r="CP12">
            <v>0.12</v>
          </cell>
          <cell r="CQ12">
            <v>0.08</v>
          </cell>
          <cell r="CR12">
            <v>0.1</v>
          </cell>
          <cell r="CS12">
            <v>0.12</v>
          </cell>
          <cell r="CV12">
            <v>5.5E-2</v>
          </cell>
          <cell r="CW12">
            <v>4.4999999999999998E-2</v>
          </cell>
          <cell r="CX12">
            <v>0.03</v>
          </cell>
          <cell r="CY12">
            <v>5.5E-2</v>
          </cell>
          <cell r="CZ12">
            <v>4.4999999999999998E-2</v>
          </cell>
          <cell r="DA12">
            <v>0.03</v>
          </cell>
          <cell r="DB12">
            <v>5.5E-2</v>
          </cell>
          <cell r="DC12">
            <v>4.4999999999999998E-2</v>
          </cell>
          <cell r="DD12">
            <v>0.03</v>
          </cell>
          <cell r="DE12">
            <v>5.5E-2</v>
          </cell>
          <cell r="DF12">
            <v>4.4999999999999998E-2</v>
          </cell>
          <cell r="DG12">
            <v>0.03</v>
          </cell>
          <cell r="DH12">
            <v>5.5E-2</v>
          </cell>
          <cell r="DI12">
            <v>4.4999999999999998E-2</v>
          </cell>
          <cell r="DJ12">
            <v>0.03</v>
          </cell>
          <cell r="DK12">
            <v>5.5E-2</v>
          </cell>
          <cell r="DL12">
            <v>4.4999999999999998E-2</v>
          </cell>
          <cell r="DM12">
            <v>0.03</v>
          </cell>
          <cell r="DN12">
            <v>5.5E-2</v>
          </cell>
          <cell r="DO12">
            <v>4.4999999999999998E-2</v>
          </cell>
          <cell r="DP12">
            <v>0.03</v>
          </cell>
          <cell r="DQ12">
            <v>5.5E-2</v>
          </cell>
          <cell r="DR12">
            <v>4.4999999999999998E-2</v>
          </cell>
          <cell r="DS12">
            <v>0.03</v>
          </cell>
          <cell r="DT12">
            <v>5.5E-2</v>
          </cell>
          <cell r="DU12">
            <v>4.4999999999999998E-2</v>
          </cell>
          <cell r="DV12">
            <v>0.03</v>
          </cell>
          <cell r="DW12">
            <v>5.5E-2</v>
          </cell>
          <cell r="DX12">
            <v>4.4999999999999998E-2</v>
          </cell>
          <cell r="DY12">
            <v>0.03</v>
          </cell>
          <cell r="DZ12">
            <v>5.5E-2</v>
          </cell>
          <cell r="EA12">
            <v>4.4999999999999998E-2</v>
          </cell>
          <cell r="EB12">
            <v>0.03</v>
          </cell>
          <cell r="EC12">
            <v>5.5E-2</v>
          </cell>
          <cell r="ED12">
            <v>4.4999999999999998E-2</v>
          </cell>
          <cell r="EE12">
            <v>0.03</v>
          </cell>
          <cell r="EG12">
            <v>5.2500000000000005E-2</v>
          </cell>
          <cell r="EH12">
            <v>5.2500000000000005E-2</v>
          </cell>
          <cell r="EI12">
            <v>5.2500000000000005E-2</v>
          </cell>
          <cell r="EJ12">
            <v>5.2500000000000005E-2</v>
          </cell>
          <cell r="EK12">
            <v>5.2500000000000005E-2</v>
          </cell>
          <cell r="EL12">
            <v>5.2500000000000005E-2</v>
          </cell>
          <cell r="EM12">
            <v>5.2500000000000005E-2</v>
          </cell>
          <cell r="EN12">
            <v>5.2500000000000005E-2</v>
          </cell>
          <cell r="EO12">
            <v>5.2500000000000005E-2</v>
          </cell>
          <cell r="EP12">
            <v>5.2500000000000005E-2</v>
          </cell>
          <cell r="EQ12">
            <v>5.2500000000000005E-2</v>
          </cell>
          <cell r="ER12">
            <v>5.2500000000000005E-2</v>
          </cell>
          <cell r="ES12">
            <v>5.2500000000000005E-2</v>
          </cell>
          <cell r="EU12">
            <v>0.1</v>
          </cell>
          <cell r="EV12">
            <v>0.1</v>
          </cell>
          <cell r="EW12">
            <v>0.1</v>
          </cell>
          <cell r="EX12">
            <v>0.1</v>
          </cell>
          <cell r="EY12">
            <v>0.1</v>
          </cell>
          <cell r="EZ12">
            <v>0.1</v>
          </cell>
          <cell r="FA12">
            <v>0.1</v>
          </cell>
          <cell r="FB12">
            <v>0.1</v>
          </cell>
          <cell r="FC12">
            <v>0.1</v>
          </cell>
          <cell r="FD12">
            <v>0.1</v>
          </cell>
          <cell r="FE12">
            <v>0.1</v>
          </cell>
          <cell r="FF12">
            <v>0.1</v>
          </cell>
          <cell r="FG12">
            <v>0.1</v>
          </cell>
        </row>
        <row r="13">
          <cell r="D13" t="str">
            <v/>
          </cell>
          <cell r="G13">
            <v>0.05</v>
          </cell>
          <cell r="H13">
            <v>0.05</v>
          </cell>
          <cell r="I13">
            <v>0.05</v>
          </cell>
          <cell r="J13">
            <v>0.05</v>
          </cell>
          <cell r="K13">
            <v>0.05</v>
          </cell>
          <cell r="L13">
            <v>0.05</v>
          </cell>
          <cell r="M13">
            <v>0.05</v>
          </cell>
          <cell r="N13">
            <v>0.05</v>
          </cell>
          <cell r="O13">
            <v>0.05</v>
          </cell>
          <cell r="P13">
            <v>0.05</v>
          </cell>
          <cell r="Q13">
            <v>0.05</v>
          </cell>
          <cell r="R13">
            <v>0.05</v>
          </cell>
          <cell r="U13">
            <v>0.5</v>
          </cell>
          <cell r="V13">
            <v>0</v>
          </cell>
          <cell r="W13">
            <v>0.5</v>
          </cell>
          <cell r="X13">
            <v>0.5</v>
          </cell>
          <cell r="Y13">
            <v>0</v>
          </cell>
          <cell r="Z13">
            <v>0.5</v>
          </cell>
          <cell r="AA13">
            <v>0.5</v>
          </cell>
          <cell r="AB13">
            <v>0</v>
          </cell>
          <cell r="AC13">
            <v>0.5</v>
          </cell>
          <cell r="AD13">
            <v>0.5</v>
          </cell>
          <cell r="AE13">
            <v>0</v>
          </cell>
          <cell r="AF13">
            <v>0.5</v>
          </cell>
          <cell r="AG13">
            <v>0.5</v>
          </cell>
          <cell r="AH13">
            <v>0</v>
          </cell>
          <cell r="AI13">
            <v>0.5</v>
          </cell>
          <cell r="AJ13">
            <v>0.5</v>
          </cell>
          <cell r="AK13">
            <v>0</v>
          </cell>
          <cell r="AL13">
            <v>0.5</v>
          </cell>
          <cell r="AM13">
            <v>0.5</v>
          </cell>
          <cell r="AN13">
            <v>0</v>
          </cell>
          <cell r="AO13">
            <v>0.5</v>
          </cell>
          <cell r="AP13">
            <v>0.5</v>
          </cell>
          <cell r="AQ13">
            <v>0</v>
          </cell>
          <cell r="AR13">
            <v>0.5</v>
          </cell>
          <cell r="AS13">
            <v>0.5</v>
          </cell>
          <cell r="AT13">
            <v>0</v>
          </cell>
          <cell r="AU13">
            <v>0.5</v>
          </cell>
          <cell r="AV13">
            <v>0.5</v>
          </cell>
          <cell r="AW13">
            <v>0</v>
          </cell>
          <cell r="AX13">
            <v>0.5</v>
          </cell>
          <cell r="AY13">
            <v>0.5</v>
          </cell>
          <cell r="AZ13">
            <v>0</v>
          </cell>
          <cell r="BA13">
            <v>0.5</v>
          </cell>
          <cell r="BB13">
            <v>0.5</v>
          </cell>
          <cell r="BC13">
            <v>0</v>
          </cell>
          <cell r="BD13">
            <v>0.5</v>
          </cell>
          <cell r="BG13">
            <v>0.08</v>
          </cell>
          <cell r="BH13">
            <v>0.1</v>
          </cell>
          <cell r="BI13">
            <v>0.12</v>
          </cell>
          <cell r="BJ13">
            <v>0.08</v>
          </cell>
          <cell r="BK13">
            <v>0.1</v>
          </cell>
          <cell r="BL13">
            <v>0.12</v>
          </cell>
          <cell r="BM13">
            <v>0.08</v>
          </cell>
          <cell r="BN13">
            <v>0.1</v>
          </cell>
          <cell r="BO13">
            <v>0.12</v>
          </cell>
          <cell r="BP13">
            <v>0.08</v>
          </cell>
          <cell r="BQ13">
            <v>0.1</v>
          </cell>
          <cell r="BR13">
            <v>0.12</v>
          </cell>
          <cell r="BS13">
            <v>0.08</v>
          </cell>
          <cell r="BT13">
            <v>0.1</v>
          </cell>
          <cell r="BU13">
            <v>0.12</v>
          </cell>
          <cell r="BV13">
            <v>0.08</v>
          </cell>
          <cell r="BW13">
            <v>0.1</v>
          </cell>
          <cell r="BX13">
            <v>0.12</v>
          </cell>
          <cell r="BY13">
            <v>0.08</v>
          </cell>
          <cell r="BZ13">
            <v>0.1</v>
          </cell>
          <cell r="CA13">
            <v>0.12</v>
          </cell>
          <cell r="CB13">
            <v>0.08</v>
          </cell>
          <cell r="CC13">
            <v>0.1</v>
          </cell>
          <cell r="CD13">
            <v>0.12</v>
          </cell>
          <cell r="CE13">
            <v>0.08</v>
          </cell>
          <cell r="CF13">
            <v>0.1</v>
          </cell>
          <cell r="CG13">
            <v>0.12</v>
          </cell>
          <cell r="CH13">
            <v>0.08</v>
          </cell>
          <cell r="CI13">
            <v>0.1</v>
          </cell>
          <cell r="CJ13">
            <v>0.12</v>
          </cell>
          <cell r="CK13">
            <v>0.08</v>
          </cell>
          <cell r="CL13">
            <v>0.1</v>
          </cell>
          <cell r="CM13">
            <v>0.12</v>
          </cell>
          <cell r="CN13">
            <v>0.08</v>
          </cell>
          <cell r="CO13">
            <v>0.1</v>
          </cell>
          <cell r="CP13">
            <v>0.12</v>
          </cell>
          <cell r="CQ13">
            <v>0.08</v>
          </cell>
          <cell r="CR13">
            <v>0.1</v>
          </cell>
          <cell r="CS13">
            <v>0.12</v>
          </cell>
          <cell r="CV13">
            <v>5.5E-2</v>
          </cell>
          <cell r="CW13">
            <v>4.4999999999999998E-2</v>
          </cell>
          <cell r="CX13">
            <v>0.03</v>
          </cell>
          <cell r="CY13">
            <v>5.5E-2</v>
          </cell>
          <cell r="CZ13">
            <v>4.4999999999999998E-2</v>
          </cell>
          <cell r="DA13">
            <v>0.03</v>
          </cell>
          <cell r="DB13">
            <v>5.5E-2</v>
          </cell>
          <cell r="DC13">
            <v>4.4999999999999998E-2</v>
          </cell>
          <cell r="DD13">
            <v>0.03</v>
          </cell>
          <cell r="DE13">
            <v>5.5E-2</v>
          </cell>
          <cell r="DF13">
            <v>4.4999999999999998E-2</v>
          </cell>
          <cell r="DG13">
            <v>0.03</v>
          </cell>
          <cell r="DH13">
            <v>5.5E-2</v>
          </cell>
          <cell r="DI13">
            <v>4.4999999999999998E-2</v>
          </cell>
          <cell r="DJ13">
            <v>0.03</v>
          </cell>
          <cell r="DK13">
            <v>5.5E-2</v>
          </cell>
          <cell r="DL13">
            <v>4.4999999999999998E-2</v>
          </cell>
          <cell r="DM13">
            <v>0.03</v>
          </cell>
          <cell r="DN13">
            <v>5.5E-2</v>
          </cell>
          <cell r="DO13">
            <v>4.4999999999999998E-2</v>
          </cell>
          <cell r="DP13">
            <v>0.03</v>
          </cell>
          <cell r="DQ13">
            <v>5.5E-2</v>
          </cell>
          <cell r="DR13">
            <v>4.4999999999999998E-2</v>
          </cell>
          <cell r="DS13">
            <v>0.03</v>
          </cell>
          <cell r="DT13">
            <v>5.5E-2</v>
          </cell>
          <cell r="DU13">
            <v>4.4999999999999998E-2</v>
          </cell>
          <cell r="DV13">
            <v>0.03</v>
          </cell>
          <cell r="DW13">
            <v>5.5E-2</v>
          </cell>
          <cell r="DX13">
            <v>4.4999999999999998E-2</v>
          </cell>
          <cell r="DY13">
            <v>0.03</v>
          </cell>
          <cell r="DZ13">
            <v>5.5E-2</v>
          </cell>
          <cell r="EA13">
            <v>4.4999999999999998E-2</v>
          </cell>
          <cell r="EB13">
            <v>0.03</v>
          </cell>
          <cell r="EC13">
            <v>5.5E-2</v>
          </cell>
          <cell r="ED13">
            <v>4.4999999999999998E-2</v>
          </cell>
          <cell r="EE13">
            <v>0.03</v>
          </cell>
          <cell r="EG13">
            <v>5.2500000000000005E-2</v>
          </cell>
          <cell r="EH13">
            <v>5.2500000000000005E-2</v>
          </cell>
          <cell r="EI13">
            <v>5.2500000000000005E-2</v>
          </cell>
          <cell r="EJ13">
            <v>5.2500000000000005E-2</v>
          </cell>
          <cell r="EK13">
            <v>5.2500000000000005E-2</v>
          </cell>
          <cell r="EL13">
            <v>5.2500000000000005E-2</v>
          </cell>
          <cell r="EM13">
            <v>5.2500000000000005E-2</v>
          </cell>
          <cell r="EN13">
            <v>5.2500000000000005E-2</v>
          </cell>
          <cell r="EO13">
            <v>5.2500000000000005E-2</v>
          </cell>
          <cell r="EP13">
            <v>5.2500000000000005E-2</v>
          </cell>
          <cell r="EQ13">
            <v>5.2500000000000005E-2</v>
          </cell>
          <cell r="ER13">
            <v>5.2500000000000005E-2</v>
          </cell>
          <cell r="ES13">
            <v>5.2500000000000005E-2</v>
          </cell>
          <cell r="EU13">
            <v>0.1</v>
          </cell>
          <cell r="EV13">
            <v>0.1</v>
          </cell>
          <cell r="EW13">
            <v>0.1</v>
          </cell>
          <cell r="EX13">
            <v>0.1</v>
          </cell>
          <cell r="EY13">
            <v>0.1</v>
          </cell>
          <cell r="EZ13">
            <v>0.1</v>
          </cell>
          <cell r="FA13">
            <v>0.1</v>
          </cell>
          <cell r="FB13">
            <v>0.1</v>
          </cell>
          <cell r="FC13">
            <v>0.1</v>
          </cell>
          <cell r="FD13">
            <v>0.1</v>
          </cell>
          <cell r="FE13">
            <v>0.1</v>
          </cell>
          <cell r="FF13">
            <v>0.1</v>
          </cell>
          <cell r="FG13">
            <v>0.1</v>
          </cell>
        </row>
        <row r="14">
          <cell r="C14" t="str">
            <v>C10 BEV</v>
          </cell>
          <cell r="D14" t="str">
            <v>C10 - BEV</v>
          </cell>
          <cell r="G14">
            <v>0.05</v>
          </cell>
          <cell r="H14">
            <v>0.05</v>
          </cell>
          <cell r="I14">
            <v>0.05</v>
          </cell>
          <cell r="J14">
            <v>0.05</v>
          </cell>
          <cell r="K14">
            <v>0.05</v>
          </cell>
          <cell r="L14">
            <v>0.05</v>
          </cell>
          <cell r="M14">
            <v>0.05</v>
          </cell>
          <cell r="N14">
            <v>0.05</v>
          </cell>
          <cell r="O14">
            <v>0.05</v>
          </cell>
          <cell r="P14">
            <v>0.05</v>
          </cell>
          <cell r="Q14">
            <v>0.05</v>
          </cell>
          <cell r="R14">
            <v>0.05</v>
          </cell>
          <cell r="U14">
            <v>0.5</v>
          </cell>
          <cell r="V14">
            <v>0</v>
          </cell>
          <cell r="W14">
            <v>0.5</v>
          </cell>
          <cell r="X14">
            <v>0.5</v>
          </cell>
          <cell r="Y14">
            <v>0</v>
          </cell>
          <cell r="Z14">
            <v>0.5</v>
          </cell>
          <cell r="AA14">
            <v>0.5</v>
          </cell>
          <cell r="AB14">
            <v>0</v>
          </cell>
          <cell r="AC14">
            <v>0.5</v>
          </cell>
          <cell r="AD14">
            <v>0.5</v>
          </cell>
          <cell r="AE14">
            <v>0</v>
          </cell>
          <cell r="AF14">
            <v>0.5</v>
          </cell>
          <cell r="AG14">
            <v>0.5</v>
          </cell>
          <cell r="AH14">
            <v>0</v>
          </cell>
          <cell r="AI14">
            <v>0.5</v>
          </cell>
          <cell r="AJ14">
            <v>0.5</v>
          </cell>
          <cell r="AK14">
            <v>0</v>
          </cell>
          <cell r="AL14">
            <v>0.5</v>
          </cell>
          <cell r="AM14">
            <v>0.5</v>
          </cell>
          <cell r="AN14">
            <v>0</v>
          </cell>
          <cell r="AO14">
            <v>0.5</v>
          </cell>
          <cell r="AP14">
            <v>0.5</v>
          </cell>
          <cell r="AQ14">
            <v>0</v>
          </cell>
          <cell r="AR14">
            <v>0.5</v>
          </cell>
          <cell r="AS14">
            <v>0.5</v>
          </cell>
          <cell r="AT14">
            <v>0</v>
          </cell>
          <cell r="AU14">
            <v>0.5</v>
          </cell>
          <cell r="AV14">
            <v>0.5</v>
          </cell>
          <cell r="AW14">
            <v>0</v>
          </cell>
          <cell r="AX14">
            <v>0.5</v>
          </cell>
          <cell r="AY14">
            <v>0.5</v>
          </cell>
          <cell r="AZ14">
            <v>0</v>
          </cell>
          <cell r="BA14">
            <v>0.5</v>
          </cell>
          <cell r="BB14">
            <v>0.5</v>
          </cell>
          <cell r="BC14">
            <v>0</v>
          </cell>
          <cell r="BD14">
            <v>0.5</v>
          </cell>
          <cell r="BG14">
            <v>0.08</v>
          </cell>
          <cell r="BH14">
            <v>0.1</v>
          </cell>
          <cell r="BI14">
            <v>0.12</v>
          </cell>
          <cell r="BJ14">
            <v>0.08</v>
          </cell>
          <cell r="BK14">
            <v>0.1</v>
          </cell>
          <cell r="BL14">
            <v>0.12</v>
          </cell>
          <cell r="BM14">
            <v>0.08</v>
          </cell>
          <cell r="BN14">
            <v>0.1</v>
          </cell>
          <cell r="BO14">
            <v>0.12</v>
          </cell>
          <cell r="BP14">
            <v>0.08</v>
          </cell>
          <cell r="BQ14">
            <v>0.1</v>
          </cell>
          <cell r="BR14">
            <v>0.12</v>
          </cell>
          <cell r="BS14">
            <v>0.08</v>
          </cell>
          <cell r="BT14">
            <v>0.1</v>
          </cell>
          <cell r="BU14">
            <v>0.12</v>
          </cell>
          <cell r="BV14">
            <v>0.08</v>
          </cell>
          <cell r="BW14">
            <v>0.1</v>
          </cell>
          <cell r="BX14">
            <v>0.12</v>
          </cell>
          <cell r="BY14">
            <v>0.08</v>
          </cell>
          <cell r="BZ14">
            <v>0.1</v>
          </cell>
          <cell r="CA14">
            <v>0.12</v>
          </cell>
          <cell r="CB14">
            <v>0.08</v>
          </cell>
          <cell r="CC14">
            <v>0.1</v>
          </cell>
          <cell r="CD14">
            <v>0.12</v>
          </cell>
          <cell r="CE14">
            <v>0.08</v>
          </cell>
          <cell r="CF14">
            <v>0.1</v>
          </cell>
          <cell r="CG14">
            <v>0.12</v>
          </cell>
          <cell r="CH14">
            <v>0.08</v>
          </cell>
          <cell r="CI14">
            <v>0.1</v>
          </cell>
          <cell r="CJ14">
            <v>0.12</v>
          </cell>
          <cell r="CK14">
            <v>0.08</v>
          </cell>
          <cell r="CL14">
            <v>0.1</v>
          </cell>
          <cell r="CM14">
            <v>0.12</v>
          </cell>
          <cell r="CN14">
            <v>0.08</v>
          </cell>
          <cell r="CO14">
            <v>0.1</v>
          </cell>
          <cell r="CP14">
            <v>0.12</v>
          </cell>
          <cell r="CQ14">
            <v>0.08</v>
          </cell>
          <cell r="CR14">
            <v>0.1</v>
          </cell>
          <cell r="CS14">
            <v>0.12</v>
          </cell>
          <cell r="CV14">
            <v>0.06</v>
          </cell>
          <cell r="CW14">
            <v>0.05</v>
          </cell>
          <cell r="CX14">
            <v>0.04</v>
          </cell>
          <cell r="CY14">
            <v>0.06</v>
          </cell>
          <cell r="CZ14">
            <v>0.05</v>
          </cell>
          <cell r="DA14">
            <v>0.04</v>
          </cell>
          <cell r="DB14">
            <v>0.06</v>
          </cell>
          <cell r="DC14">
            <v>0.05</v>
          </cell>
          <cell r="DD14">
            <v>0.04</v>
          </cell>
          <cell r="DE14">
            <v>0.06</v>
          </cell>
          <cell r="DF14">
            <v>0.05</v>
          </cell>
          <cell r="DG14">
            <v>0.04</v>
          </cell>
          <cell r="DH14">
            <v>0.06</v>
          </cell>
          <cell r="DI14">
            <v>0.05</v>
          </cell>
          <cell r="DJ14">
            <v>0.04</v>
          </cell>
          <cell r="DK14">
            <v>0.06</v>
          </cell>
          <cell r="DL14">
            <v>0.05</v>
          </cell>
          <cell r="DM14">
            <v>0.04</v>
          </cell>
          <cell r="DN14">
            <v>0.06</v>
          </cell>
          <cell r="DO14">
            <v>0.05</v>
          </cell>
          <cell r="DP14">
            <v>0.04</v>
          </cell>
          <cell r="DQ14">
            <v>0.06</v>
          </cell>
          <cell r="DR14">
            <v>0.05</v>
          </cell>
          <cell r="DS14">
            <v>0.04</v>
          </cell>
          <cell r="DT14">
            <v>0.06</v>
          </cell>
          <cell r="DU14">
            <v>0.05</v>
          </cell>
          <cell r="DV14">
            <v>0.04</v>
          </cell>
          <cell r="DW14">
            <v>0.06</v>
          </cell>
          <cell r="DX14">
            <v>0.05</v>
          </cell>
          <cell r="DY14">
            <v>0.04</v>
          </cell>
          <cell r="DZ14">
            <v>0.06</v>
          </cell>
          <cell r="EA14">
            <v>0.05</v>
          </cell>
          <cell r="EB14">
            <v>0.04</v>
          </cell>
          <cell r="EC14">
            <v>0.06</v>
          </cell>
          <cell r="ED14">
            <v>0.05</v>
          </cell>
          <cell r="EE14">
            <v>0.04</v>
          </cell>
          <cell r="EG14">
            <v>0.05</v>
          </cell>
          <cell r="EH14">
            <v>0.05</v>
          </cell>
          <cell r="EI14">
            <v>0.05</v>
          </cell>
          <cell r="EJ14">
            <v>0.05</v>
          </cell>
          <cell r="EK14">
            <v>0.05</v>
          </cell>
          <cell r="EL14">
            <v>0.05</v>
          </cell>
          <cell r="EM14">
            <v>0.05</v>
          </cell>
          <cell r="EN14">
            <v>0.05</v>
          </cell>
          <cell r="EO14">
            <v>0.05</v>
          </cell>
          <cell r="EP14">
            <v>0.05</v>
          </cell>
          <cell r="EQ14">
            <v>0.05</v>
          </cell>
          <cell r="ER14">
            <v>0.05</v>
          </cell>
          <cell r="ES14">
            <v>0.05</v>
          </cell>
          <cell r="EU14">
            <v>0.1</v>
          </cell>
          <cell r="EV14">
            <v>0.1</v>
          </cell>
          <cell r="EW14">
            <v>0.1</v>
          </cell>
          <cell r="EX14">
            <v>0.1</v>
          </cell>
          <cell r="EY14">
            <v>0.1</v>
          </cell>
          <cell r="EZ14">
            <v>0.1</v>
          </cell>
          <cell r="FA14">
            <v>0.1</v>
          </cell>
          <cell r="FB14">
            <v>0.1</v>
          </cell>
          <cell r="FC14">
            <v>0.1</v>
          </cell>
          <cell r="FD14">
            <v>0.1</v>
          </cell>
          <cell r="FE14">
            <v>0.1</v>
          </cell>
          <cell r="FF14">
            <v>0.1</v>
          </cell>
          <cell r="FG14">
            <v>0.1</v>
          </cell>
        </row>
        <row r="15">
          <cell r="D15" t="str">
            <v/>
          </cell>
          <cell r="G15">
            <v>0.05</v>
          </cell>
          <cell r="H15">
            <v>0.05</v>
          </cell>
          <cell r="I15">
            <v>0.05</v>
          </cell>
          <cell r="J15">
            <v>0.05</v>
          </cell>
          <cell r="K15">
            <v>0.05</v>
          </cell>
          <cell r="L15">
            <v>0.05</v>
          </cell>
          <cell r="M15">
            <v>0.05</v>
          </cell>
          <cell r="N15">
            <v>0.05</v>
          </cell>
          <cell r="O15">
            <v>0.05</v>
          </cell>
          <cell r="P15">
            <v>0.05</v>
          </cell>
          <cell r="Q15">
            <v>0.05</v>
          </cell>
          <cell r="R15">
            <v>0.05</v>
          </cell>
          <cell r="U15">
            <v>0.5</v>
          </cell>
          <cell r="V15">
            <v>0</v>
          </cell>
          <cell r="W15">
            <v>0.5</v>
          </cell>
          <cell r="X15">
            <v>0.5</v>
          </cell>
          <cell r="Y15">
            <v>0</v>
          </cell>
          <cell r="Z15">
            <v>0.5</v>
          </cell>
          <cell r="AA15">
            <v>0.5</v>
          </cell>
          <cell r="AB15">
            <v>0</v>
          </cell>
          <cell r="AC15">
            <v>0.5</v>
          </cell>
          <cell r="AD15">
            <v>0.5</v>
          </cell>
          <cell r="AE15">
            <v>0</v>
          </cell>
          <cell r="AF15">
            <v>0.5</v>
          </cell>
          <cell r="AG15">
            <v>0.5</v>
          </cell>
          <cell r="AH15">
            <v>0</v>
          </cell>
          <cell r="AI15">
            <v>0.5</v>
          </cell>
          <cell r="AJ15">
            <v>0.5</v>
          </cell>
          <cell r="AK15">
            <v>0</v>
          </cell>
          <cell r="AL15">
            <v>0.5</v>
          </cell>
          <cell r="AM15">
            <v>0.5</v>
          </cell>
          <cell r="AN15">
            <v>0</v>
          </cell>
          <cell r="AO15">
            <v>0.5</v>
          </cell>
          <cell r="AP15">
            <v>0.5</v>
          </cell>
          <cell r="AQ15">
            <v>0</v>
          </cell>
          <cell r="AR15">
            <v>0.5</v>
          </cell>
          <cell r="AS15">
            <v>0.5</v>
          </cell>
          <cell r="AT15">
            <v>0</v>
          </cell>
          <cell r="AU15">
            <v>0.5</v>
          </cell>
          <cell r="AV15">
            <v>0.5</v>
          </cell>
          <cell r="AW15">
            <v>0</v>
          </cell>
          <cell r="AX15">
            <v>0.5</v>
          </cell>
          <cell r="AY15">
            <v>0.5</v>
          </cell>
          <cell r="AZ15">
            <v>0</v>
          </cell>
          <cell r="BA15">
            <v>0.5</v>
          </cell>
          <cell r="BB15">
            <v>0.5</v>
          </cell>
          <cell r="BC15">
            <v>0</v>
          </cell>
          <cell r="BD15">
            <v>0.5</v>
          </cell>
          <cell r="BG15">
            <v>0.08</v>
          </cell>
          <cell r="BH15">
            <v>0.1</v>
          </cell>
          <cell r="BI15">
            <v>0.12</v>
          </cell>
          <cell r="BJ15">
            <v>0.08</v>
          </cell>
          <cell r="BK15">
            <v>0.1</v>
          </cell>
          <cell r="BL15">
            <v>0.12</v>
          </cell>
          <cell r="BM15">
            <v>0.08</v>
          </cell>
          <cell r="BN15">
            <v>0.1</v>
          </cell>
          <cell r="BO15">
            <v>0.12</v>
          </cell>
          <cell r="BP15">
            <v>0.08</v>
          </cell>
          <cell r="BQ15">
            <v>0.1</v>
          </cell>
          <cell r="BR15">
            <v>0.12</v>
          </cell>
          <cell r="BS15">
            <v>0.08</v>
          </cell>
          <cell r="BT15">
            <v>0.1</v>
          </cell>
          <cell r="BU15">
            <v>0.12</v>
          </cell>
          <cell r="BV15">
            <v>0.08</v>
          </cell>
          <cell r="BW15">
            <v>0.1</v>
          </cell>
          <cell r="BX15">
            <v>0.12</v>
          </cell>
          <cell r="BY15">
            <v>0.08</v>
          </cell>
          <cell r="BZ15">
            <v>0.1</v>
          </cell>
          <cell r="CA15">
            <v>0.12</v>
          </cell>
          <cell r="CB15">
            <v>0.08</v>
          </cell>
          <cell r="CC15">
            <v>0.1</v>
          </cell>
          <cell r="CD15">
            <v>0.12</v>
          </cell>
          <cell r="CE15">
            <v>0.08</v>
          </cell>
          <cell r="CF15">
            <v>0.1</v>
          </cell>
          <cell r="CG15">
            <v>0.12</v>
          </cell>
          <cell r="CH15">
            <v>0.08</v>
          </cell>
          <cell r="CI15">
            <v>0.1</v>
          </cell>
          <cell r="CJ15">
            <v>0.12</v>
          </cell>
          <cell r="CK15">
            <v>0.08</v>
          </cell>
          <cell r="CL15">
            <v>0.1</v>
          </cell>
          <cell r="CM15">
            <v>0.12</v>
          </cell>
          <cell r="CN15">
            <v>0.08</v>
          </cell>
          <cell r="CO15">
            <v>0.1</v>
          </cell>
          <cell r="CP15">
            <v>0.12</v>
          </cell>
          <cell r="CQ15">
            <v>0.08</v>
          </cell>
          <cell r="CR15">
            <v>0.1</v>
          </cell>
          <cell r="CS15">
            <v>0.12</v>
          </cell>
          <cell r="CV15">
            <v>0.06</v>
          </cell>
          <cell r="CW15">
            <v>0.05</v>
          </cell>
          <cell r="CX15">
            <v>0.04</v>
          </cell>
          <cell r="CY15">
            <v>0.06</v>
          </cell>
          <cell r="CZ15">
            <v>0.05</v>
          </cell>
          <cell r="DA15">
            <v>0.04</v>
          </cell>
          <cell r="DB15">
            <v>0.06</v>
          </cell>
          <cell r="DC15">
            <v>0.05</v>
          </cell>
          <cell r="DD15">
            <v>0.04</v>
          </cell>
          <cell r="DE15">
            <v>0.06</v>
          </cell>
          <cell r="DF15">
            <v>0.05</v>
          </cell>
          <cell r="DG15">
            <v>0.04</v>
          </cell>
          <cell r="DH15">
            <v>0.06</v>
          </cell>
          <cell r="DI15">
            <v>0.05</v>
          </cell>
          <cell r="DJ15">
            <v>0.04</v>
          </cell>
          <cell r="DK15">
            <v>0.06</v>
          </cell>
          <cell r="DL15">
            <v>0.05</v>
          </cell>
          <cell r="DM15">
            <v>0.04</v>
          </cell>
          <cell r="DN15">
            <v>0.06</v>
          </cell>
          <cell r="DO15">
            <v>0.05</v>
          </cell>
          <cell r="DP15">
            <v>0.04</v>
          </cell>
          <cell r="DQ15">
            <v>0.06</v>
          </cell>
          <cell r="DR15">
            <v>0.05</v>
          </cell>
          <cell r="DS15">
            <v>0.04</v>
          </cell>
          <cell r="DT15">
            <v>0.06</v>
          </cell>
          <cell r="DU15">
            <v>0.05</v>
          </cell>
          <cell r="DV15">
            <v>0.04</v>
          </cell>
          <cell r="DW15">
            <v>0.06</v>
          </cell>
          <cell r="DX15">
            <v>0.05</v>
          </cell>
          <cell r="DY15">
            <v>0.04</v>
          </cell>
          <cell r="DZ15">
            <v>0.06</v>
          </cell>
          <cell r="EA15">
            <v>0.05</v>
          </cell>
          <cell r="EB15">
            <v>0.04</v>
          </cell>
          <cell r="EC15">
            <v>0.06</v>
          </cell>
          <cell r="ED15">
            <v>0.05</v>
          </cell>
          <cell r="EE15">
            <v>0.04</v>
          </cell>
          <cell r="EG15">
            <v>0.05</v>
          </cell>
          <cell r="EH15">
            <v>0.05</v>
          </cell>
          <cell r="EI15">
            <v>0.05</v>
          </cell>
          <cell r="EJ15">
            <v>0.05</v>
          </cell>
          <cell r="EK15">
            <v>0.05</v>
          </cell>
          <cell r="EL15">
            <v>0.05</v>
          </cell>
          <cell r="EM15">
            <v>0.05</v>
          </cell>
          <cell r="EN15">
            <v>0.05</v>
          </cell>
          <cell r="EO15">
            <v>0.05</v>
          </cell>
          <cell r="EP15">
            <v>0.05</v>
          </cell>
          <cell r="EQ15">
            <v>0.05</v>
          </cell>
          <cell r="ER15">
            <v>0.05</v>
          </cell>
          <cell r="ES15">
            <v>0.05</v>
          </cell>
          <cell r="EU15">
            <v>0.1</v>
          </cell>
          <cell r="EV15">
            <v>0.1</v>
          </cell>
          <cell r="EW15">
            <v>0.1</v>
          </cell>
          <cell r="EX15">
            <v>0.1</v>
          </cell>
          <cell r="EY15">
            <v>0.1</v>
          </cell>
          <cell r="EZ15">
            <v>0.1</v>
          </cell>
          <cell r="FA15">
            <v>0.1</v>
          </cell>
          <cell r="FB15">
            <v>0.1</v>
          </cell>
          <cell r="FC15">
            <v>0.1</v>
          </cell>
          <cell r="FD15">
            <v>0.1</v>
          </cell>
          <cell r="FE15">
            <v>0.1</v>
          </cell>
          <cell r="FF15">
            <v>0.1</v>
          </cell>
          <cell r="FG15">
            <v>0.1</v>
          </cell>
        </row>
        <row r="16">
          <cell r="C16" t="str">
            <v>C10 REEV</v>
          </cell>
          <cell r="D16" t="str">
            <v>C10 - REEV</v>
          </cell>
          <cell r="G16">
            <v>0.05</v>
          </cell>
          <cell r="H16">
            <v>0.05</v>
          </cell>
          <cell r="I16">
            <v>0.05</v>
          </cell>
          <cell r="J16">
            <v>0.05</v>
          </cell>
          <cell r="K16">
            <v>0.05</v>
          </cell>
          <cell r="L16">
            <v>0.05</v>
          </cell>
          <cell r="M16">
            <v>0.05</v>
          </cell>
          <cell r="N16">
            <v>0.05</v>
          </cell>
          <cell r="O16">
            <v>0.05</v>
          </cell>
          <cell r="P16">
            <v>0.05</v>
          </cell>
          <cell r="Q16">
            <v>0.05</v>
          </cell>
          <cell r="R16">
            <v>0.05</v>
          </cell>
          <cell r="U16">
            <v>0.5</v>
          </cell>
          <cell r="V16">
            <v>0</v>
          </cell>
          <cell r="W16">
            <v>0.5</v>
          </cell>
          <cell r="X16">
            <v>0.5</v>
          </cell>
          <cell r="Y16">
            <v>0</v>
          </cell>
          <cell r="Z16">
            <v>0.5</v>
          </cell>
          <cell r="AA16">
            <v>0.5</v>
          </cell>
          <cell r="AB16">
            <v>0</v>
          </cell>
          <cell r="AC16">
            <v>0.5</v>
          </cell>
          <cell r="AD16">
            <v>0.5</v>
          </cell>
          <cell r="AE16">
            <v>0</v>
          </cell>
          <cell r="AF16">
            <v>0.5</v>
          </cell>
          <cell r="AG16">
            <v>0.5</v>
          </cell>
          <cell r="AH16">
            <v>0</v>
          </cell>
          <cell r="AI16">
            <v>0.5</v>
          </cell>
          <cell r="AJ16">
            <v>0.5</v>
          </cell>
          <cell r="AK16">
            <v>0</v>
          </cell>
          <cell r="AL16">
            <v>0.5</v>
          </cell>
          <cell r="AM16">
            <v>0.5</v>
          </cell>
          <cell r="AN16">
            <v>0</v>
          </cell>
          <cell r="AO16">
            <v>0.5</v>
          </cell>
          <cell r="AP16">
            <v>0.5</v>
          </cell>
          <cell r="AQ16">
            <v>0</v>
          </cell>
          <cell r="AR16">
            <v>0.5</v>
          </cell>
          <cell r="AS16">
            <v>0.5</v>
          </cell>
          <cell r="AT16">
            <v>0</v>
          </cell>
          <cell r="AU16">
            <v>0.5</v>
          </cell>
          <cell r="AV16">
            <v>0.5</v>
          </cell>
          <cell r="AW16">
            <v>0</v>
          </cell>
          <cell r="AX16">
            <v>0.5</v>
          </cell>
          <cell r="AY16">
            <v>0.5</v>
          </cell>
          <cell r="AZ16">
            <v>0</v>
          </cell>
          <cell r="BA16">
            <v>0.5</v>
          </cell>
          <cell r="BB16">
            <v>0.5</v>
          </cell>
          <cell r="BC16">
            <v>0</v>
          </cell>
          <cell r="BD16">
            <v>0.5</v>
          </cell>
          <cell r="BG16">
            <v>0.08</v>
          </cell>
          <cell r="BH16">
            <v>0.1</v>
          </cell>
          <cell r="BI16">
            <v>0.12</v>
          </cell>
          <cell r="BJ16">
            <v>0.08</v>
          </cell>
          <cell r="BK16">
            <v>0.1</v>
          </cell>
          <cell r="BL16">
            <v>0.12</v>
          </cell>
          <cell r="BM16">
            <v>0.08</v>
          </cell>
          <cell r="BN16">
            <v>0.1</v>
          </cell>
          <cell r="BO16">
            <v>0.12</v>
          </cell>
          <cell r="BP16">
            <v>0.08</v>
          </cell>
          <cell r="BQ16">
            <v>0.1</v>
          </cell>
          <cell r="BR16">
            <v>0.12</v>
          </cell>
          <cell r="BS16">
            <v>0.08</v>
          </cell>
          <cell r="BT16">
            <v>0.1</v>
          </cell>
          <cell r="BU16">
            <v>0.12</v>
          </cell>
          <cell r="BV16">
            <v>0.08</v>
          </cell>
          <cell r="BW16">
            <v>0.1</v>
          </cell>
          <cell r="BX16">
            <v>0.12</v>
          </cell>
          <cell r="BY16">
            <v>0.08</v>
          </cell>
          <cell r="BZ16">
            <v>0.1</v>
          </cell>
          <cell r="CA16">
            <v>0.12</v>
          </cell>
          <cell r="CB16">
            <v>0.08</v>
          </cell>
          <cell r="CC16">
            <v>0.1</v>
          </cell>
          <cell r="CD16">
            <v>0.12</v>
          </cell>
          <cell r="CE16">
            <v>0.08</v>
          </cell>
          <cell r="CF16">
            <v>0.1</v>
          </cell>
          <cell r="CG16">
            <v>0.12</v>
          </cell>
          <cell r="CH16">
            <v>0.08</v>
          </cell>
          <cell r="CI16">
            <v>0.1</v>
          </cell>
          <cell r="CJ16">
            <v>0.12</v>
          </cell>
          <cell r="CK16">
            <v>0.08</v>
          </cell>
          <cell r="CL16">
            <v>0.1</v>
          </cell>
          <cell r="CM16">
            <v>0.12</v>
          </cell>
          <cell r="CN16">
            <v>0.08</v>
          </cell>
          <cell r="CO16">
            <v>0.1</v>
          </cell>
          <cell r="CP16">
            <v>0.12</v>
          </cell>
          <cell r="CQ16">
            <v>0.08</v>
          </cell>
          <cell r="CR16">
            <v>0.1</v>
          </cell>
          <cell r="CS16">
            <v>0.12</v>
          </cell>
          <cell r="CV16">
            <v>0.06</v>
          </cell>
          <cell r="CW16">
            <v>0.05</v>
          </cell>
          <cell r="CX16">
            <v>0.04</v>
          </cell>
          <cell r="CY16">
            <v>0.06</v>
          </cell>
          <cell r="CZ16">
            <v>0.05</v>
          </cell>
          <cell r="DA16">
            <v>0.04</v>
          </cell>
          <cell r="DB16">
            <v>0.06</v>
          </cell>
          <cell r="DC16">
            <v>0.05</v>
          </cell>
          <cell r="DD16">
            <v>0.04</v>
          </cell>
          <cell r="DE16">
            <v>0.06</v>
          </cell>
          <cell r="DF16">
            <v>0.05</v>
          </cell>
          <cell r="DG16">
            <v>0.04</v>
          </cell>
          <cell r="DH16">
            <v>0.06</v>
          </cell>
          <cell r="DI16">
            <v>0.05</v>
          </cell>
          <cell r="DJ16">
            <v>0.04</v>
          </cell>
          <cell r="DK16">
            <v>0.06</v>
          </cell>
          <cell r="DL16">
            <v>0.05</v>
          </cell>
          <cell r="DM16">
            <v>0.04</v>
          </cell>
          <cell r="DN16">
            <v>0.06</v>
          </cell>
          <cell r="DO16">
            <v>0.05</v>
          </cell>
          <cell r="DP16">
            <v>0.04</v>
          </cell>
          <cell r="DQ16">
            <v>0.06</v>
          </cell>
          <cell r="DR16">
            <v>0.05</v>
          </cell>
          <cell r="DS16">
            <v>0.04</v>
          </cell>
          <cell r="DT16">
            <v>0.06</v>
          </cell>
          <cell r="DU16">
            <v>0.05</v>
          </cell>
          <cell r="DV16">
            <v>0.04</v>
          </cell>
          <cell r="DW16">
            <v>0.06</v>
          </cell>
          <cell r="DX16">
            <v>0.05</v>
          </cell>
          <cell r="DY16">
            <v>0.04</v>
          </cell>
          <cell r="DZ16">
            <v>0.06</v>
          </cell>
          <cell r="EA16">
            <v>0.05</v>
          </cell>
          <cell r="EB16">
            <v>0.04</v>
          </cell>
          <cell r="EC16">
            <v>0.06</v>
          </cell>
          <cell r="ED16">
            <v>0.05</v>
          </cell>
          <cell r="EE16">
            <v>0.04</v>
          </cell>
          <cell r="EG16">
            <v>0.05</v>
          </cell>
          <cell r="EH16">
            <v>0.05</v>
          </cell>
          <cell r="EI16">
            <v>0.05</v>
          </cell>
          <cell r="EJ16">
            <v>0.05</v>
          </cell>
          <cell r="EK16">
            <v>0.05</v>
          </cell>
          <cell r="EL16">
            <v>0.05</v>
          </cell>
          <cell r="EM16">
            <v>0.05</v>
          </cell>
          <cell r="EN16">
            <v>0.05</v>
          </cell>
          <cell r="EO16">
            <v>0.05</v>
          </cell>
          <cell r="EP16">
            <v>0.05</v>
          </cell>
          <cell r="EQ16">
            <v>0.05</v>
          </cell>
          <cell r="ER16">
            <v>0.05</v>
          </cell>
          <cell r="ES16">
            <v>0.05</v>
          </cell>
          <cell r="EU16">
            <v>0.1</v>
          </cell>
          <cell r="EV16">
            <v>0.1</v>
          </cell>
          <cell r="EW16">
            <v>0.1</v>
          </cell>
          <cell r="EX16">
            <v>0.1</v>
          </cell>
          <cell r="EY16">
            <v>0.1</v>
          </cell>
          <cell r="EZ16">
            <v>0.1</v>
          </cell>
          <cell r="FA16">
            <v>0.1</v>
          </cell>
          <cell r="FB16">
            <v>0.1</v>
          </cell>
          <cell r="FC16">
            <v>0.1</v>
          </cell>
          <cell r="FD16">
            <v>0.1</v>
          </cell>
          <cell r="FE16">
            <v>0.1</v>
          </cell>
          <cell r="FF16">
            <v>0.1</v>
          </cell>
          <cell r="FG16">
            <v>0.1</v>
          </cell>
        </row>
        <row r="17">
          <cell r="D17" t="str">
            <v/>
          </cell>
          <cell r="G17">
            <v>0.05</v>
          </cell>
          <cell r="H17">
            <v>0.05</v>
          </cell>
          <cell r="I17">
            <v>0.05</v>
          </cell>
          <cell r="J17">
            <v>0.05</v>
          </cell>
          <cell r="K17">
            <v>0.05</v>
          </cell>
          <cell r="L17">
            <v>0.05</v>
          </cell>
          <cell r="M17">
            <v>0.05</v>
          </cell>
          <cell r="N17">
            <v>0.05</v>
          </cell>
          <cell r="O17">
            <v>0.05</v>
          </cell>
          <cell r="P17">
            <v>0.05</v>
          </cell>
          <cell r="Q17">
            <v>0.05</v>
          </cell>
          <cell r="R17">
            <v>0.05</v>
          </cell>
          <cell r="U17">
            <v>0.5</v>
          </cell>
          <cell r="V17">
            <v>0</v>
          </cell>
          <cell r="W17">
            <v>0.5</v>
          </cell>
          <cell r="X17">
            <v>0.5</v>
          </cell>
          <cell r="Y17">
            <v>0</v>
          </cell>
          <cell r="Z17">
            <v>0.5</v>
          </cell>
          <cell r="AA17">
            <v>0.5</v>
          </cell>
          <cell r="AB17">
            <v>0</v>
          </cell>
          <cell r="AC17">
            <v>0.5</v>
          </cell>
          <cell r="AD17">
            <v>0.5</v>
          </cell>
          <cell r="AE17">
            <v>0</v>
          </cell>
          <cell r="AF17">
            <v>0.5</v>
          </cell>
          <cell r="AG17">
            <v>0.5</v>
          </cell>
          <cell r="AH17">
            <v>0</v>
          </cell>
          <cell r="AI17">
            <v>0.5</v>
          </cell>
          <cell r="AJ17">
            <v>0.5</v>
          </cell>
          <cell r="AK17">
            <v>0</v>
          </cell>
          <cell r="AL17">
            <v>0.5</v>
          </cell>
          <cell r="AM17">
            <v>0.5</v>
          </cell>
          <cell r="AN17">
            <v>0</v>
          </cell>
          <cell r="AO17">
            <v>0.5</v>
          </cell>
          <cell r="AP17">
            <v>0.5</v>
          </cell>
          <cell r="AQ17">
            <v>0</v>
          </cell>
          <cell r="AR17">
            <v>0.5</v>
          </cell>
          <cell r="AS17">
            <v>0.5</v>
          </cell>
          <cell r="AT17">
            <v>0</v>
          </cell>
          <cell r="AU17">
            <v>0.5</v>
          </cell>
          <cell r="AV17">
            <v>0.5</v>
          </cell>
          <cell r="AW17">
            <v>0</v>
          </cell>
          <cell r="AX17">
            <v>0.5</v>
          </cell>
          <cell r="AY17">
            <v>0.5</v>
          </cell>
          <cell r="AZ17">
            <v>0</v>
          </cell>
          <cell r="BA17">
            <v>0.5</v>
          </cell>
          <cell r="BB17">
            <v>0.5</v>
          </cell>
          <cell r="BC17">
            <v>0</v>
          </cell>
          <cell r="BD17">
            <v>0.5</v>
          </cell>
          <cell r="BG17">
            <v>0.08</v>
          </cell>
          <cell r="BH17">
            <v>0.1</v>
          </cell>
          <cell r="BI17">
            <v>0.12</v>
          </cell>
          <cell r="BJ17">
            <v>0.08</v>
          </cell>
          <cell r="BK17">
            <v>0.1</v>
          </cell>
          <cell r="BL17">
            <v>0.12</v>
          </cell>
          <cell r="BM17">
            <v>0.08</v>
          </cell>
          <cell r="BN17">
            <v>0.1</v>
          </cell>
          <cell r="BO17">
            <v>0.12</v>
          </cell>
          <cell r="BP17">
            <v>0.08</v>
          </cell>
          <cell r="BQ17">
            <v>0.1</v>
          </cell>
          <cell r="BR17">
            <v>0.12</v>
          </cell>
          <cell r="BS17">
            <v>0.08</v>
          </cell>
          <cell r="BT17">
            <v>0.1</v>
          </cell>
          <cell r="BU17">
            <v>0.12</v>
          </cell>
          <cell r="BV17">
            <v>0.08</v>
          </cell>
          <cell r="BW17">
            <v>0.1</v>
          </cell>
          <cell r="BX17">
            <v>0.12</v>
          </cell>
          <cell r="BY17">
            <v>0.08</v>
          </cell>
          <cell r="BZ17">
            <v>0.1</v>
          </cell>
          <cell r="CA17">
            <v>0.12</v>
          </cell>
          <cell r="CB17">
            <v>0.08</v>
          </cell>
          <cell r="CC17">
            <v>0.1</v>
          </cell>
          <cell r="CD17">
            <v>0.12</v>
          </cell>
          <cell r="CE17">
            <v>0.08</v>
          </cell>
          <cell r="CF17">
            <v>0.1</v>
          </cell>
          <cell r="CG17">
            <v>0.12</v>
          </cell>
          <cell r="CH17">
            <v>0.08</v>
          </cell>
          <cell r="CI17">
            <v>0.1</v>
          </cell>
          <cell r="CJ17">
            <v>0.12</v>
          </cell>
          <cell r="CK17">
            <v>0.08</v>
          </cell>
          <cell r="CL17">
            <v>0.1</v>
          </cell>
          <cell r="CM17">
            <v>0.12</v>
          </cell>
          <cell r="CN17">
            <v>0.08</v>
          </cell>
          <cell r="CO17">
            <v>0.1</v>
          </cell>
          <cell r="CP17">
            <v>0.12</v>
          </cell>
          <cell r="CQ17">
            <v>0.08</v>
          </cell>
          <cell r="CR17">
            <v>0.1</v>
          </cell>
          <cell r="CS17">
            <v>0.12</v>
          </cell>
          <cell r="CV17">
            <v>0.06</v>
          </cell>
          <cell r="CW17">
            <v>0.05</v>
          </cell>
          <cell r="CX17">
            <v>0.04</v>
          </cell>
          <cell r="CY17">
            <v>0.06</v>
          </cell>
          <cell r="CZ17">
            <v>0.05</v>
          </cell>
          <cell r="DA17">
            <v>0.04</v>
          </cell>
          <cell r="DB17">
            <v>0.06</v>
          </cell>
          <cell r="DC17">
            <v>0.05</v>
          </cell>
          <cell r="DD17">
            <v>0.04</v>
          </cell>
          <cell r="DE17">
            <v>0.06</v>
          </cell>
          <cell r="DF17">
            <v>0.05</v>
          </cell>
          <cell r="DG17">
            <v>0.04</v>
          </cell>
          <cell r="DH17">
            <v>0.06</v>
          </cell>
          <cell r="DI17">
            <v>0.05</v>
          </cell>
          <cell r="DJ17">
            <v>0.04</v>
          </cell>
          <cell r="DK17">
            <v>0.06</v>
          </cell>
          <cell r="DL17">
            <v>0.05</v>
          </cell>
          <cell r="DM17">
            <v>0.04</v>
          </cell>
          <cell r="DN17">
            <v>0.06</v>
          </cell>
          <cell r="DO17">
            <v>0.05</v>
          </cell>
          <cell r="DP17">
            <v>0.04</v>
          </cell>
          <cell r="DQ17">
            <v>0.06</v>
          </cell>
          <cell r="DR17">
            <v>0.05</v>
          </cell>
          <cell r="DS17">
            <v>0.04</v>
          </cell>
          <cell r="DT17">
            <v>0.06</v>
          </cell>
          <cell r="DU17">
            <v>0.05</v>
          </cell>
          <cell r="DV17">
            <v>0.04</v>
          </cell>
          <cell r="DW17">
            <v>0.06</v>
          </cell>
          <cell r="DX17">
            <v>0.05</v>
          </cell>
          <cell r="DY17">
            <v>0.04</v>
          </cell>
          <cell r="DZ17">
            <v>0.06</v>
          </cell>
          <cell r="EA17">
            <v>0.05</v>
          </cell>
          <cell r="EB17">
            <v>0.04</v>
          </cell>
          <cell r="EC17">
            <v>0.06</v>
          </cell>
          <cell r="ED17">
            <v>0.05</v>
          </cell>
          <cell r="EE17">
            <v>0.04</v>
          </cell>
          <cell r="EG17">
            <v>0.05</v>
          </cell>
          <cell r="EH17">
            <v>0.05</v>
          </cell>
          <cell r="EI17">
            <v>0.05</v>
          </cell>
          <cell r="EJ17">
            <v>0.05</v>
          </cell>
          <cell r="EK17">
            <v>0.05</v>
          </cell>
          <cell r="EL17">
            <v>0.05</v>
          </cell>
          <cell r="EM17">
            <v>0.05</v>
          </cell>
          <cell r="EN17">
            <v>0.05</v>
          </cell>
          <cell r="EO17">
            <v>0.05</v>
          </cell>
          <cell r="EP17">
            <v>0.05</v>
          </cell>
          <cell r="EQ17">
            <v>0.05</v>
          </cell>
          <cell r="ER17">
            <v>0.05</v>
          </cell>
          <cell r="ES17">
            <v>0.05</v>
          </cell>
          <cell r="EU17">
            <v>0.1</v>
          </cell>
          <cell r="EV17">
            <v>0.1</v>
          </cell>
          <cell r="EW17">
            <v>0.1</v>
          </cell>
          <cell r="EX17">
            <v>0.1</v>
          </cell>
          <cell r="EY17">
            <v>0.1</v>
          </cell>
          <cell r="EZ17">
            <v>0.1</v>
          </cell>
          <cell r="FA17">
            <v>0.1</v>
          </cell>
          <cell r="FB17">
            <v>0.1</v>
          </cell>
          <cell r="FC17">
            <v>0.1</v>
          </cell>
          <cell r="FD17">
            <v>0.1</v>
          </cell>
          <cell r="FE17">
            <v>0.1</v>
          </cell>
          <cell r="FF17">
            <v>0.1</v>
          </cell>
          <cell r="FG17">
            <v>0.1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65">
          <cell r="C65">
            <v>603363.92331932904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A3E0"/>
    <pageSetUpPr fitToPage="1"/>
  </sheetPr>
  <dimension ref="A1:U60"/>
  <sheetViews>
    <sheetView showGridLines="0" topLeftCell="B1" zoomScaleNormal="100" zoomScaleSheetLayoutView="100" workbookViewId="0">
      <pane ySplit="8" topLeftCell="A9" activePane="bottomLeft" state="frozen"/>
      <selection activeCell="O7" sqref="O7:Q8"/>
      <selection pane="bottomLeft" activeCell="M9" sqref="M9"/>
    </sheetView>
  </sheetViews>
  <sheetFormatPr baseColWidth="10" defaultColWidth="0" defaultRowHeight="0" customHeight="1" zeroHeight="1" outlineLevelCol="1" x14ac:dyDescent="0.2"/>
  <cols>
    <col min="1" max="1" width="46.7109375" style="4" hidden="1" customWidth="1"/>
    <col min="2" max="2" width="5.140625" style="5" customWidth="1"/>
    <col min="3" max="3" width="50.7109375" style="8" customWidth="1"/>
    <col min="4" max="4" width="13.7109375" style="9" hidden="1" customWidth="1" outlineLevel="1"/>
    <col min="5" max="5" width="10.7109375" style="5" customWidth="1" collapsed="1"/>
    <col min="6" max="9" width="13.7109375" style="5" customWidth="1"/>
    <col min="10" max="10" width="1" style="5" customWidth="1"/>
    <col min="11" max="11" width="16.85546875" style="4" customWidth="1"/>
    <col min="12" max="12" width="3" style="4" customWidth="1"/>
    <col min="13" max="13" width="5.7109375" style="5" customWidth="1"/>
    <col min="14" max="16" width="13.7109375" style="5" customWidth="1"/>
    <col min="17" max="17" width="5.7109375" style="5" customWidth="1"/>
    <col min="18" max="21" width="0" style="5" hidden="1" customWidth="1"/>
    <col min="22" max="16384" width="11.5703125" style="5" hidden="1"/>
  </cols>
  <sheetData>
    <row r="1" spans="1:16" ht="9.9499999999999993" customHeight="1" thickBot="1" x14ac:dyDescent="0.25">
      <c r="B1" s="93"/>
      <c r="C1" s="94"/>
      <c r="D1" s="95"/>
      <c r="E1" s="96"/>
      <c r="F1" s="96"/>
      <c r="G1" s="96"/>
      <c r="H1" s="96"/>
      <c r="I1" s="96"/>
      <c r="J1" s="96"/>
      <c r="K1" s="97"/>
      <c r="L1" s="98"/>
    </row>
    <row r="2" spans="1:16" ht="18" customHeight="1" thickBot="1" x14ac:dyDescent="0.25">
      <c r="A2" s="143" t="s">
        <v>25</v>
      </c>
      <c r="B2" s="7"/>
      <c r="C2" s="100"/>
      <c r="D2" s="6"/>
      <c r="E2" s="159"/>
      <c r="F2" s="159"/>
      <c r="G2" s="159"/>
      <c r="H2" s="159"/>
      <c r="I2" s="159"/>
      <c r="J2" s="7"/>
      <c r="K2" s="101"/>
      <c r="L2" s="102"/>
    </row>
    <row r="3" spans="1:16" ht="18" customHeight="1" thickBot="1" x14ac:dyDescent="0.25">
      <c r="A3" s="144" t="s">
        <v>18</v>
      </c>
      <c r="B3" s="7"/>
      <c r="C3" s="671" t="str">
        <f>"     "&amp;"ACCIONES COMERCIALES B2B RED"&amp;" - "&amp;A3&amp;" 2026"</f>
        <v xml:space="preserve">     ACCIONES COMERCIALES B2B RED - JUNIO 2026</v>
      </c>
      <c r="D3" s="671"/>
      <c r="E3" s="671"/>
      <c r="F3" s="671"/>
      <c r="G3" s="671"/>
      <c r="H3" s="671"/>
      <c r="I3" s="671"/>
      <c r="J3" s="671"/>
      <c r="K3" s="671"/>
      <c r="L3" s="102"/>
    </row>
    <row r="4" spans="1:16" ht="18" customHeight="1" x14ac:dyDescent="0.2">
      <c r="B4" s="99"/>
      <c r="C4" s="671"/>
      <c r="D4" s="671"/>
      <c r="E4" s="671"/>
      <c r="F4" s="671"/>
      <c r="G4" s="671"/>
      <c r="H4" s="671"/>
      <c r="I4" s="671"/>
      <c r="J4" s="671"/>
      <c r="K4" s="671"/>
      <c r="L4" s="102"/>
    </row>
    <row r="5" spans="1:16" ht="9.9499999999999993" customHeight="1" thickBot="1" x14ac:dyDescent="0.25">
      <c r="B5" s="99"/>
      <c r="C5" s="100"/>
      <c r="D5" s="6"/>
      <c r="E5" s="7"/>
      <c r="F5" s="7"/>
      <c r="G5" s="7"/>
      <c r="H5" s="7"/>
      <c r="I5" s="7"/>
      <c r="J5" s="7"/>
      <c r="K5" s="101"/>
      <c r="L5" s="102"/>
    </row>
    <row r="6" spans="1:16" ht="18" customHeight="1" thickBot="1" x14ac:dyDescent="0.25">
      <c r="B6" s="99"/>
      <c r="C6" s="682" t="s">
        <v>0</v>
      </c>
      <c r="D6" s="683"/>
      <c r="E6" s="683"/>
      <c r="F6" s="674" t="s">
        <v>10</v>
      </c>
      <c r="G6" s="675"/>
      <c r="H6" s="672" t="s">
        <v>11</v>
      </c>
      <c r="I6" s="673"/>
      <c r="J6" s="7"/>
      <c r="K6" s="101"/>
      <c r="L6" s="102"/>
    </row>
    <row r="7" spans="1:16" ht="18" customHeight="1" thickBot="1" x14ac:dyDescent="0.25">
      <c r="B7" s="99"/>
      <c r="C7" s="684"/>
      <c r="D7" s="685"/>
      <c r="E7" s="685"/>
      <c r="F7" s="676" t="s">
        <v>6</v>
      </c>
      <c r="G7" s="678" t="s">
        <v>7</v>
      </c>
      <c r="H7" s="676" t="s">
        <v>6</v>
      </c>
      <c r="I7" s="680" t="s">
        <v>7</v>
      </c>
      <c r="J7" s="7"/>
      <c r="K7" s="686" t="s">
        <v>8</v>
      </c>
      <c r="L7" s="102"/>
      <c r="N7" s="667" t="s">
        <v>51</v>
      </c>
      <c r="O7" s="669" t="s">
        <v>52</v>
      </c>
      <c r="P7" s="665" t="s">
        <v>53</v>
      </c>
    </row>
    <row r="8" spans="1:16" ht="18" customHeight="1" thickBot="1" x14ac:dyDescent="0.25">
      <c r="B8" s="99"/>
      <c r="C8" s="145" t="s">
        <v>1</v>
      </c>
      <c r="D8" s="146" t="s">
        <v>12</v>
      </c>
      <c r="E8" s="503" t="s">
        <v>9</v>
      </c>
      <c r="F8" s="677"/>
      <c r="G8" s="679"/>
      <c r="H8" s="677"/>
      <c r="I8" s="681"/>
      <c r="J8" s="104"/>
      <c r="K8" s="687"/>
      <c r="L8" s="102"/>
      <c r="N8" s="668"/>
      <c r="O8" s="670"/>
      <c r="P8" s="666"/>
    </row>
    <row r="9" spans="1:16" s="156" customFormat="1" ht="18" customHeight="1" x14ac:dyDescent="0.2">
      <c r="A9" s="147" t="s">
        <v>41</v>
      </c>
      <c r="B9" s="148"/>
      <c r="C9" s="149" t="s">
        <v>41</v>
      </c>
      <c r="D9" s="150">
        <f>VLOOKUP(A9,[1]Gestión!$D:$H,5,FALSE)</f>
        <v>0.1</v>
      </c>
      <c r="E9" s="151" t="s">
        <v>2</v>
      </c>
      <c r="F9" s="152">
        <f>+VLOOKUP(A9,'[1]B2B Red'!$C:$FG,MATCH($A$3,'[1]B2B Red'!$BG$6:$CU$6,0)+56,0)</f>
        <v>0.1</v>
      </c>
      <c r="G9" s="153">
        <f>+VLOOKUP(A9,'[1]B2B Red'!$C:$FG,MATCH($A$3,'[1]B2B Red'!$BG$6:$CU$6,0)+57,0)</f>
        <v>0.14000000000000001</v>
      </c>
      <c r="H9" s="152">
        <f>+F9</f>
        <v>0.1</v>
      </c>
      <c r="I9" s="153">
        <f>+G9</f>
        <v>0.14000000000000001</v>
      </c>
      <c r="J9" s="518"/>
      <c r="K9" s="521">
        <f>+VLOOKUP(A9,'[1]B2B Red'!$C:$FG,MATCH($A$3,'[1]B2B Red'!$BG$6:$CU$6,0)+58,0)+4%</f>
        <v>0.22</v>
      </c>
      <c r="L9" s="155"/>
      <c r="N9" s="157" t="str">
        <f>IF((F9-VLOOKUP($A9,[2]Peugeot!$A:$L,COLUMNS([2]Peugeot!$A$9:$F$9),0))*100=0,"ISO",(F9-VLOOKUP($A9,[2]Peugeot!$A:$L,COLUMNS([2]Peugeot!$A$9:$F$9),0))*100)</f>
        <v>ISO</v>
      </c>
      <c r="O9" s="158" t="str">
        <f>IF((G9-VLOOKUP($A9,[2]Peugeot!$A:$L,COLUMNS([2]Peugeot!$A$9:$G$9),0))*100=0,"ISO",(G9-VLOOKUP($A9,[2]Peugeot!$A:$L,COLUMNS([2]Peugeot!$A$9:$G$9),0))*100)</f>
        <v>ISO</v>
      </c>
      <c r="P9" s="157" t="str">
        <f>IF((K9-VLOOKUP($A9,[2]Peugeot!$A:$L,COLUMNS([2]Peugeot!$A$9:$K$9),0))*100=0,"ISO",(K9-VLOOKUP($A9,[2]Peugeot!$A:$L,COLUMNS([2]Peugeot!$A$9:$K$9),0))*100)</f>
        <v>ISO</v>
      </c>
    </row>
    <row r="10" spans="1:16" s="170" customFormat="1" ht="18" customHeight="1" thickBot="1" x14ac:dyDescent="0.25">
      <c r="A10" s="161"/>
      <c r="B10" s="162"/>
      <c r="C10" s="163"/>
      <c r="D10" s="164"/>
      <c r="E10" s="165" t="s">
        <v>5</v>
      </c>
      <c r="F10" s="166">
        <f>+F9-F11</f>
        <v>5.5E-2</v>
      </c>
      <c r="G10" s="167">
        <f t="shared" ref="G10:I10" si="0">+G9-G11</f>
        <v>9.0000000000000011E-2</v>
      </c>
      <c r="H10" s="166">
        <f t="shared" si="0"/>
        <v>4.4999999999999998E-2</v>
      </c>
      <c r="I10" s="167">
        <f t="shared" si="0"/>
        <v>8.0000000000000016E-2</v>
      </c>
      <c r="J10" s="519"/>
      <c r="K10" s="522">
        <f>+K9-K11</f>
        <v>0.15</v>
      </c>
      <c r="L10" s="169"/>
      <c r="N10" s="171" t="str">
        <f>+IF((ROUND(F10-HLOOKUP(F$7,[2]Peugeot!$F$7:$G$86,MATCH($A9,[2]Peugeot!$A$7:$A$86,0)+1,0),3))*100=0,"ISO",(F10-HLOOKUP(F$7,[2]Peugeot!$F$7:$G$86,MATCH($A9,[2]Peugeot!$A$7:$A$86,0)+1,0))*100)</f>
        <v>ISO</v>
      </c>
      <c r="O10" s="172" t="str">
        <f>+IF((ROUND(G10-HLOOKUP(G$7,[2]Peugeot!$F$7:$G$86,MATCH($A9,[2]Peugeot!$A$7:$A$86,0)+1,0),3))*100=0,"ISO",(G10-HLOOKUP(G$7,[2]Peugeot!$F$7:$G$86,MATCH($A9,[2]Peugeot!$A$7:$A$86,0)+1,0))*100)</f>
        <v>ISO</v>
      </c>
      <c r="P10" s="171" t="str">
        <f>IF((ROUND(K10-HLOOKUP(K$7,[2]Peugeot!$K$7:$L$86,MATCH($A9,[2]Peugeot!$A$7:$A$86,0)+1,0),3))*100=0,"ISO",(K10-HLOOKUP(K$7,[2]Peugeot!$K$7:$L$86,MATCH($A9,[2]Peugeot!$A$7:$A$86,0)+1,0))*100)</f>
        <v>ISO</v>
      </c>
    </row>
    <row r="11" spans="1:16" s="170" customFormat="1" ht="18" customHeight="1" thickBot="1" x14ac:dyDescent="0.25">
      <c r="A11" s="161"/>
      <c r="B11" s="162"/>
      <c r="C11" s="173"/>
      <c r="D11" s="174"/>
      <c r="E11" s="175" t="s">
        <v>3</v>
      </c>
      <c r="F11" s="176">
        <f>+D9-VLOOKUP(A9,'[1]B2B Red'!$C:$FG,MATCH($A$3,'[1]B2B Red'!$CV$6:$EE$6,0)+97,0)</f>
        <v>4.5000000000000005E-2</v>
      </c>
      <c r="G11" s="177">
        <f>+D9-VLOOKUP(A9,'[1]B2B Red'!$C:$FG,MATCH($A$3,'[1]B2B Red'!$CV$6:$EE$6,0)+98,0)</f>
        <v>0.05</v>
      </c>
      <c r="H11" s="176">
        <f>+F11+1%</f>
        <v>5.5000000000000007E-2</v>
      </c>
      <c r="I11" s="177">
        <f>+G11+1%</f>
        <v>6.0000000000000005E-2</v>
      </c>
      <c r="J11" s="519"/>
      <c r="K11" s="523">
        <f>+D9-VLOOKUP(A9,'[1]B2B Red'!$C:$FG,MATCH($A$3,'[1]B2B Red'!$CV$6:$EE$6,0)+99,0)+1%</f>
        <v>7.0000000000000007E-2</v>
      </c>
      <c r="L11" s="169"/>
      <c r="N11" s="178" t="str">
        <f>+IF((ROUND(F11-HLOOKUP(F$7,[2]Peugeot!$F$7:$G$86,MATCH($A9,[2]Peugeot!$A$7:$A$86,0)+2,0),3))*100=0,"ISO",(F11-HLOOKUP(F$7,[2]Peugeot!$F$7:$G$86,MATCH($A9,[2]Peugeot!$A$7:$A$86,0)+2,0))*100)</f>
        <v>ISO</v>
      </c>
      <c r="O11" s="179" t="str">
        <f>IF((ROUND(G11-HLOOKUP(G$7,[2]Peugeot!$F$7:$G$86,MATCH($A9,[2]Peugeot!$A$7:$A$86,0)+2,0),3))*100=0,"ISO",(G11-HLOOKUP(G$7,[2]Peugeot!$F$7:$G$86,MATCH($A9,[2]Peugeot!$A$7:$A$86,0)+2,0))*100)</f>
        <v>ISO</v>
      </c>
      <c r="P11" s="178" t="str">
        <f>IF((ROUND(K11-HLOOKUP(K$7,[2]Peugeot!$K$7:$L$86,MATCH($A9,[2]Peugeot!$A$7:$A$86,0)+2,0),3))*100=0,"ISO",(K11-HLOOKUP(K$7,[2]Peugeot!$K$7:$L$86,MATCH($A9,[2]Peugeot!$A$7:$A$86,0)+2,0))*100)</f>
        <v>ISO</v>
      </c>
    </row>
    <row r="12" spans="1:16" ht="3.75" customHeight="1" thickBot="1" x14ac:dyDescent="0.25">
      <c r="B12" s="99"/>
      <c r="C12" s="103"/>
      <c r="D12" s="3"/>
      <c r="E12" s="160"/>
      <c r="F12" s="1"/>
      <c r="G12" s="1"/>
      <c r="H12" s="1"/>
      <c r="I12" s="1"/>
      <c r="J12" s="104"/>
      <c r="K12" s="1"/>
      <c r="L12" s="102"/>
      <c r="N12" s="112"/>
      <c r="O12" s="112"/>
      <c r="P12" s="112"/>
    </row>
    <row r="13" spans="1:16" s="156" customFormat="1" ht="18" customHeight="1" x14ac:dyDescent="0.2">
      <c r="A13" s="147" t="s">
        <v>30</v>
      </c>
      <c r="B13" s="148"/>
      <c r="C13" s="213" t="s">
        <v>74</v>
      </c>
      <c r="D13" s="214">
        <f>VLOOKUP(A13,[1]Gestión!$D:$H,5,FALSE)</f>
        <v>0.1</v>
      </c>
      <c r="E13" s="215" t="s">
        <v>2</v>
      </c>
      <c r="F13" s="216">
        <f>+VLOOKUP(A13,'[1]B2B Red'!$C:$FG,MATCH($A$3,'[1]B2B Red'!$BG$6:$CU$6,0)+56,0)</f>
        <v>0.1</v>
      </c>
      <c r="G13" s="217">
        <f>+VLOOKUP(A13,'[1]B2B Red'!$C:$FG,MATCH($A$3,'[1]B2B Red'!$BG$6:$CU$6,0)+57,0)</f>
        <v>0.14000000000000001</v>
      </c>
      <c r="H13" s="216">
        <f>+F13</f>
        <v>0.1</v>
      </c>
      <c r="I13" s="217">
        <f>+G13</f>
        <v>0.14000000000000001</v>
      </c>
      <c r="J13" s="104"/>
      <c r="K13" s="521">
        <f>+VLOOKUP(A13,'[1]B2B Red'!$C:$FG,MATCH($A$3,'[1]B2B Red'!$BG$6:$CU$6,0)+58,0)+4%</f>
        <v>0.22</v>
      </c>
      <c r="L13" s="155"/>
      <c r="N13" s="157" t="str">
        <f>IF((F13-VLOOKUP($A13,[2]Peugeot!$A:$L,COLUMNS([2]Peugeot!$A$9:$F$9),0))*100=0,"ISO",(F13-VLOOKUP($A13,[2]Peugeot!$A:$L,COLUMNS([2]Peugeot!$A$9:$F$9),0))*100)</f>
        <v>ISO</v>
      </c>
      <c r="O13" s="158" t="str">
        <f>IF((G13-VLOOKUP($A13,[2]Peugeot!$A:$L,COLUMNS([2]Peugeot!$A$9:$G$9),0))*100=0,"ISO",(G13-VLOOKUP($A13,[2]Peugeot!$A:$L,COLUMNS([2]Peugeot!$A$9:$G$9),0))*100)</f>
        <v>ISO</v>
      </c>
      <c r="P13" s="157" t="str">
        <f>IF((K13-VLOOKUP($A13,[2]Peugeot!$A:$L,COLUMNS([2]Peugeot!$A$9:$K$9),0))*100=0,"ISO",(K13-VLOOKUP($A13,[2]Peugeot!$A:$L,COLUMNS([2]Peugeot!$A$9:$K$9),0))*100)</f>
        <v>ISO</v>
      </c>
    </row>
    <row r="14" spans="1:16" s="170" customFormat="1" ht="18" customHeight="1" thickBot="1" x14ac:dyDescent="0.25">
      <c r="A14" s="251"/>
      <c r="B14" s="162"/>
      <c r="C14" s="219"/>
      <c r="D14" s="164"/>
      <c r="E14" s="180" t="s">
        <v>5</v>
      </c>
      <c r="F14" s="181">
        <f>+F13-F15</f>
        <v>5.5E-2</v>
      </c>
      <c r="G14" s="182">
        <f t="shared" ref="G14:I14" si="1">+G13-G15</f>
        <v>9.0000000000000011E-2</v>
      </c>
      <c r="H14" s="181">
        <f t="shared" si="1"/>
        <v>4.4999999999999998E-2</v>
      </c>
      <c r="I14" s="182">
        <f t="shared" si="1"/>
        <v>8.0000000000000016E-2</v>
      </c>
      <c r="J14" s="104"/>
      <c r="K14" s="524">
        <f>+K13-K15</f>
        <v>0.15</v>
      </c>
      <c r="L14" s="169"/>
      <c r="N14" s="171" t="str">
        <f>+IF((ROUND(F14-HLOOKUP(F$7,[2]Peugeot!$F$7:$G$86,MATCH($A13,[2]Peugeot!$A$7:$A$86,0)+1,0),3))*100=0,"ISO",(F14-HLOOKUP(F$7,[2]Peugeot!$F$7:$G$86,MATCH($A13,[2]Peugeot!$A$7:$A$86,0)+1,0))*100)</f>
        <v>ISO</v>
      </c>
      <c r="O14" s="172" t="str">
        <f>+IF((ROUND(G14-HLOOKUP(G$7,[2]Peugeot!$F$7:$G$86,MATCH($A13,[2]Peugeot!$A$7:$A$86,0)+1,0),3))*100=0,"ISO",(G14-HLOOKUP(G$7,[2]Peugeot!$F$7:$G$86,MATCH($A13,[2]Peugeot!$A$7:$A$86,0)+1,0))*100)</f>
        <v>ISO</v>
      </c>
      <c r="P14" s="171" t="str">
        <f>IF((ROUND(K14-HLOOKUP(K$7,[2]Peugeot!$K$7:$L$86,MATCH($A13,[2]Peugeot!$A$7:$A$86,0)+1,0),3))*100=0,"ISO",(K14-HLOOKUP(K$7,[2]Peugeot!$K$7:$L$86,MATCH($A13,[2]Peugeot!$A$7:$A$86,0)+1,0))*100)</f>
        <v>ISO</v>
      </c>
    </row>
    <row r="15" spans="1:16" s="170" customFormat="1" ht="18" customHeight="1" thickBot="1" x14ac:dyDescent="0.25">
      <c r="A15" s="251"/>
      <c r="B15" s="162"/>
      <c r="C15" s="220"/>
      <c r="D15" s="221"/>
      <c r="E15" s="222" t="s">
        <v>3</v>
      </c>
      <c r="F15" s="223">
        <f>+D13-VLOOKUP(A13,'[1]B2B Red'!$C:$FG,MATCH($A$3,'[1]B2B Red'!$CV$6:$EE$6,0)+97,0)</f>
        <v>4.5000000000000005E-2</v>
      </c>
      <c r="G15" s="224">
        <f>+D13-VLOOKUP(A13,'[1]B2B Red'!$C:$FG,MATCH($A$3,'[1]B2B Red'!$CV$6:$EE$6,0)+98,0)</f>
        <v>0.05</v>
      </c>
      <c r="H15" s="223">
        <f>+F15+1%</f>
        <v>5.5000000000000007E-2</v>
      </c>
      <c r="I15" s="224">
        <f>+G15+1%</f>
        <v>6.0000000000000005E-2</v>
      </c>
      <c r="J15" s="104"/>
      <c r="K15" s="525">
        <f>+D13-VLOOKUP(A13,'[1]B2B Red'!$C:$FG,MATCH($A$3,'[1]B2B Red'!$CV$6:$EE$6,0)+99,0)+1%</f>
        <v>7.0000000000000007E-2</v>
      </c>
      <c r="L15" s="169"/>
      <c r="N15" s="178" t="str">
        <f>+IF((ROUND(F15-HLOOKUP(F$7,[2]Peugeot!$F$7:$G$86,MATCH($A13,[2]Peugeot!$A$7:$A$86,0)+2,0),3))*100=0,"ISO",(F15-HLOOKUP(F$7,[2]Peugeot!$F$7:$G$86,MATCH($A13,[2]Peugeot!$A$7:$A$86,0)+2,0))*100)</f>
        <v>ISO</v>
      </c>
      <c r="O15" s="179" t="str">
        <f>IF((ROUND(G15-HLOOKUP(G$7,[2]Peugeot!$F$7:$G$86,MATCH($A13,[2]Peugeot!$A$7:$A$86,0)+2,0),3))*100=0,"ISO",(G15-HLOOKUP(G$7,[2]Peugeot!$F$7:$G$86,MATCH($A13,[2]Peugeot!$A$7:$A$86,0)+2,0))*100)</f>
        <v>ISO</v>
      </c>
      <c r="P15" s="178" t="str">
        <f>IF((ROUND(K15-HLOOKUP(K$7,[2]Peugeot!$K$7:$L$86,MATCH($A13,[2]Peugeot!$A$7:$A$86,0)+2,0),3))*100=0,"ISO",(K15-HLOOKUP(K$7,[2]Peugeot!$K$7:$L$86,MATCH($A13,[2]Peugeot!$A$7:$A$86,0)+2,0))*100)</f>
        <v>ISO</v>
      </c>
    </row>
    <row r="16" spans="1:16" s="170" customFormat="1" ht="3.75" customHeight="1" thickBot="1" x14ac:dyDescent="0.25">
      <c r="A16" s="251"/>
      <c r="B16" s="162"/>
      <c r="C16" s="186"/>
      <c r="D16" s="187"/>
      <c r="E16" s="186"/>
      <c r="F16" s="186"/>
      <c r="G16" s="186"/>
      <c r="H16" s="186"/>
      <c r="I16" s="186"/>
      <c r="J16" s="104"/>
      <c r="K16" s="187"/>
      <c r="L16" s="169"/>
      <c r="N16" s="189"/>
      <c r="O16" s="189"/>
      <c r="P16" s="189"/>
    </row>
    <row r="17" spans="1:16" s="156" customFormat="1" ht="18" customHeight="1" x14ac:dyDescent="0.2">
      <c r="A17" s="147" t="s">
        <v>31</v>
      </c>
      <c r="B17" s="148"/>
      <c r="C17" s="213" t="s">
        <v>75</v>
      </c>
      <c r="D17" s="214">
        <f>VLOOKUP(A17,[1]Gestión!$D:$H,5,FALSE)</f>
        <v>0.1</v>
      </c>
      <c r="E17" s="215" t="s">
        <v>2</v>
      </c>
      <c r="F17" s="216">
        <f>+VLOOKUP(A17,'[1]B2B Red'!$C:$FG,MATCH($A$3,'[1]B2B Red'!$BG$6:$CU$6,0)+56,0)</f>
        <v>0.14000000000000001</v>
      </c>
      <c r="G17" s="217">
        <f>+VLOOKUP(A17,'[1]B2B Red'!$C:$FG,MATCH($A$3,'[1]B2B Red'!$BG$6:$CU$6,0)+57,0)</f>
        <v>0.14000000000000001</v>
      </c>
      <c r="H17" s="216">
        <f>+F17</f>
        <v>0.14000000000000001</v>
      </c>
      <c r="I17" s="218">
        <f>+G17</f>
        <v>0.14000000000000001</v>
      </c>
      <c r="J17" s="104"/>
      <c r="K17" s="521">
        <f>+VLOOKUP(A17,'[1]B2B Red'!$C:$FG,MATCH($A$3,'[1]B2B Red'!$BG$6:$CU$6,0)+58,0)</f>
        <v>0.16</v>
      </c>
      <c r="L17" s="155"/>
      <c r="N17" s="157" t="str">
        <f>IF((F17-VLOOKUP($A17,[2]Peugeot!$A:$L,COLUMNS([2]Peugeot!$A$9:$F$9),0))*100=0,"ISO",(F17-VLOOKUP($A17,[2]Peugeot!$A:$L,COLUMNS([2]Peugeot!$A$9:$F$9),0))*100)</f>
        <v>ISO</v>
      </c>
      <c r="O17" s="158" t="str">
        <f>IF((G17-VLOOKUP($A17,[2]Peugeot!$A:$L,COLUMNS([2]Peugeot!$A$9:$G$9),0))*100=0,"ISO",(G17-VLOOKUP($A17,[2]Peugeot!$A:$L,COLUMNS([2]Peugeot!$A$9:$G$9),0))*100)</f>
        <v>ISO</v>
      </c>
      <c r="P17" s="157" t="str">
        <f>IF((K17-VLOOKUP($A17,[2]Peugeot!$A:$L,COLUMNS([2]Peugeot!$A$9:$K$9),0))*100=0,"ISO",(K17-VLOOKUP($A17,[2]Peugeot!$A:$L,COLUMNS([2]Peugeot!$A$9:$K$9),0))*100)</f>
        <v>ISO</v>
      </c>
    </row>
    <row r="18" spans="1:16" s="170" customFormat="1" ht="18" customHeight="1" x14ac:dyDescent="0.2">
      <c r="A18" s="147"/>
      <c r="B18" s="162"/>
      <c r="C18" s="225"/>
      <c r="D18" s="249"/>
      <c r="E18" s="180" t="s">
        <v>5</v>
      </c>
      <c r="F18" s="181">
        <f>+F17-F19</f>
        <v>9.0000000000000011E-2</v>
      </c>
      <c r="G18" s="182">
        <f t="shared" ref="G18:I18" si="2">+G17-G19</f>
        <v>9.0000000000000011E-2</v>
      </c>
      <c r="H18" s="191">
        <f t="shared" si="2"/>
        <v>8.0000000000000016E-2</v>
      </c>
      <c r="I18" s="226">
        <f t="shared" si="2"/>
        <v>8.0000000000000016E-2</v>
      </c>
      <c r="J18" s="188"/>
      <c r="K18" s="524">
        <f>+K17-K19</f>
        <v>0.1</v>
      </c>
      <c r="L18" s="169"/>
      <c r="N18" s="171" t="str">
        <f>+IF((ROUND(F18-HLOOKUP(F$7,[2]Peugeot!$F$7:$G$86,MATCH($A17,[2]Peugeot!$A$7:$A$86,0)+1,0),3))*100=0,"ISO",(F18-HLOOKUP(F$7,[2]Peugeot!$F$7:$G$86,MATCH($A17,[2]Peugeot!$A$7:$A$86,0)+1,0))*100)</f>
        <v>ISO</v>
      </c>
      <c r="O18" s="172" t="str">
        <f>+IF((ROUND(G18-HLOOKUP(G$7,[2]Peugeot!$F$7:$G$86,MATCH($A17,[2]Peugeot!$A$7:$A$86,0)+1,0),3))*100=0,"ISO",(G18-HLOOKUP(G$7,[2]Peugeot!$F$7:$G$86,MATCH($A17,[2]Peugeot!$A$7:$A$86,0)+1,0))*100)</f>
        <v>ISO</v>
      </c>
      <c r="P18" s="171" t="str">
        <f>IF((ROUND(K18-HLOOKUP(K$7,[2]Peugeot!$K$7:$L$86,MATCH($A17,[2]Peugeot!$A$7:$A$86,0)+1,0),3))*100=0,"ISO",(K18-HLOOKUP(K$7,[2]Peugeot!$K$7:$L$86,MATCH($A17,[2]Peugeot!$A$7:$A$86,0)+1,0))*100)</f>
        <v>ISO</v>
      </c>
    </row>
    <row r="19" spans="1:16" s="170" customFormat="1" ht="18" customHeight="1" thickBot="1" x14ac:dyDescent="0.25">
      <c r="A19" s="147"/>
      <c r="B19" s="162"/>
      <c r="C19" s="220"/>
      <c r="D19" s="250"/>
      <c r="E19" s="222" t="s">
        <v>3</v>
      </c>
      <c r="F19" s="223">
        <f>+D17-VLOOKUP(A17,'[1]B2B Red'!$C:$FG,MATCH($A$3,'[1]B2B Red'!$CV$6:$EE$6,0)+97,0)</f>
        <v>0.05</v>
      </c>
      <c r="G19" s="224">
        <f>+D17-VLOOKUP(A17,'[1]B2B Red'!$C:$FG,MATCH($A$3,'[1]B2B Red'!$CV$6:$EE$6,0)+98,0)</f>
        <v>0.05</v>
      </c>
      <c r="H19" s="227">
        <f>+F19+1%</f>
        <v>6.0000000000000005E-2</v>
      </c>
      <c r="I19" s="228">
        <f>+G19+1%</f>
        <v>6.0000000000000005E-2</v>
      </c>
      <c r="J19" s="188"/>
      <c r="K19" s="526">
        <f>+D17-VLOOKUP(A17,'[1]B2B Red'!$C:$FG,MATCH($A$3,'[1]B2B Red'!$CV$6:$EE$6,0)+99,0)</f>
        <v>6.0000000000000005E-2</v>
      </c>
      <c r="L19" s="169"/>
      <c r="N19" s="178" t="str">
        <f>+IF((ROUND(F19-HLOOKUP(F$7,[2]Peugeot!$F$7:$G$86,MATCH($A17,[2]Peugeot!$A$7:$A$86,0)+2,0),3))*100=0,"ISO",(F19-HLOOKUP(F$7,[2]Peugeot!$F$7:$G$86,MATCH($A17,[2]Peugeot!$A$7:$A$86,0)+2,0))*100)</f>
        <v>ISO</v>
      </c>
      <c r="O19" s="179" t="str">
        <f>IF((ROUND(G19-HLOOKUP(G$7,[2]Peugeot!$F$7:$G$86,MATCH($A17,[2]Peugeot!$A$7:$A$86,0)+2,0),3))*100=0,"ISO",(G19-HLOOKUP(G$7,[2]Peugeot!$F$7:$G$86,MATCH($A17,[2]Peugeot!$A$7:$A$86,0)+2,0))*100)</f>
        <v>ISO</v>
      </c>
      <c r="P19" s="178" t="str">
        <f>IF((ROUND(K19-HLOOKUP(K$7,[2]Peugeot!$K$7:$L$86,MATCH($A17,[2]Peugeot!$A$7:$A$86,0)+2,0),3))*100=0,"ISO",(K19-HLOOKUP(K$7,[2]Peugeot!$K$7:$L$86,MATCH($A17,[2]Peugeot!$A$7:$A$86,0)+2,0))*100)</f>
        <v>ISO</v>
      </c>
    </row>
    <row r="20" spans="1:16" s="156" customFormat="1" ht="18" customHeight="1" x14ac:dyDescent="0.2">
      <c r="A20" s="147" t="s">
        <v>42</v>
      </c>
      <c r="B20" s="148"/>
      <c r="C20" s="149" t="s">
        <v>80</v>
      </c>
      <c r="D20" s="248">
        <f>VLOOKUP(A20,[1]Gestión!$D:$H,5,FALSE)</f>
        <v>0.1</v>
      </c>
      <c r="E20" s="151" t="s">
        <v>2</v>
      </c>
      <c r="F20" s="152">
        <f>+VLOOKUP(A20,'[1]B2B Red'!$C:$FG,MATCH($A$3,'[1]B2B Red'!$BG$6:$CU$6,0)+56,0)</f>
        <v>0.12</v>
      </c>
      <c r="G20" s="153">
        <f>+VLOOKUP(A20,'[1]B2B Red'!$C:$FG,MATCH($A$3,'[1]B2B Red'!$BG$6:$CU$6,0)+57,0)</f>
        <v>0.12</v>
      </c>
      <c r="H20" s="152">
        <f>+F20</f>
        <v>0.12</v>
      </c>
      <c r="I20" s="153">
        <f>+G20</f>
        <v>0.12</v>
      </c>
      <c r="J20" s="518"/>
      <c r="K20" s="527">
        <f>+VLOOKUP(A20,'[1]B2B Red'!$C:$FG,MATCH($A$3,'[1]B2B Red'!$BG$6:$CU$6,0)+58,0)</f>
        <v>0.14000000000000001</v>
      </c>
      <c r="L20" s="155"/>
      <c r="N20" s="157">
        <f>IF((F20-VLOOKUP($A20,[2]Peugeot!$A:$L,COLUMNS([2]Peugeot!$A$9:$F$9),0))*100=0,"ISO",(F20-VLOOKUP($A20,[2]Peugeot!$A:$L,COLUMNS([2]Peugeot!$A$9:$F$9),0))*100)</f>
        <v>-2.0000000000000018</v>
      </c>
      <c r="O20" s="158">
        <f>IF((G20-VLOOKUP($A20,[2]Peugeot!$A:$L,COLUMNS([2]Peugeot!$A$9:$G$9),0))*100=0,"ISO",(G20-VLOOKUP($A20,[2]Peugeot!$A:$L,COLUMNS([2]Peugeot!$A$9:$G$9),0))*100)</f>
        <v>-2.0000000000000018</v>
      </c>
      <c r="P20" s="157">
        <f>IF((K20-VLOOKUP($A20,[2]Peugeot!$A:$L,COLUMNS([2]Peugeot!$A$9:$K$9),0))*100=0,"ISO",(K20-VLOOKUP($A20,[2]Peugeot!$A:$L,COLUMNS([2]Peugeot!$A$9:$K$9),0))*100)</f>
        <v>-1.9999999999999991</v>
      </c>
    </row>
    <row r="21" spans="1:16" s="170" customFormat="1" ht="18" customHeight="1" x14ac:dyDescent="0.2">
      <c r="A21" s="147"/>
      <c r="B21" s="162"/>
      <c r="C21" s="193"/>
      <c r="D21" s="164"/>
      <c r="E21" s="165" t="s">
        <v>5</v>
      </c>
      <c r="F21" s="166">
        <f>+F20-F22</f>
        <v>6.9999999999999993E-2</v>
      </c>
      <c r="G21" s="167">
        <f t="shared" ref="G21:I21" si="3">+G20-G22</f>
        <v>6.9999999999999993E-2</v>
      </c>
      <c r="H21" s="194">
        <f t="shared" si="3"/>
        <v>5.9999999999999991E-2</v>
      </c>
      <c r="I21" s="167">
        <f t="shared" si="3"/>
        <v>5.9999999999999991E-2</v>
      </c>
      <c r="J21" s="195"/>
      <c r="K21" s="522">
        <f>+K20-K22</f>
        <v>8.0000000000000016E-2</v>
      </c>
      <c r="L21" s="169"/>
      <c r="N21" s="171">
        <f>+IF((ROUND(F21-HLOOKUP(F$7,[2]Peugeot!$F$7:$G$86,MATCH($A20,[2]Peugeot!$A$7:$A$86,0)+1,0),3))*100=0,"ISO",(F21-HLOOKUP(F$7,[2]Peugeot!$F$7:$G$86,MATCH($A20,[2]Peugeot!$A$7:$A$86,0)+1,0))*100)</f>
        <v>-2.0000000000000018</v>
      </c>
      <c r="O21" s="172">
        <f>+IF((ROUND(G21-HLOOKUP(G$7,[2]Peugeot!$F$7:$G$86,MATCH($A20,[2]Peugeot!$A$7:$A$86,0)+1,0),3))*100=0,"ISO",(G21-HLOOKUP(G$7,[2]Peugeot!$F$7:$G$86,MATCH($A20,[2]Peugeot!$A$7:$A$86,0)+1,0))*100)</f>
        <v>-2.0000000000000018</v>
      </c>
      <c r="P21" s="171">
        <f>IF((ROUND(K21-HLOOKUP(K$7,[2]Peugeot!$K$7:$L$86,MATCH($A20,[2]Peugeot!$A$7:$A$86,0)+1,0),3))*100=0,"ISO",(K21-HLOOKUP(K$7,[2]Peugeot!$K$7:$L$86,MATCH($A20,[2]Peugeot!$A$7:$A$86,0)+1,0))*100)</f>
        <v>-1.9999999999999991</v>
      </c>
    </row>
    <row r="22" spans="1:16" s="170" customFormat="1" ht="18" customHeight="1" thickBot="1" x14ac:dyDescent="0.25">
      <c r="A22" s="147"/>
      <c r="B22" s="162"/>
      <c r="C22" s="196"/>
      <c r="D22" s="197"/>
      <c r="E22" s="175" t="s">
        <v>3</v>
      </c>
      <c r="F22" s="176">
        <f>+D20-VLOOKUP(A20,'[1]B2B Red'!$C:$FG,MATCH($A$3,'[1]B2B Red'!$CV$6:$EE$6,0)+97,0)</f>
        <v>0.05</v>
      </c>
      <c r="G22" s="177">
        <f>+D20-VLOOKUP(A20,'[1]B2B Red'!$C:$FG,MATCH($A$3,'[1]B2B Red'!$CV$6:$EE$6,0)+98,0)</f>
        <v>0.05</v>
      </c>
      <c r="H22" s="198">
        <f>+F22+1%</f>
        <v>6.0000000000000005E-2</v>
      </c>
      <c r="I22" s="177">
        <f>+G22+1%</f>
        <v>6.0000000000000005E-2</v>
      </c>
      <c r="J22" s="195"/>
      <c r="K22" s="523">
        <f>+D20-VLOOKUP(A20,'[1]B2B Red'!$C:$FG,MATCH($A$3,'[1]B2B Red'!$CV$6:$EE$6,0)+99,0)</f>
        <v>6.0000000000000005E-2</v>
      </c>
      <c r="L22" s="169"/>
      <c r="N22" s="178" t="str">
        <f>+IF((ROUND(F22-HLOOKUP(F$7,[2]Peugeot!$F$7:$G$86,MATCH($A20,[2]Peugeot!$A$7:$A$86,0)+2,0),3))*100=0,"ISO",(F22-HLOOKUP(F$7,[2]Peugeot!$F$7:$G$86,MATCH($A20,[2]Peugeot!$A$7:$A$86,0)+2,0))*100)</f>
        <v>ISO</v>
      </c>
      <c r="O22" s="179" t="str">
        <f>IF((ROUND(G22-HLOOKUP(G$7,[2]Peugeot!$F$7:$G$86,MATCH($A20,[2]Peugeot!$A$7:$A$86,0)+2,0),3))*100=0,"ISO",(G22-HLOOKUP(G$7,[2]Peugeot!$F$7:$G$86,MATCH($A20,[2]Peugeot!$A$7:$A$86,0)+2,0))*100)</f>
        <v>ISO</v>
      </c>
      <c r="P22" s="178" t="str">
        <f>IF((ROUND(K22-HLOOKUP(K$7,[2]Peugeot!$K$7:$L$86,MATCH($A20,[2]Peugeot!$A$7:$A$86,0)+2,0),3))*100=0,"ISO",(K22-HLOOKUP(K$7,[2]Peugeot!$K$7:$L$86,MATCH($A20,[2]Peugeot!$A$7:$A$86,0)+2,0))*100)</f>
        <v>ISO</v>
      </c>
    </row>
    <row r="23" spans="1:16" s="170" customFormat="1" ht="5.0999999999999996" customHeight="1" thickBot="1" x14ac:dyDescent="0.25">
      <c r="A23" s="147"/>
      <c r="B23" s="162"/>
      <c r="C23" s="186"/>
      <c r="D23" s="187"/>
      <c r="E23" s="186"/>
      <c r="F23" s="186"/>
      <c r="G23" s="186"/>
      <c r="H23" s="186"/>
      <c r="I23" s="186"/>
      <c r="J23" s="188"/>
      <c r="K23" s="187"/>
      <c r="L23" s="169"/>
      <c r="N23" s="189"/>
      <c r="O23" s="189"/>
      <c r="P23" s="189"/>
    </row>
    <row r="24" spans="1:16" s="156" customFormat="1" ht="18" customHeight="1" x14ac:dyDescent="0.2">
      <c r="A24" s="147" t="s">
        <v>61</v>
      </c>
      <c r="B24" s="148"/>
      <c r="C24" s="491" t="s">
        <v>76</v>
      </c>
      <c r="D24" s="492">
        <f>VLOOKUP(A24,[1]Gestión!$D:$H,5,FALSE)</f>
        <v>0.1</v>
      </c>
      <c r="E24" s="493" t="s">
        <v>2</v>
      </c>
      <c r="F24" s="494">
        <f>+VLOOKUP(A24,'[1]B2B Red'!$C:$FG,MATCH($A$3,'[1]B2B Red'!$BG$6:$CU$6,0)+56,0)</f>
        <v>0.15</v>
      </c>
      <c r="G24" s="232">
        <f>+VLOOKUP(A24,'[1]B2B Red'!$C:$FG,MATCH($A$3,'[1]B2B Red'!$BG$6:$CU$6,0)+57,0)</f>
        <v>0.17</v>
      </c>
      <c r="H24" s="494">
        <f>+F24</f>
        <v>0.15</v>
      </c>
      <c r="I24" s="232">
        <f>+G24</f>
        <v>0.17</v>
      </c>
      <c r="J24" s="520"/>
      <c r="K24" s="521">
        <f>+VLOOKUP(A24,'[1]B2B Red'!$C:$FG,MATCH($A$3,'[1]B2B Red'!$BG$6:$CU$6,0)+58,0)</f>
        <v>0.21</v>
      </c>
      <c r="L24" s="155"/>
      <c r="N24" s="157">
        <f>IF((F24-VLOOKUP($A24,[2]Peugeot!$A:$L,COLUMNS([2]Peugeot!$A$9:$F$9),0))*100=0,"ISO",(F24-VLOOKUP($A24,[2]Peugeot!$A:$L,COLUMNS([2]Peugeot!$A$9:$F$9),0))*100)</f>
        <v>0.99999999999999811</v>
      </c>
      <c r="O24" s="158">
        <f>IF((G24-VLOOKUP($A24,[2]Peugeot!$A:$L,COLUMNS([2]Peugeot!$A$9:$G$9),0))*100=0,"ISO",(G24-VLOOKUP($A24,[2]Peugeot!$A:$L,COLUMNS([2]Peugeot!$A$9:$G$9),0))*100)</f>
        <v>1.0000000000000009</v>
      </c>
      <c r="P24" s="157">
        <f>IF((K24-VLOOKUP($A24,[2]Peugeot!$A:$L,COLUMNS([2]Peugeot!$A$9:$K$9),0))*100=0,"ISO",(K24-VLOOKUP($A24,[2]Peugeot!$A:$L,COLUMNS([2]Peugeot!$A$9:$K$9),0))*100)</f>
        <v>0.99999999999999811</v>
      </c>
    </row>
    <row r="25" spans="1:16" s="170" customFormat="1" ht="18" customHeight="1" x14ac:dyDescent="0.2">
      <c r="A25" s="147"/>
      <c r="B25" s="162"/>
      <c r="C25" s="180"/>
      <c r="D25" s="190"/>
      <c r="E25" s="180" t="s">
        <v>5</v>
      </c>
      <c r="F25" s="181">
        <f>+F24-F26</f>
        <v>0.10999999999999999</v>
      </c>
      <c r="G25" s="181">
        <f t="shared" ref="G25:I25" si="4">+G24-G26</f>
        <v>0.12000000000000001</v>
      </c>
      <c r="H25" s="191">
        <f t="shared" si="4"/>
        <v>9.9999999999999978E-2</v>
      </c>
      <c r="I25" s="182">
        <f t="shared" si="4"/>
        <v>0.11000000000000001</v>
      </c>
      <c r="J25" s="188"/>
      <c r="K25" s="524">
        <f>+K24-K26</f>
        <v>0.14499999999999999</v>
      </c>
      <c r="L25" s="169"/>
      <c r="N25" s="171">
        <f>+IF((ROUND(F25-HLOOKUP(F$7,[2]Peugeot!$F$7:$G$86,MATCH($A24,[2]Peugeot!$A$7:$A$86,0)+1,0),3))*100=0,"ISO",(F25-HLOOKUP(F$7,[2]Peugeot!$F$7:$G$86,MATCH($A24,[2]Peugeot!$A$7:$A$86,0)+1,0))*100)</f>
        <v>0.99999999999999811</v>
      </c>
      <c r="O25" s="172">
        <f>+IF((ROUND(G25-HLOOKUP(G$7,[2]Peugeot!$F$7:$G$86,MATCH($A24,[2]Peugeot!$A$7:$A$86,0)+1,0),3))*100=0,"ISO",(G25-HLOOKUP(G$7,[2]Peugeot!$F$7:$G$86,MATCH($A24,[2]Peugeot!$A$7:$A$86,0)+1,0))*100)</f>
        <v>1.0000000000000009</v>
      </c>
      <c r="P25" s="171">
        <f>IF((ROUND(K25-HLOOKUP(K$7,[2]Peugeot!$K$7:$L$86,MATCH($A24,[2]Peugeot!$A$7:$A$86,0)+1,0),3))*100=0,"ISO",(K25-HLOOKUP(K$7,[2]Peugeot!$K$7:$L$86,MATCH($A24,[2]Peugeot!$A$7:$A$86,0)+1,0))*100)</f>
        <v>0.99999999999999811</v>
      </c>
    </row>
    <row r="26" spans="1:16" s="170" customFormat="1" ht="18" customHeight="1" thickBot="1" x14ac:dyDescent="0.25">
      <c r="A26" s="147"/>
      <c r="B26" s="162"/>
      <c r="C26" s="495"/>
      <c r="D26" s="496"/>
      <c r="E26" s="183" t="s">
        <v>3</v>
      </c>
      <c r="F26" s="184">
        <f>+D24-VLOOKUP(A24,'[1]B2B Red'!$C:$FG,MATCH($A$3,'[1]B2B Red'!$CV$6:$EE$6,0)+97,0)</f>
        <v>4.0000000000000008E-2</v>
      </c>
      <c r="G26" s="184">
        <f>+D24-VLOOKUP(A24,'[1]B2B Red'!$C:$FG,MATCH($A$3,'[1]B2B Red'!$CV$6:$EE$6,0)+98,0)</f>
        <v>0.05</v>
      </c>
      <c r="H26" s="192">
        <f>+F26+1%</f>
        <v>5.000000000000001E-2</v>
      </c>
      <c r="I26" s="185">
        <f>+G26+1%</f>
        <v>6.0000000000000005E-2</v>
      </c>
      <c r="J26" s="188"/>
      <c r="K26" s="525">
        <f>+D24-VLOOKUP(A24,'[1]B2B Red'!$C:$FG,MATCH($A$3,'[1]B2B Red'!$CV$6:$EE$6,0)+99,0)</f>
        <v>6.5000000000000002E-2</v>
      </c>
      <c r="L26" s="169"/>
      <c r="N26" s="178" t="str">
        <f>+IF((ROUND(F26-HLOOKUP(F$7,[2]Peugeot!$F$7:$G$86,MATCH($A24,[2]Peugeot!$A$7:$A$86,0)+2,0),3))*100=0,"ISO",(F26-HLOOKUP(F$7,[2]Peugeot!$F$7:$G$86,MATCH($A24,[2]Peugeot!$A$7:$A$86,0)+2,0))*100)</f>
        <v>ISO</v>
      </c>
      <c r="O26" s="179" t="str">
        <f>IF((ROUND(G26-HLOOKUP(G$7,[2]Peugeot!$F$7:$G$86,MATCH($A24,[2]Peugeot!$A$7:$A$86,0)+2,0),3))*100=0,"ISO",(G26-HLOOKUP(G$7,[2]Peugeot!$F$7:$G$86,MATCH($A24,[2]Peugeot!$A$7:$A$86,0)+2,0))*100)</f>
        <v>ISO</v>
      </c>
      <c r="P26" s="178" t="str">
        <f>IF((ROUND(K26-HLOOKUP(K$7,[2]Peugeot!$K$7:$L$86,MATCH($A24,[2]Peugeot!$A$7:$A$86,0)+2,0),3))*100=0,"ISO",(K26-HLOOKUP(K$7,[2]Peugeot!$K$7:$L$86,MATCH($A24,[2]Peugeot!$A$7:$A$86,0)+2,0))*100)</f>
        <v>ISO</v>
      </c>
    </row>
    <row r="27" spans="1:16" s="156" customFormat="1" ht="18" customHeight="1" x14ac:dyDescent="0.2">
      <c r="A27" s="147" t="s">
        <v>62</v>
      </c>
      <c r="B27" s="148"/>
      <c r="C27" s="491" t="s">
        <v>77</v>
      </c>
      <c r="D27" s="492">
        <f>VLOOKUP(A27,[1]Gestión!$D:$H,5,FALSE)</f>
        <v>0.1</v>
      </c>
      <c r="E27" s="493" t="s">
        <v>2</v>
      </c>
      <c r="F27" s="494">
        <f>+VLOOKUP(A27,'[1]B2B Red'!$C:$FG,MATCH($A$3,'[1]B2B Red'!$BG$6:$CU$6,0)+56,0)</f>
        <v>0.14000000000000001</v>
      </c>
      <c r="G27" s="232">
        <f>+VLOOKUP(A27,'[1]B2B Red'!$C:$FG,MATCH($A$3,'[1]B2B Red'!$BG$6:$CU$6,0)+57,0)</f>
        <v>0.16</v>
      </c>
      <c r="H27" s="494">
        <f>+F27</f>
        <v>0.14000000000000001</v>
      </c>
      <c r="I27" s="232">
        <f>+G27</f>
        <v>0.16</v>
      </c>
      <c r="J27" s="520"/>
      <c r="K27" s="521">
        <f>+VLOOKUP(A27,'[1]B2B Red'!$C:$FG,MATCH($A$3,'[1]B2B Red'!$BG$6:$CU$6,0)+58,0)</f>
        <v>0.2</v>
      </c>
      <c r="L27" s="155"/>
      <c r="N27" s="157" t="str">
        <f>IF((F27-VLOOKUP($A27,[2]Peugeot!$A:$L,COLUMNS([2]Peugeot!$A$9:$F$9),0))*100=0,"ISO",(F27-VLOOKUP($A27,[2]Peugeot!$A:$L,COLUMNS([2]Peugeot!$A$9:$F$9),0))*100)</f>
        <v>ISO</v>
      </c>
      <c r="O27" s="158" t="str">
        <f>IF((G27-VLOOKUP($A27,[2]Peugeot!$A:$L,COLUMNS([2]Peugeot!$A$9:$G$9),0))*100=0,"ISO",(G27-VLOOKUP($A27,[2]Peugeot!$A:$L,COLUMNS([2]Peugeot!$A$9:$G$9),0))*100)</f>
        <v>ISO</v>
      </c>
      <c r="P27" s="157" t="str">
        <f>IF((K27-VLOOKUP($A27,[2]Peugeot!$A:$L,COLUMNS([2]Peugeot!$A$9:$K$9),0))*100=0,"ISO",(K27-VLOOKUP($A27,[2]Peugeot!$A:$L,COLUMNS([2]Peugeot!$A$9:$K$9),0))*100)</f>
        <v>ISO</v>
      </c>
    </row>
    <row r="28" spans="1:16" s="170" customFormat="1" ht="18" customHeight="1" x14ac:dyDescent="0.2">
      <c r="A28" s="147"/>
      <c r="B28" s="162"/>
      <c r="C28" s="180"/>
      <c r="D28" s="190"/>
      <c r="E28" s="180" t="s">
        <v>5</v>
      </c>
      <c r="F28" s="181">
        <f>+F27-F29</f>
        <v>0.1</v>
      </c>
      <c r="G28" s="182">
        <f t="shared" ref="G28:I28" si="5">+G27-G29</f>
        <v>0.11</v>
      </c>
      <c r="H28" s="181">
        <f t="shared" si="5"/>
        <v>0.09</v>
      </c>
      <c r="I28" s="182">
        <f t="shared" si="5"/>
        <v>0.1</v>
      </c>
      <c r="J28" s="188"/>
      <c r="K28" s="524">
        <f>+K27-K29</f>
        <v>0.13500000000000001</v>
      </c>
      <c r="L28" s="169"/>
      <c r="N28" s="171" t="str">
        <f>+IF((ROUND(F28-HLOOKUP(F$7,[2]Peugeot!$F$7:$G$86,MATCH($A27,[2]Peugeot!$A$7:$A$86,0)+1,0),3))*100=0,"ISO",(F28-HLOOKUP(F$7,[2]Peugeot!$F$7:$G$86,MATCH($A27,[2]Peugeot!$A$7:$A$86,0)+1,0))*100)</f>
        <v>ISO</v>
      </c>
      <c r="O28" s="172" t="str">
        <f>+IF((ROUND(G28-HLOOKUP(G$7,[2]Peugeot!$F$7:$G$86,MATCH($A27,[2]Peugeot!$A$7:$A$86,0)+1,0),3))*100=0,"ISO",(G28-HLOOKUP(G$7,[2]Peugeot!$F$7:$G$86,MATCH($A27,[2]Peugeot!$A$7:$A$86,0)+1,0))*100)</f>
        <v>ISO</v>
      </c>
      <c r="P28" s="171" t="str">
        <f>IF((ROUND(K28-HLOOKUP(K$7,[2]Peugeot!$K$7:$L$86,MATCH($A27,[2]Peugeot!$A$7:$A$86,0)+1,0),3))*100=0,"ISO",(K28-HLOOKUP(K$7,[2]Peugeot!$K$7:$L$86,MATCH($A27,[2]Peugeot!$A$7:$A$86,0)+1,0))*100)</f>
        <v>ISO</v>
      </c>
    </row>
    <row r="29" spans="1:16" s="170" customFormat="1" ht="18" customHeight="1" thickBot="1" x14ac:dyDescent="0.25">
      <c r="A29" s="147"/>
      <c r="B29" s="162"/>
      <c r="C29" s="495"/>
      <c r="D29" s="496"/>
      <c r="E29" s="183" t="s">
        <v>3</v>
      </c>
      <c r="F29" s="184">
        <f>+D27-VLOOKUP(A27,'[1]B2B Red'!$C:$FG,MATCH($A$3,'[1]B2B Red'!$CV$6:$EE$6,0)+97,0)</f>
        <v>4.0000000000000008E-2</v>
      </c>
      <c r="G29" s="185">
        <f>+D27-VLOOKUP(A27,'[1]B2B Red'!$C:$FG,MATCH($A$3,'[1]B2B Red'!$CV$6:$EE$6,0)+98,0)</f>
        <v>0.05</v>
      </c>
      <c r="H29" s="184">
        <f>+F29+1%</f>
        <v>5.000000000000001E-2</v>
      </c>
      <c r="I29" s="185">
        <f>+G29+1%</f>
        <v>6.0000000000000005E-2</v>
      </c>
      <c r="J29" s="188"/>
      <c r="K29" s="525">
        <f>+D27-VLOOKUP(A27,'[1]B2B Red'!$C:$FG,MATCH($A$3,'[1]B2B Red'!$CV$6:$EE$6,0)+99,0)</f>
        <v>6.5000000000000002E-2</v>
      </c>
      <c r="L29" s="169"/>
      <c r="N29" s="178" t="str">
        <f>+IF((ROUND(F29-HLOOKUP(F$7,[2]Peugeot!$F$7:$G$86,MATCH($A27,[2]Peugeot!$A$7:$A$86,0)+2,0),3))*100=0,"ISO",(F29-HLOOKUP(F$7,[2]Peugeot!$F$7:$G$86,MATCH($A27,[2]Peugeot!$A$7:$A$86,0)+2,0))*100)</f>
        <v>ISO</v>
      </c>
      <c r="O29" s="179" t="str">
        <f>IF((ROUND(G29-HLOOKUP(G$7,[2]Peugeot!$F$7:$G$86,MATCH($A27,[2]Peugeot!$A$7:$A$86,0)+2,0),3))*100=0,"ISO",(G29-HLOOKUP(G$7,[2]Peugeot!$F$7:$G$86,MATCH($A27,[2]Peugeot!$A$7:$A$86,0)+2,0))*100)</f>
        <v>ISO</v>
      </c>
      <c r="P29" s="178" t="str">
        <f>IF((ROUND(K29-HLOOKUP(K$7,[2]Peugeot!$K$7:$L$86,MATCH($A27,[2]Peugeot!$A$7:$A$86,0)+2,0),3))*100=0,"ISO",(K29-HLOOKUP(K$7,[2]Peugeot!$K$7:$L$86,MATCH($A27,[2]Peugeot!$A$7:$A$86,0)+2,0))*100)</f>
        <v>ISO</v>
      </c>
    </row>
    <row r="30" spans="1:16" s="156" customFormat="1" ht="18" customHeight="1" x14ac:dyDescent="0.2">
      <c r="A30" s="147" t="s">
        <v>63</v>
      </c>
      <c r="B30" s="148"/>
      <c r="C30" s="240" t="s">
        <v>78</v>
      </c>
      <c r="D30" s="150">
        <f>VLOOKUP(A30,[1]Gestión!$D:$H,5,FALSE)</f>
        <v>0.1</v>
      </c>
      <c r="E30" s="151" t="s">
        <v>2</v>
      </c>
      <c r="F30" s="152">
        <f>+VLOOKUP(A30,'[1]B2B Red'!$C:$FG,MATCH($A$3,'[1]B2B Red'!$BG$6:$CU$6,0)+56,0)</f>
        <v>0.14000000000000001</v>
      </c>
      <c r="G30" s="153">
        <f>+VLOOKUP(A30,'[1]B2B Red'!$C:$FG,MATCH($A$3,'[1]B2B Red'!$BG$6:$CU$6,0)+57,0)</f>
        <v>0.16</v>
      </c>
      <c r="H30" s="152">
        <f>+F30</f>
        <v>0.14000000000000001</v>
      </c>
      <c r="I30" s="241">
        <f>+G30</f>
        <v>0.16</v>
      </c>
      <c r="J30" s="520"/>
      <c r="K30" s="521">
        <f>+VLOOKUP(A30,'[1]B2B Red'!$C:$FG,MATCH($A$3,'[1]B2B Red'!$BG$6:$CU$6,0)+58,0)</f>
        <v>0.2</v>
      </c>
      <c r="L30" s="155"/>
      <c r="N30" s="157" t="str">
        <f>IF((F30-VLOOKUP($A30,[2]Peugeot!$A:$L,COLUMNS([2]Peugeot!$A$9:$F$9),0))*100=0,"ISO",(F30-VLOOKUP($A30,[2]Peugeot!$A:$L,COLUMNS([2]Peugeot!$A$9:$F$9),0))*100)</f>
        <v>ISO</v>
      </c>
      <c r="O30" s="158" t="str">
        <f>IF((G30-VLOOKUP($A30,[2]Peugeot!$A:$L,COLUMNS([2]Peugeot!$A$9:$G$9),0))*100=0,"ISO",(G30-VLOOKUP($A30,[2]Peugeot!$A:$L,COLUMNS([2]Peugeot!$A$9:$G$9),0))*100)</f>
        <v>ISO</v>
      </c>
      <c r="P30" s="157" t="str">
        <f>IF((K30-VLOOKUP($A30,[2]Peugeot!$A:$L,COLUMNS([2]Peugeot!$A$9:$K$9),0))*100=0,"ISO",(K30-VLOOKUP($A30,[2]Peugeot!$A:$L,COLUMNS([2]Peugeot!$A$9:$K$9),0))*100)</f>
        <v>ISO</v>
      </c>
    </row>
    <row r="31" spans="1:16" s="170" customFormat="1" ht="18" customHeight="1" x14ac:dyDescent="0.2">
      <c r="A31" s="147"/>
      <c r="B31" s="162"/>
      <c r="C31" s="239"/>
      <c r="D31" s="190"/>
      <c r="E31" s="180" t="s">
        <v>5</v>
      </c>
      <c r="F31" s="181">
        <f>+F30-F32</f>
        <v>0.1</v>
      </c>
      <c r="G31" s="182">
        <f t="shared" ref="G31:I31" si="6">+G30-G32</f>
        <v>0.11</v>
      </c>
      <c r="H31" s="181">
        <f t="shared" si="6"/>
        <v>0.09</v>
      </c>
      <c r="I31" s="226">
        <f t="shared" si="6"/>
        <v>0.1</v>
      </c>
      <c r="J31" s="188"/>
      <c r="K31" s="524">
        <f>+K30-K32</f>
        <v>0.13500000000000001</v>
      </c>
      <c r="L31" s="169"/>
      <c r="N31" s="171" t="str">
        <f>+IF((ROUND(F31-HLOOKUP(F$7,[2]Peugeot!$F$7:$G$86,MATCH($A30,[2]Peugeot!$A$7:$A$86,0)+1,0),3))*100=0,"ISO",(F31-HLOOKUP(F$7,[2]Peugeot!$F$7:$G$86,MATCH($A30,[2]Peugeot!$A$7:$A$86,0)+1,0))*100)</f>
        <v>ISO</v>
      </c>
      <c r="O31" s="172" t="str">
        <f>+IF((ROUND(G31-HLOOKUP(G$7,[2]Peugeot!$F$7:$G$86,MATCH($A30,[2]Peugeot!$A$7:$A$86,0)+1,0),3))*100=0,"ISO",(G31-HLOOKUP(G$7,[2]Peugeot!$F$7:$G$86,MATCH($A30,[2]Peugeot!$A$7:$A$86,0)+1,0))*100)</f>
        <v>ISO</v>
      </c>
      <c r="P31" s="171" t="str">
        <f>IF((ROUND(K31-HLOOKUP(K$7,[2]Peugeot!$K$7:$L$86,MATCH($A30,[2]Peugeot!$A$7:$A$86,0)+1,0),3))*100=0,"ISO",(K31-HLOOKUP(K$7,[2]Peugeot!$K$7:$L$86,MATCH($A30,[2]Peugeot!$A$7:$A$86,0)+1,0))*100)</f>
        <v>ISO</v>
      </c>
    </row>
    <row r="32" spans="1:16" s="170" customFormat="1" ht="18" customHeight="1" thickBot="1" x14ac:dyDescent="0.25">
      <c r="A32" s="147"/>
      <c r="B32" s="162"/>
      <c r="C32" s="242"/>
      <c r="D32" s="243"/>
      <c r="E32" s="222" t="s">
        <v>3</v>
      </c>
      <c r="F32" s="223">
        <f>+D30-VLOOKUP(A30,'[1]B2B Red'!$C:$FG,MATCH($A$3,'[1]B2B Red'!$CV$6:$EE$6,0)+97,0)</f>
        <v>4.0000000000000008E-2</v>
      </c>
      <c r="G32" s="224">
        <f>+D30-VLOOKUP(A30,'[1]B2B Red'!$C:$FG,MATCH($A$3,'[1]B2B Red'!$CV$6:$EE$6,0)+98,0)</f>
        <v>0.05</v>
      </c>
      <c r="H32" s="223">
        <f>+F32+1%</f>
        <v>5.000000000000001E-2</v>
      </c>
      <c r="I32" s="228">
        <f>+G32+1%</f>
        <v>6.0000000000000005E-2</v>
      </c>
      <c r="J32" s="188"/>
      <c r="K32" s="525">
        <f>+D30-VLOOKUP(A30,'[1]B2B Red'!$C:$FG,MATCH($A$3,'[1]B2B Red'!$CV$6:$EE$6,0)+99,0)</f>
        <v>6.5000000000000002E-2</v>
      </c>
      <c r="L32" s="169"/>
      <c r="N32" s="178" t="str">
        <f>+IF((ROUND(F32-HLOOKUP(F$7,[2]Peugeot!$F$7:$G$86,MATCH($A30,[2]Peugeot!$A$7:$A$86,0)+2,0),3))*100=0,"ISO",(F32-HLOOKUP(F$7,[2]Peugeot!$F$7:$G$86,MATCH($A30,[2]Peugeot!$A$7:$A$86,0)+2,0))*100)</f>
        <v>ISO</v>
      </c>
      <c r="O32" s="179" t="str">
        <f>IF((ROUND(G32-HLOOKUP(G$7,[2]Peugeot!$F$7:$G$86,MATCH($A30,[2]Peugeot!$A$7:$A$86,0)+2,0),3))*100=0,"ISO",(G32-HLOOKUP(G$7,[2]Peugeot!$F$7:$G$86,MATCH($A30,[2]Peugeot!$A$7:$A$86,0)+2,0))*100)</f>
        <v>ISO</v>
      </c>
      <c r="P32" s="178" t="str">
        <f>IF((ROUND(K32-HLOOKUP(K$7,[2]Peugeot!$K$7:$L$86,MATCH($A30,[2]Peugeot!$A$7:$A$86,0)+2,0),3))*100=0,"ISO",(K32-HLOOKUP(K$7,[2]Peugeot!$K$7:$L$86,MATCH($A30,[2]Peugeot!$A$7:$A$86,0)+2,0))*100)</f>
        <v>ISO</v>
      </c>
    </row>
    <row r="33" spans="1:16" s="170" customFormat="1" ht="5.0999999999999996" customHeight="1" thickBot="1" x14ac:dyDescent="0.25">
      <c r="A33" s="147"/>
      <c r="B33" s="162"/>
      <c r="C33" s="199"/>
      <c r="D33" s="200"/>
      <c r="E33" s="201"/>
      <c r="F33" s="181"/>
      <c r="G33" s="181"/>
      <c r="H33" s="181"/>
      <c r="I33" s="181"/>
      <c r="J33" s="188"/>
      <c r="K33" s="181"/>
      <c r="L33" s="169"/>
      <c r="N33" s="189"/>
      <c r="O33" s="189"/>
      <c r="P33" s="189"/>
    </row>
    <row r="34" spans="1:16" s="156" customFormat="1" ht="18" customHeight="1" x14ac:dyDescent="0.2">
      <c r="A34" s="147" t="s">
        <v>73</v>
      </c>
      <c r="B34" s="148"/>
      <c r="C34" s="213" t="s">
        <v>72</v>
      </c>
      <c r="D34" s="214">
        <f>VLOOKUP(A34,[1]Gestión!$D:$H,5,FALSE)</f>
        <v>0.1</v>
      </c>
      <c r="E34" s="215" t="s">
        <v>2</v>
      </c>
      <c r="F34" s="216">
        <f>+VLOOKUP(A34,'[1]B2B Red'!$C:$FG,MATCH($A$3,'[1]B2B Red'!$BG$6:$CU$6,0)+56,0)</f>
        <v>0.25</v>
      </c>
      <c r="G34" s="217">
        <f>+VLOOKUP(A34,'[1]B2B Red'!$C:$FG,MATCH($A$3,'[1]B2B Red'!$BG$6:$CU$6,0)+57,0)</f>
        <v>0.25</v>
      </c>
      <c r="H34" s="216">
        <f>+F34</f>
        <v>0.25</v>
      </c>
      <c r="I34" s="218">
        <f>+G34</f>
        <v>0.25</v>
      </c>
      <c r="J34" s="520"/>
      <c r="K34" s="521">
        <f>+VLOOKUP(A34,'[1]B2B Red'!$C:$FG,MATCH($A$3,'[1]B2B Red'!$BG$6:$CU$6,0)+58,0)</f>
        <v>0.28999999999999998</v>
      </c>
      <c r="L34" s="155"/>
      <c r="N34" s="157" t="str">
        <f>IF((F34-VLOOKUP($A34,[2]Peugeot!$A:$L,COLUMNS([2]Peugeot!$A$9:$F$9),0))*100=0,"ISO",(F34-VLOOKUP($A34,[2]Peugeot!$A:$L,COLUMNS([2]Peugeot!$A$9:$F$9),0))*100)</f>
        <v>ISO</v>
      </c>
      <c r="O34" s="158" t="str">
        <f>IF((G34-VLOOKUP($A34,[2]Peugeot!$A:$L,COLUMNS([2]Peugeot!$A$9:$G$9),0))*100=0,"ISO",(G34-VLOOKUP($A34,[2]Peugeot!$A:$L,COLUMNS([2]Peugeot!$A$9:$G$9),0))*100)</f>
        <v>ISO</v>
      </c>
      <c r="P34" s="157" t="str">
        <f>IF((K34-VLOOKUP($A34,[2]Peugeot!$A:$L,COLUMNS([2]Peugeot!$A$9:$K$9),0))*100=0,"ISO",(K34-VLOOKUP($A34,[2]Peugeot!$A:$L,COLUMNS([2]Peugeot!$A$9:$K$9),0))*100)</f>
        <v>ISO</v>
      </c>
    </row>
    <row r="35" spans="1:16" s="170" customFormat="1" ht="18" customHeight="1" x14ac:dyDescent="0.2">
      <c r="A35" s="147"/>
      <c r="B35" s="162"/>
      <c r="C35" s="245"/>
      <c r="D35" s="202"/>
      <c r="E35" s="165" t="s">
        <v>5</v>
      </c>
      <c r="F35" s="166">
        <f>+F34-F36</f>
        <v>0.19500000000000001</v>
      </c>
      <c r="G35" s="167">
        <f t="shared" ref="G35:I35" si="7">+G34-G36</f>
        <v>0.19500000000000001</v>
      </c>
      <c r="H35" s="166">
        <f t="shared" si="7"/>
        <v>0.185</v>
      </c>
      <c r="I35" s="246">
        <f t="shared" si="7"/>
        <v>0.185</v>
      </c>
      <c r="J35" s="188"/>
      <c r="K35" s="522">
        <f>+K34-K36</f>
        <v>0.21999999999999997</v>
      </c>
      <c r="L35" s="169"/>
      <c r="N35" s="171" t="str">
        <f>+IF((ROUND(F35-HLOOKUP(F$7,[2]Peugeot!$F$7:$G$86,MATCH($A34,[2]Peugeot!$A$7:$A$86,0)+1,0),3))*100=0,"ISO",(F35-HLOOKUP(F$7,[2]Peugeot!$F$7:$G$86,MATCH($A34,[2]Peugeot!$A$7:$A$86,0)+1,0))*100)</f>
        <v>ISO</v>
      </c>
      <c r="O35" s="172" t="str">
        <f>+IF((ROUND(G35-HLOOKUP(G$7,[2]Peugeot!$F$7:$G$86,MATCH($A34,[2]Peugeot!$A$7:$A$86,0)+1,0),3))*100=0,"ISO",(G35-HLOOKUP(G$7,[2]Peugeot!$F$7:$G$86,MATCH($A34,[2]Peugeot!$A$7:$A$86,0)+1,0))*100)</f>
        <v>ISO</v>
      </c>
      <c r="P35" s="171" t="str">
        <f>IF((ROUND(K35-HLOOKUP(K$7,[2]Peugeot!$K$7:$L$86,MATCH($A34,[2]Peugeot!$A$7:$A$86,0)+1,0),3))*100=0,"ISO",(K35-HLOOKUP(K$7,[2]Peugeot!$K$7:$L$86,MATCH($A34,[2]Peugeot!$A$7:$A$86,0)+1,0))*100)</f>
        <v>ISO</v>
      </c>
    </row>
    <row r="36" spans="1:16" s="170" customFormat="1" ht="18" customHeight="1" thickBot="1" x14ac:dyDescent="0.25">
      <c r="A36" s="147"/>
      <c r="B36" s="162"/>
      <c r="C36" s="242"/>
      <c r="D36" s="243"/>
      <c r="E36" s="235" t="s">
        <v>3</v>
      </c>
      <c r="F36" s="238">
        <f>+D34-VLOOKUP(A34,'[1]B2B Red'!$C:$FG,MATCH($A$3,'[1]B2B Red'!$CV$6:$EE$6,0)+97,0)</f>
        <v>5.5000000000000007E-2</v>
      </c>
      <c r="G36" s="237">
        <f>+D34-VLOOKUP(A34,'[1]B2B Red'!$C:$FG,MATCH($A$3,'[1]B2B Red'!$CV$6:$EE$6,0)+98,0)</f>
        <v>5.5000000000000007E-2</v>
      </c>
      <c r="H36" s="238">
        <f>+F36+1%</f>
        <v>6.5000000000000002E-2</v>
      </c>
      <c r="I36" s="247">
        <f>+G36+1%</f>
        <v>6.5000000000000002E-2</v>
      </c>
      <c r="J36" s="188"/>
      <c r="K36" s="523">
        <f>+D34-VLOOKUP(A34,'[1]B2B Red'!$C:$FG,MATCH($A$3,'[1]B2B Red'!$CV$6:$EE$6,0)+99,0)</f>
        <v>7.0000000000000007E-2</v>
      </c>
      <c r="L36" s="169"/>
      <c r="N36" s="178" t="str">
        <f>+IF((ROUND(F36-HLOOKUP(F$7,[2]Peugeot!$F$7:$G$86,MATCH($A34,[2]Peugeot!$A$7:$A$86,0)+2,0),3))*100=0,"ISO",(F36-HLOOKUP(F$7,[2]Peugeot!$F$7:$G$86,MATCH($A34,[2]Peugeot!$A$7:$A$86,0)+2,0))*100)</f>
        <v>ISO</v>
      </c>
      <c r="O36" s="179" t="str">
        <f>IF((ROUND(G36-HLOOKUP(G$7,[2]Peugeot!$F$7:$G$86,MATCH($A34,[2]Peugeot!$A$7:$A$86,0)+2,0),3))*100=0,"ISO",(G36-HLOOKUP(G$7,[2]Peugeot!$F$7:$G$86,MATCH($A34,[2]Peugeot!$A$7:$A$86,0)+2,0))*100)</f>
        <v>ISO</v>
      </c>
      <c r="P36" s="178" t="str">
        <f>IF((ROUND(K36-HLOOKUP(K$7,[2]Peugeot!$K$7:$L$86,MATCH($A34,[2]Peugeot!$A$7:$A$86,0)+2,0),3))*100=0,"ISO",(K36-HLOOKUP(K$7,[2]Peugeot!$K$7:$L$86,MATCH($A34,[2]Peugeot!$A$7:$A$86,0)+2,0))*100)</f>
        <v>ISO</v>
      </c>
    </row>
    <row r="37" spans="1:16" s="170" customFormat="1" ht="5.0999999999999996" customHeight="1" thickBot="1" x14ac:dyDescent="0.25">
      <c r="A37" s="147"/>
      <c r="B37" s="162"/>
      <c r="C37" s="199"/>
      <c r="D37" s="200"/>
      <c r="E37" s="201"/>
      <c r="F37" s="181"/>
      <c r="G37" s="181"/>
      <c r="H37" s="181"/>
      <c r="I37" s="181"/>
      <c r="J37" s="188"/>
      <c r="K37" s="182"/>
      <c r="L37" s="169"/>
      <c r="N37" s="189"/>
      <c r="O37" s="189"/>
      <c r="P37" s="189"/>
    </row>
    <row r="38" spans="1:16" s="156" customFormat="1" ht="18" customHeight="1" x14ac:dyDescent="0.2">
      <c r="A38" s="147" t="s">
        <v>32</v>
      </c>
      <c r="B38" s="148"/>
      <c r="C38" s="213" t="s">
        <v>79</v>
      </c>
      <c r="D38" s="214">
        <f>VLOOKUP(A38,[1]Gestión!$D:$H,5,FALSE)</f>
        <v>0.09</v>
      </c>
      <c r="E38" s="215" t="s">
        <v>2</v>
      </c>
      <c r="F38" s="216">
        <f>+VLOOKUP(A38,'[1]B2B Red'!$C:$FG,MATCH($A$3,'[1]B2B Red'!$BG$6:$CU$6,0)+56,0)</f>
        <v>9.9999999999999992E-2</v>
      </c>
      <c r="G38" s="217">
        <f>+VLOOKUP(A38,'[1]B2B Red'!$C:$FG,MATCH($A$3,'[1]B2B Red'!$BG$6:$CU$6,0)+57,0)</f>
        <v>9.9999999999999992E-2</v>
      </c>
      <c r="H38" s="216">
        <f>+F38</f>
        <v>9.9999999999999992E-2</v>
      </c>
      <c r="I38" s="218">
        <f>+G38</f>
        <v>9.9999999999999992E-2</v>
      </c>
      <c r="J38" s="520"/>
      <c r="K38" s="521">
        <f>+VLOOKUP(A38,'[1]B2B Red'!$C:$FG,MATCH($A$3,'[1]B2B Red'!$BG$6:$CU$6,0)+58,0)</f>
        <v>0.14000000000000001</v>
      </c>
      <c r="L38" s="155"/>
      <c r="N38" s="157" t="str">
        <f>IF((F38-VLOOKUP($A38,[2]Peugeot!$A:$L,COLUMNS([2]Peugeot!$A$9:$F$9),0))*100=0,"ISO",(F38-VLOOKUP($A38,[2]Peugeot!$A:$L,COLUMNS([2]Peugeot!$A$9:$F$9),0))*100)</f>
        <v>ISO</v>
      </c>
      <c r="O38" s="158" t="str">
        <f>IF((G38-VLOOKUP($A38,[2]Peugeot!$A:$L,COLUMNS([2]Peugeot!$A$9:$G$9),0))*100=0,"ISO",(G38-VLOOKUP($A38,[2]Peugeot!$A:$L,COLUMNS([2]Peugeot!$A$9:$G$9),0))*100)</f>
        <v>ISO</v>
      </c>
      <c r="P38" s="157" t="str">
        <f>IF((K38-VLOOKUP($A38,[2]Peugeot!$A:$L,COLUMNS([2]Peugeot!$A$9:$K$9),0))*100=0,"ISO",(K38-VLOOKUP($A38,[2]Peugeot!$A:$L,COLUMNS([2]Peugeot!$A$9:$K$9),0))*100)</f>
        <v>ISO</v>
      </c>
    </row>
    <row r="39" spans="1:16" s="170" customFormat="1" ht="18" customHeight="1" x14ac:dyDescent="0.2">
      <c r="A39" s="147"/>
      <c r="B39" s="162"/>
      <c r="C39" s="229"/>
      <c r="D39" s="203"/>
      <c r="E39" s="180" t="s">
        <v>5</v>
      </c>
      <c r="F39" s="181">
        <f>+F38-F40</f>
        <v>5.4999999999999993E-2</v>
      </c>
      <c r="G39" s="182">
        <f t="shared" ref="G39:I39" si="8">+G38-G40</f>
        <v>5.4999999999999993E-2</v>
      </c>
      <c r="H39" s="181">
        <f t="shared" si="8"/>
        <v>4.4999999999999991E-2</v>
      </c>
      <c r="I39" s="226">
        <f t="shared" si="8"/>
        <v>4.4999999999999991E-2</v>
      </c>
      <c r="J39" s="188"/>
      <c r="K39" s="524">
        <f>+K38-K40</f>
        <v>8.0000000000000016E-2</v>
      </c>
      <c r="L39" s="169"/>
      <c r="N39" s="171" t="str">
        <f>+IF((ROUND(F39-HLOOKUP(F$7,[2]Peugeot!$F$7:$G$86,MATCH($A38,[2]Peugeot!$A$7:$A$86,0)+1,0),3))*100=0,"ISO",(F39-HLOOKUP(F$7,[2]Peugeot!$F$7:$G$86,MATCH($A38,[2]Peugeot!$A$7:$A$86,0)+1,0))*100)</f>
        <v>ISO</v>
      </c>
      <c r="O39" s="172" t="str">
        <f>+IF((ROUND(G39-HLOOKUP(G$7,[2]Peugeot!$F$7:$G$86,MATCH($A38,[2]Peugeot!$A$7:$A$86,0)+1,0),3))*100=0,"ISO",(G39-HLOOKUP(G$7,[2]Peugeot!$F$7:$G$86,MATCH($A38,[2]Peugeot!$A$7:$A$86,0)+1,0))*100)</f>
        <v>ISO</v>
      </c>
      <c r="P39" s="171" t="str">
        <f>IF((ROUND(K39-HLOOKUP(K$7,[2]Peugeot!$K$7:$L$86,MATCH($A38,[2]Peugeot!$A$7:$A$86,0)+1,0),3))*100=0,"ISO",(K39-HLOOKUP(K$7,[2]Peugeot!$K$7:$L$86,MATCH($A38,[2]Peugeot!$A$7:$A$86,0)+1,0))*100)</f>
        <v>ISO</v>
      </c>
    </row>
    <row r="40" spans="1:16" s="170" customFormat="1" ht="18" customHeight="1" thickBot="1" x14ac:dyDescent="0.25">
      <c r="A40" s="147"/>
      <c r="B40" s="162"/>
      <c r="C40" s="230"/>
      <c r="D40" s="231"/>
      <c r="E40" s="222" t="s">
        <v>3</v>
      </c>
      <c r="F40" s="223">
        <f>+D38-VLOOKUP(A38,'[1]B2B Red'!$C:$FG,MATCH($A$3,'[1]B2B Red'!$CV$6:$EE$6,0)+97,0)</f>
        <v>4.4999999999999998E-2</v>
      </c>
      <c r="G40" s="224">
        <f>+D38-VLOOKUP(A38,'[1]B2B Red'!$C:$FG,MATCH($A$3,'[1]B2B Red'!$CV$6:$EE$6,0)+98,0)</f>
        <v>4.4999999999999998E-2</v>
      </c>
      <c r="H40" s="223">
        <f>+F40+1%</f>
        <v>5.5E-2</v>
      </c>
      <c r="I40" s="228">
        <f>+G40+1%</f>
        <v>5.5E-2</v>
      </c>
      <c r="J40" s="188"/>
      <c r="K40" s="525">
        <f>+D38-VLOOKUP(A38,'[1]B2B Red'!$C:$FG,MATCH($A$3,'[1]B2B Red'!$CV$6:$EE$6,0)+99,0)</f>
        <v>0.06</v>
      </c>
      <c r="L40" s="169"/>
      <c r="N40" s="178" t="str">
        <f>+IF((ROUND(F40-HLOOKUP(F$7,[2]Peugeot!$F$7:$G$86,MATCH($A38,[2]Peugeot!$A$7:$A$86,0)+2,0),3))*100=0,"ISO",(F40-HLOOKUP(F$7,[2]Peugeot!$F$7:$G$86,MATCH($A38,[2]Peugeot!$A$7:$A$86,0)+2,0))*100)</f>
        <v>ISO</v>
      </c>
      <c r="O40" s="179" t="str">
        <f>IF((ROUND(G40-HLOOKUP(G$7,[2]Peugeot!$F$7:$G$86,MATCH($A38,[2]Peugeot!$A$7:$A$86,0)+2,0),3))*100=0,"ISO",(G40-HLOOKUP(G$7,[2]Peugeot!$F$7:$G$86,MATCH($A38,[2]Peugeot!$A$7:$A$86,0)+2,0))*100)</f>
        <v>ISO</v>
      </c>
      <c r="P40" s="178" t="str">
        <f>IF((ROUND(K40-HLOOKUP(K$7,[2]Peugeot!$K$7:$L$86,MATCH($A38,[2]Peugeot!$A$7:$A$86,0)+2,0),3))*100=0,"ISO",(K40-HLOOKUP(K$7,[2]Peugeot!$K$7:$L$86,MATCH($A38,[2]Peugeot!$A$7:$A$86,0)+2,0))*100)</f>
        <v>ISO</v>
      </c>
    </row>
    <row r="41" spans="1:16" s="170" customFormat="1" ht="5.0999999999999996" customHeight="1" x14ac:dyDescent="0.2">
      <c r="A41" s="147"/>
      <c r="B41" s="162"/>
      <c r="C41" s="204"/>
      <c r="D41" s="205"/>
      <c r="E41" s="188"/>
      <c r="F41" s="188"/>
      <c r="G41" s="188"/>
      <c r="H41" s="188"/>
      <c r="I41" s="188"/>
      <c r="J41" s="188"/>
      <c r="K41" s="517"/>
      <c r="L41" s="169"/>
      <c r="N41" s="189"/>
      <c r="O41" s="189"/>
      <c r="P41" s="189"/>
    </row>
    <row r="42" spans="1:16" s="170" customFormat="1" ht="15" hidden="1" customHeight="1" x14ac:dyDescent="0.2">
      <c r="A42" s="147"/>
      <c r="B42" s="162"/>
      <c r="C42" s="206" t="s">
        <v>4</v>
      </c>
      <c r="D42" s="207"/>
      <c r="E42" s="188"/>
      <c r="F42" s="188"/>
      <c r="G42" s="188"/>
      <c r="H42" s="188"/>
      <c r="I42" s="188"/>
      <c r="J42" s="188"/>
      <c r="K42" s="517"/>
      <c r="L42" s="169"/>
      <c r="N42" s="189"/>
      <c r="O42" s="189"/>
      <c r="P42" s="189"/>
    </row>
    <row r="43" spans="1:16" s="170" customFormat="1" ht="5.0999999999999996" customHeight="1" thickBot="1" x14ac:dyDescent="0.25">
      <c r="A43" s="147"/>
      <c r="B43" s="162"/>
      <c r="C43" s="186"/>
      <c r="D43" s="187"/>
      <c r="E43" s="186"/>
      <c r="F43" s="186"/>
      <c r="G43" s="186"/>
      <c r="H43" s="186"/>
      <c r="I43" s="186"/>
      <c r="J43" s="188"/>
      <c r="K43" s="187"/>
      <c r="L43" s="169"/>
      <c r="N43" s="189"/>
      <c r="O43" s="189"/>
      <c r="P43" s="189"/>
    </row>
    <row r="44" spans="1:16" s="156" customFormat="1" ht="18" customHeight="1" x14ac:dyDescent="0.2">
      <c r="A44" s="147" t="s">
        <v>85</v>
      </c>
      <c r="B44" s="148"/>
      <c r="C44" s="244" t="s">
        <v>81</v>
      </c>
      <c r="D44" s="214">
        <f>VLOOKUP(A44,[1]Gestión!$D:$H,5,FALSE)</f>
        <v>0.09</v>
      </c>
      <c r="E44" s="215" t="s">
        <v>2</v>
      </c>
      <c r="F44" s="216">
        <f>+VLOOKUP(A44,'[1]B2B Red'!$C:$FG,MATCH($A$3,'[1]B2B Red'!$BG$6:$CU$6,0)+56,0)</f>
        <v>7.9999999999999988E-2</v>
      </c>
      <c r="G44" s="217">
        <f>+VLOOKUP(A44,'[1]B2B Red'!$C:$FG,MATCH($A$3,'[1]B2B Red'!$BG$6:$CU$6,0)+57,0)</f>
        <v>9.9999999999999992E-2</v>
      </c>
      <c r="H44" s="216">
        <f>+F44</f>
        <v>7.9999999999999988E-2</v>
      </c>
      <c r="I44" s="217">
        <f>+G44</f>
        <v>9.9999999999999992E-2</v>
      </c>
      <c r="J44" s="518"/>
      <c r="K44" s="521">
        <f>+VLOOKUP(A44,'[1]B2B Red'!$C:$FG,MATCH($A$3,'[1]B2B Red'!$BG$6:$CU$6,0)+58,0)</f>
        <v>0.14000000000000001</v>
      </c>
      <c r="L44" s="155"/>
      <c r="N44" s="157" t="str">
        <f>IF((F44-VLOOKUP($A44,[2]Peugeot!$A:$L,COLUMNS([2]Peugeot!$A$9:$F$9),0))*100=0,"ISO",(F44-VLOOKUP($A44,[2]Peugeot!$A:$L,COLUMNS([2]Peugeot!$A$9:$F$9),0))*100)</f>
        <v>ISO</v>
      </c>
      <c r="O44" s="158" t="str">
        <f>IF((G44-VLOOKUP($A44,[2]Peugeot!$A:$L,COLUMNS([2]Peugeot!$A$9:$G$9),0))*100=0,"ISO",(G44-VLOOKUP($A44,[2]Peugeot!$A:$L,COLUMNS([2]Peugeot!$A$9:$G$9),0))*100)</f>
        <v>ISO</v>
      </c>
      <c r="P44" s="157" t="str">
        <f>IF((K44-VLOOKUP($A44,[2]Peugeot!$A:$L,COLUMNS([2]Peugeot!$A$9:$K$9),0))*100=0,"ISO",(K44-VLOOKUP($A44,[2]Peugeot!$A:$L,COLUMNS([2]Peugeot!$A$9:$K$9),0))*100)</f>
        <v>ISO</v>
      </c>
    </row>
    <row r="45" spans="1:16" s="170" customFormat="1" ht="18" customHeight="1" x14ac:dyDescent="0.2">
      <c r="A45" s="161" t="s">
        <v>33</v>
      </c>
      <c r="B45" s="162"/>
      <c r="C45" s="229"/>
      <c r="D45" s="209"/>
      <c r="E45" s="165" t="s">
        <v>5</v>
      </c>
      <c r="F45" s="194">
        <f>+F44-F46</f>
        <v>4.4999999999999991E-2</v>
      </c>
      <c r="G45" s="167">
        <f t="shared" ref="G45:I45" si="9">+G44-G46</f>
        <v>5.4999999999999993E-2</v>
      </c>
      <c r="H45" s="166">
        <f t="shared" si="9"/>
        <v>3.4999999999999989E-2</v>
      </c>
      <c r="I45" s="167">
        <f t="shared" si="9"/>
        <v>4.4999999999999991E-2</v>
      </c>
      <c r="J45" s="519"/>
      <c r="K45" s="522">
        <f>+K44-K46</f>
        <v>8.0000000000000016E-2</v>
      </c>
      <c r="L45" s="208"/>
      <c r="N45" s="171" t="str">
        <f>+IF((ROUND(F45-HLOOKUP(F$7,[2]Peugeot!$F$7:$G$86,MATCH($A44,[2]Peugeot!$A$7:$A$86,0)+1,0),3))*100=0,"ISO",(F45-HLOOKUP(F$7,[2]Peugeot!$F$7:$G$86,MATCH($A44,[2]Peugeot!$A$7:$A$86,0)+1,0))*100)</f>
        <v>ISO</v>
      </c>
      <c r="O45" s="172" t="str">
        <f>+IF((ROUND(G45-HLOOKUP(G$7,[2]Peugeot!$F$7:$G$86,MATCH($A44,[2]Peugeot!$A$7:$A$86,0)+1,0),3))*100=0,"ISO",(G45-HLOOKUP(G$7,[2]Peugeot!$F$7:$G$86,MATCH($A44,[2]Peugeot!$A$7:$A$86,0)+1,0))*100)</f>
        <v>ISO</v>
      </c>
      <c r="P45" s="171" t="str">
        <f>IF((ROUND(K45-HLOOKUP(K$7,[2]Peugeot!$K$7:$L$86,MATCH($A44,[2]Peugeot!$A$7:$A$86,0)+1,0),3))*100=0,"ISO",(K45-HLOOKUP(K$7,[2]Peugeot!$K$7:$L$86,MATCH($A44,[2]Peugeot!$A$7:$A$86,0)+1,0))*100)</f>
        <v>ISO</v>
      </c>
    </row>
    <row r="46" spans="1:16" s="170" customFormat="1" ht="18" customHeight="1" thickBot="1" x14ac:dyDescent="0.25">
      <c r="A46" s="147"/>
      <c r="B46" s="162"/>
      <c r="C46" s="233"/>
      <c r="D46" s="234"/>
      <c r="E46" s="235" t="s">
        <v>3</v>
      </c>
      <c r="F46" s="236">
        <f>+D44-VLOOKUP(A44,'[1]B2B Red'!$C:$FG,MATCH($A$3,'[1]B2B Red'!$CV$6:$EE$6,0)+97,0)</f>
        <v>3.4999999999999996E-2</v>
      </c>
      <c r="G46" s="237">
        <f>+D44-VLOOKUP(A44,'[1]B2B Red'!$C:$FG,MATCH($A$3,'[1]B2B Red'!$CV$6:$EE$6,0)+98,0)</f>
        <v>4.4999999999999998E-2</v>
      </c>
      <c r="H46" s="238">
        <f>+F46+1%</f>
        <v>4.4999999999999998E-2</v>
      </c>
      <c r="I46" s="237">
        <f>+G46+1%</f>
        <v>5.5E-2</v>
      </c>
      <c r="J46" s="168"/>
      <c r="K46" s="528">
        <f>+D44-VLOOKUP(A44,'[1]B2B Red'!$C:$FG,MATCH($A$3,'[1]B2B Red'!$CV$6:$EE$6,0)+99,0)</f>
        <v>0.06</v>
      </c>
      <c r="L46" s="208"/>
      <c r="N46" s="178" t="str">
        <f>+IF((ROUND(F46-HLOOKUP(F$7,[2]Peugeot!$F$7:$G$86,MATCH($A44,[2]Peugeot!$A$7:$A$86,0)+2,0),3))*100=0,"ISO",(F46-HLOOKUP(F$7,[2]Peugeot!$F$7:$G$86,MATCH($A44,[2]Peugeot!$A$7:$A$86,0)+2,0))*100)</f>
        <v>ISO</v>
      </c>
      <c r="O46" s="179" t="str">
        <f>IF((ROUND(G46-HLOOKUP(G$7,[2]Peugeot!$F$7:$G$86,MATCH($A44,[2]Peugeot!$A$7:$A$86,0)+2,0),3))*100=0,"ISO",(G46-HLOOKUP(G$7,[2]Peugeot!$F$7:$G$86,MATCH($A44,[2]Peugeot!$A$7:$A$86,0)+2,0))*100)</f>
        <v>ISO</v>
      </c>
      <c r="P46" s="178" t="str">
        <f>IF((ROUND(K46-HLOOKUP(K$7,[2]Peugeot!$K$7:$L$86,MATCH($A44,[2]Peugeot!$A$7:$A$86,0)+2,0),3))*100=0,"ISO",(K46-HLOOKUP(K$7,[2]Peugeot!$K$7:$L$86,MATCH($A44,[2]Peugeot!$A$7:$A$86,0)+2,0))*100)</f>
        <v>ISO</v>
      </c>
    </row>
    <row r="47" spans="1:16" s="156" customFormat="1" ht="18" customHeight="1" x14ac:dyDescent="0.2">
      <c r="A47" s="147" t="s">
        <v>43</v>
      </c>
      <c r="B47" s="148"/>
      <c r="C47" s="149" t="s">
        <v>82</v>
      </c>
      <c r="D47" s="150">
        <f>VLOOKUP(A47,[1]Gestión!$D:$H,5,FALSE)</f>
        <v>0.09</v>
      </c>
      <c r="E47" s="151" t="s">
        <v>2</v>
      </c>
      <c r="F47" s="152">
        <f>+VLOOKUP(A47,'[1]B2B Red'!$C:$FG,MATCH($A$3,'[1]B2B Red'!$BG$6:$CU$6,0)+56,0)</f>
        <v>7.9999999999999988E-2</v>
      </c>
      <c r="G47" s="153">
        <f>+VLOOKUP(A47,'[1]B2B Red'!$C:$FG,MATCH($A$3,'[1]B2B Red'!$BG$6:$CU$6,0)+57,0)</f>
        <v>9.9999999999999992E-2</v>
      </c>
      <c r="H47" s="152">
        <f>+F47</f>
        <v>7.9999999999999988E-2</v>
      </c>
      <c r="I47" s="153">
        <f>+G47</f>
        <v>9.9999999999999992E-2</v>
      </c>
      <c r="J47" s="154"/>
      <c r="K47" s="527">
        <f>+VLOOKUP(A47,'[1]B2B Red'!$C:$FG,MATCH($A$3,'[1]B2B Red'!$BG$6:$CU$6,0)+58,0)</f>
        <v>0.14000000000000001</v>
      </c>
      <c r="L47" s="155"/>
      <c r="N47" s="157" t="str">
        <f>IF((F47-VLOOKUP($A47,[2]Peugeot!$A:$L,COLUMNS([2]Peugeot!$A$9:$F$9),0))*100=0,"ISO",(F47-VLOOKUP($A47,[2]Peugeot!$A:$L,COLUMNS([2]Peugeot!$A$9:$F$9),0))*100)</f>
        <v>ISO</v>
      </c>
      <c r="O47" s="158" t="str">
        <f>IF((G47-VLOOKUP($A47,[2]Peugeot!$A:$L,COLUMNS([2]Peugeot!$A$9:$G$9),0))*100=0,"ISO",(G47-VLOOKUP($A47,[2]Peugeot!$A:$L,COLUMNS([2]Peugeot!$A$9:$G$9),0))*100)</f>
        <v>ISO</v>
      </c>
      <c r="P47" s="157" t="str">
        <f>IF((K47-VLOOKUP($A47,[2]Peugeot!$A:$L,COLUMNS([2]Peugeot!$A$9:$K$9),0))*100=0,"ISO",(K47-VLOOKUP($A47,[2]Peugeot!$A:$L,COLUMNS([2]Peugeot!$A$9:$K$9),0))*100)</f>
        <v>ISO</v>
      </c>
    </row>
    <row r="48" spans="1:16" s="170" customFormat="1" ht="18" customHeight="1" x14ac:dyDescent="0.2">
      <c r="A48" s="147"/>
      <c r="B48" s="162"/>
      <c r="C48" s="210"/>
      <c r="D48" s="209"/>
      <c r="E48" s="180" t="s">
        <v>5</v>
      </c>
      <c r="F48" s="181">
        <f>+F47-F49</f>
        <v>4.4999999999999991E-2</v>
      </c>
      <c r="G48" s="182">
        <f t="shared" ref="G48:I48" si="10">+G47-G49</f>
        <v>5.4999999999999993E-2</v>
      </c>
      <c r="H48" s="181">
        <f t="shared" si="10"/>
        <v>3.4999999999999989E-2</v>
      </c>
      <c r="I48" s="182">
        <f t="shared" si="10"/>
        <v>4.4999999999999991E-2</v>
      </c>
      <c r="J48" s="519"/>
      <c r="K48" s="524">
        <f>+K47-K49</f>
        <v>8.0000000000000016E-2</v>
      </c>
      <c r="L48" s="208"/>
      <c r="N48" s="171" t="str">
        <f>+IF((ROUND(F48-HLOOKUP(F$7,[2]Peugeot!$F$7:$G$86,MATCH($A47,[2]Peugeot!$A$7:$A$86,0)+1,0),3))*100=0,"ISO",(F48-HLOOKUP(F$7,[2]Peugeot!$F$7:$G$86,MATCH($A47,[2]Peugeot!$A$7:$A$86,0)+1,0))*100)</f>
        <v>ISO</v>
      </c>
      <c r="O48" s="172" t="str">
        <f>+IF((ROUND(G48-HLOOKUP(G$7,[2]Peugeot!$F$7:$G$86,MATCH($A47,[2]Peugeot!$A$7:$A$86,0)+1,0),3))*100=0,"ISO",(G48-HLOOKUP(G$7,[2]Peugeot!$F$7:$G$86,MATCH($A47,[2]Peugeot!$A$7:$A$86,0)+1,0))*100)</f>
        <v>ISO</v>
      </c>
      <c r="P48" s="171" t="str">
        <f>IF((ROUND(K48-HLOOKUP(K$7,[2]Peugeot!$K$7:$L$86,MATCH($A47,[2]Peugeot!$A$7:$A$86,0)+1,0),3))*100=0,"ISO",(K48-HLOOKUP(K$7,[2]Peugeot!$K$7:$L$86,MATCH($A47,[2]Peugeot!$A$7:$A$86,0)+1,0))*100)</f>
        <v>ISO</v>
      </c>
    </row>
    <row r="49" spans="1:16" s="170" customFormat="1" ht="18" customHeight="1" thickBot="1" x14ac:dyDescent="0.25">
      <c r="A49" s="147"/>
      <c r="B49" s="162"/>
      <c r="C49" s="211"/>
      <c r="D49" s="212"/>
      <c r="E49" s="183" t="s">
        <v>3</v>
      </c>
      <c r="F49" s="184">
        <f>+D47-VLOOKUP(A47,'[1]B2B Red'!$C:$FG,MATCH($A$3,'[1]B2B Red'!$CV$6:$EE$6,0)+97,0)</f>
        <v>3.4999999999999996E-2</v>
      </c>
      <c r="G49" s="185">
        <f>+D47-VLOOKUP(A47,'[1]B2B Red'!$C:$FG,MATCH($A$3,'[1]B2B Red'!$CV$6:$EE$6,0)+98,0)</f>
        <v>4.4999999999999998E-2</v>
      </c>
      <c r="H49" s="184">
        <f>+F49+1%</f>
        <v>4.4999999999999998E-2</v>
      </c>
      <c r="I49" s="185">
        <f>+G49+1%</f>
        <v>5.5E-2</v>
      </c>
      <c r="J49" s="519"/>
      <c r="K49" s="525">
        <f>+D47-VLOOKUP(A47,'[1]B2B Red'!$C:$FG,MATCH($A$3,'[1]B2B Red'!$CV$6:$EE$6,0)+99,0)</f>
        <v>0.06</v>
      </c>
      <c r="L49" s="208"/>
      <c r="N49" s="178" t="str">
        <f>+IF((ROUND(F49-HLOOKUP(F$7,[2]Peugeot!$F$7:$G$86,MATCH($A47,[2]Peugeot!$A$7:$A$86,0)+2,0),3))*100=0,"ISO",(F49-HLOOKUP(F$7,[2]Peugeot!$F$7:$G$86,MATCH($A47,[2]Peugeot!$A$7:$A$86,0)+2,0))*100)</f>
        <v>ISO</v>
      </c>
      <c r="O49" s="179" t="str">
        <f>IF((ROUND(G49-HLOOKUP(G$7,[2]Peugeot!$F$7:$G$86,MATCH($A47,[2]Peugeot!$A$7:$A$86,0)+2,0),3))*100=0,"ISO",(G49-HLOOKUP(G$7,[2]Peugeot!$F$7:$G$86,MATCH($A47,[2]Peugeot!$A$7:$A$86,0)+2,0))*100)</f>
        <v>ISO</v>
      </c>
      <c r="P49" s="178" t="str">
        <f>IF((ROUND(K49-HLOOKUP(K$7,[2]Peugeot!$K$7:$L$86,MATCH($A47,[2]Peugeot!$A$7:$A$86,0)+2,0),3))*100=0,"ISO",(K49-HLOOKUP(K$7,[2]Peugeot!$K$7:$L$86,MATCH($A47,[2]Peugeot!$A$7:$A$86,0)+2,0))*100)</f>
        <v>ISO</v>
      </c>
    </row>
    <row r="50" spans="1:16" s="156" customFormat="1" ht="18" customHeight="1" x14ac:dyDescent="0.2">
      <c r="A50" s="147" t="s">
        <v>44</v>
      </c>
      <c r="B50" s="148"/>
      <c r="C50" s="149" t="s">
        <v>83</v>
      </c>
      <c r="D50" s="150">
        <f>VLOOKUP(A50,[1]Gestión!$D:$H,5,FALSE)</f>
        <v>0.09</v>
      </c>
      <c r="E50" s="151" t="s">
        <v>2</v>
      </c>
      <c r="F50" s="152">
        <f>+VLOOKUP(A50,'[1]B2B Red'!$C:$FG,MATCH($A$3,'[1]B2B Red'!$BG$6:$CU$6,0)+56,0)</f>
        <v>7.9999999999999988E-2</v>
      </c>
      <c r="G50" s="153">
        <f>+VLOOKUP(A50,'[1]B2B Red'!$C:$FG,MATCH($A$3,'[1]B2B Red'!$BG$6:$CU$6,0)+57,0)</f>
        <v>9.9999999999999992E-2</v>
      </c>
      <c r="H50" s="152">
        <f>+F50</f>
        <v>7.9999999999999988E-2</v>
      </c>
      <c r="I50" s="153">
        <f>+G50</f>
        <v>9.9999999999999992E-2</v>
      </c>
      <c r="J50" s="518"/>
      <c r="K50" s="521">
        <f>+VLOOKUP(A50,'[1]B2B Red'!$C:$FG,MATCH($A$3,'[1]B2B Red'!$BG$6:$CU$6,0)+58,0)</f>
        <v>0.14000000000000001</v>
      </c>
      <c r="L50" s="155"/>
      <c r="N50" s="157" t="str">
        <f>IF((F50-VLOOKUP($A50,[2]Peugeot!$A:$L,COLUMNS([2]Peugeot!$A$9:$F$9),0))*100=0,"ISO",(F50-VLOOKUP($A50,[2]Peugeot!$A:$L,COLUMNS([2]Peugeot!$A$9:$F$9),0))*100)</f>
        <v>ISO</v>
      </c>
      <c r="O50" s="158" t="str">
        <f>IF((G50-VLOOKUP($A50,[2]Peugeot!$A:$L,COLUMNS([2]Peugeot!$A$9:$G$9),0))*100=0,"ISO",(G50-VLOOKUP($A50,[2]Peugeot!$A:$L,COLUMNS([2]Peugeot!$A$9:$G$9),0))*100)</f>
        <v>ISO</v>
      </c>
      <c r="P50" s="157" t="str">
        <f>IF((K50-VLOOKUP($A50,[2]Peugeot!$A:$L,COLUMNS([2]Peugeot!$A$9:$K$9),0))*100=0,"ISO",(K50-VLOOKUP($A50,[2]Peugeot!$A:$L,COLUMNS([2]Peugeot!$A$9:$K$9),0))*100)</f>
        <v>ISO</v>
      </c>
    </row>
    <row r="51" spans="1:16" s="170" customFormat="1" ht="18" customHeight="1" x14ac:dyDescent="0.2">
      <c r="A51" s="147"/>
      <c r="B51" s="162"/>
      <c r="C51" s="210"/>
      <c r="D51" s="209"/>
      <c r="E51" s="180" t="s">
        <v>5</v>
      </c>
      <c r="F51" s="181">
        <f>+F50-F52</f>
        <v>4.4999999999999991E-2</v>
      </c>
      <c r="G51" s="182">
        <f t="shared" ref="G51:I51" si="11">+G50-G52</f>
        <v>5.4999999999999993E-2</v>
      </c>
      <c r="H51" s="181">
        <f t="shared" si="11"/>
        <v>3.4999999999999989E-2</v>
      </c>
      <c r="I51" s="182">
        <f t="shared" si="11"/>
        <v>4.4999999999999991E-2</v>
      </c>
      <c r="J51" s="519"/>
      <c r="K51" s="524">
        <f>+K50-K52</f>
        <v>8.0000000000000016E-2</v>
      </c>
      <c r="L51" s="208"/>
      <c r="N51" s="171" t="str">
        <f>+IF((ROUND(F51-HLOOKUP(F$7,[2]Peugeot!$F$7:$G$86,MATCH($A50,[2]Peugeot!$A$7:$A$86,0)+1,0),3))*100=0,"ISO",(F51-HLOOKUP(F$7,[2]Peugeot!$F$7:$G$86,MATCH($A50,[2]Peugeot!$A$7:$A$86,0)+1,0))*100)</f>
        <v>ISO</v>
      </c>
      <c r="O51" s="172" t="str">
        <f>+IF((ROUND(G51-HLOOKUP(G$7,[2]Peugeot!$F$7:$G$86,MATCH($A50,[2]Peugeot!$A$7:$A$86,0)+1,0),3))*100=0,"ISO",(G51-HLOOKUP(G$7,[2]Peugeot!$F$7:$G$86,MATCH($A50,[2]Peugeot!$A$7:$A$86,0)+1,0))*100)</f>
        <v>ISO</v>
      </c>
      <c r="P51" s="171" t="str">
        <f>IF((ROUND(K51-HLOOKUP(K$7,[2]Peugeot!$K$7:$L$86,MATCH($A50,[2]Peugeot!$A$7:$A$86,0)+1,0),3))*100=0,"ISO",(K51-HLOOKUP(K$7,[2]Peugeot!$K$7:$L$86,MATCH($A50,[2]Peugeot!$A$7:$A$86,0)+1,0))*100)</f>
        <v>ISO</v>
      </c>
    </row>
    <row r="52" spans="1:16" s="170" customFormat="1" ht="18" customHeight="1" thickBot="1" x14ac:dyDescent="0.25">
      <c r="A52" s="147"/>
      <c r="B52" s="162"/>
      <c r="C52" s="211"/>
      <c r="D52" s="212"/>
      <c r="E52" s="183" t="s">
        <v>3</v>
      </c>
      <c r="F52" s="184">
        <f>+D50-VLOOKUP(A50,'[1]B2B Red'!$C:$FG,MATCH($A$3,'[1]B2B Red'!$CV$6:$EE$6,0)+97,0)</f>
        <v>3.4999999999999996E-2</v>
      </c>
      <c r="G52" s="185">
        <f>+D50-VLOOKUP(A50,'[1]B2B Red'!$C:$FG,MATCH($A$3,'[1]B2B Red'!$CV$6:$EE$6,0)+98,0)</f>
        <v>4.4999999999999998E-2</v>
      </c>
      <c r="H52" s="184">
        <f>+F52+1%</f>
        <v>4.4999999999999998E-2</v>
      </c>
      <c r="I52" s="185">
        <f>+G52+1%</f>
        <v>5.5E-2</v>
      </c>
      <c r="J52" s="519"/>
      <c r="K52" s="525">
        <f>+D50-VLOOKUP(A50,'[1]B2B Red'!$C:$FG,MATCH($A$3,'[1]B2B Red'!$CV$6:$EE$6,0)+99,0)</f>
        <v>0.06</v>
      </c>
      <c r="L52" s="208"/>
      <c r="N52" s="178" t="str">
        <f>+IF((ROUND(F52-HLOOKUP(F$7,[2]Peugeot!$F$7:$G$86,MATCH($A50,[2]Peugeot!$A$7:$A$86,0)+2,0),3))*100=0,"ISO",(F52-HLOOKUP(F$7,[2]Peugeot!$F$7:$G$86,MATCH($A50,[2]Peugeot!$A$7:$A$86,0)+2,0))*100)</f>
        <v>ISO</v>
      </c>
      <c r="O52" s="179" t="str">
        <f>IF((ROUND(G52-HLOOKUP(G$7,[2]Peugeot!$F$7:$G$86,MATCH($A50,[2]Peugeot!$A$7:$A$86,0)+2,0),3))*100=0,"ISO",(G52-HLOOKUP(G$7,[2]Peugeot!$F$7:$G$86,MATCH($A50,[2]Peugeot!$A$7:$A$86,0)+2,0))*100)</f>
        <v>ISO</v>
      </c>
      <c r="P52" s="178" t="str">
        <f>IF((ROUND(K52-HLOOKUP(K$7,[2]Peugeot!$K$7:$L$86,MATCH($A50,[2]Peugeot!$A$7:$A$86,0)+2,0),3))*100=0,"ISO",(K52-HLOOKUP(K$7,[2]Peugeot!$K$7:$L$86,MATCH($A50,[2]Peugeot!$A$7:$A$86,0)+2,0))*100)</f>
        <v>ISO</v>
      </c>
    </row>
    <row r="53" spans="1:16" s="156" customFormat="1" ht="18" customHeight="1" x14ac:dyDescent="0.2">
      <c r="A53" s="147" t="s">
        <v>50</v>
      </c>
      <c r="B53" s="148"/>
      <c r="C53" s="149" t="s">
        <v>84</v>
      </c>
      <c r="D53" s="150">
        <f>VLOOKUP(A53,[1]Gestión!$D:$H,5,FALSE)</f>
        <v>0.09</v>
      </c>
      <c r="E53" s="151" t="s">
        <v>2</v>
      </c>
      <c r="F53" s="152">
        <f>+VLOOKUP(A53,'[1]B2B Red'!$C:$FG,MATCH($A$3,'[1]B2B Red'!$BG$6:$CU$6,0)+56,0)</f>
        <v>7.9999999999999988E-2</v>
      </c>
      <c r="G53" s="153">
        <f>+VLOOKUP(A53,'[1]B2B Red'!$C:$FG,MATCH($A$3,'[1]B2B Red'!$BG$6:$CU$6,0)+57,0)</f>
        <v>9.9999999999999992E-2</v>
      </c>
      <c r="H53" s="152">
        <f>+F53</f>
        <v>7.9999999999999988E-2</v>
      </c>
      <c r="I53" s="153">
        <f>+G53</f>
        <v>9.9999999999999992E-2</v>
      </c>
      <c r="J53" s="518"/>
      <c r="K53" s="521">
        <f>+VLOOKUP(A53,'[1]B2B Red'!$C:$FG,MATCH($A$3,'[1]B2B Red'!$BG$6:$CU$6,0)+58,0)</f>
        <v>0.14000000000000001</v>
      </c>
      <c r="L53" s="155"/>
      <c r="N53" s="157" t="str">
        <f>IF((F53-VLOOKUP($A53,[2]Peugeot!$A:$L,COLUMNS([2]Peugeot!$A$9:$F$9),0))*100=0,"ISO",(F53-VLOOKUP($A53,[2]Peugeot!$A:$L,COLUMNS([2]Peugeot!$A$9:$F$9),0))*100)</f>
        <v>ISO</v>
      </c>
      <c r="O53" s="158" t="str">
        <f>IF((G53-VLOOKUP($A53,[2]Peugeot!$A:$L,COLUMNS([2]Peugeot!$A$9:$G$9),0))*100=0,"ISO",(G53-VLOOKUP($A53,[2]Peugeot!$A:$L,COLUMNS([2]Peugeot!$A$9:$G$9),0))*100)</f>
        <v>ISO</v>
      </c>
      <c r="P53" s="157" t="str">
        <f>IF((K53-VLOOKUP($A53,[2]Peugeot!$A:$L,COLUMNS([2]Peugeot!$A$9:$K$9),0))*100=0,"ISO",(K53-VLOOKUP($A53,[2]Peugeot!$A:$L,COLUMNS([2]Peugeot!$A$9:$K$9),0))*100)</f>
        <v>ISO</v>
      </c>
    </row>
    <row r="54" spans="1:16" s="170" customFormat="1" ht="18" customHeight="1" x14ac:dyDescent="0.2">
      <c r="A54" s="147"/>
      <c r="B54" s="162"/>
      <c r="C54" s="210"/>
      <c r="D54" s="209"/>
      <c r="E54" s="180" t="s">
        <v>5</v>
      </c>
      <c r="F54" s="181">
        <f>+F53-F55</f>
        <v>4.4999999999999991E-2</v>
      </c>
      <c r="G54" s="182">
        <f t="shared" ref="G54:I54" si="12">+G53-G55</f>
        <v>5.4999999999999993E-2</v>
      </c>
      <c r="H54" s="181">
        <f t="shared" si="12"/>
        <v>3.4999999999999989E-2</v>
      </c>
      <c r="I54" s="182">
        <f t="shared" si="12"/>
        <v>4.4999999999999991E-2</v>
      </c>
      <c r="J54" s="519"/>
      <c r="K54" s="524">
        <f>+K53-K55</f>
        <v>8.0000000000000016E-2</v>
      </c>
      <c r="L54" s="208"/>
      <c r="N54" s="171" t="str">
        <f>+IF((ROUND(F54-HLOOKUP(F$7,[2]Peugeot!$F$7:$G$86,MATCH($A53,[2]Peugeot!$A$7:$A$86,0)+1,0),3))*100=0,"ISO",(F54-HLOOKUP(F$7,[2]Peugeot!$F$7:$G$86,MATCH($A53,[2]Peugeot!$A$7:$A$86,0)+1,0))*100)</f>
        <v>ISO</v>
      </c>
      <c r="O54" s="172" t="str">
        <f>+IF((ROUND(G54-HLOOKUP(G$7,[2]Peugeot!$F$7:$G$86,MATCH($A53,[2]Peugeot!$A$7:$A$86,0)+1,0),3))*100=0,"ISO",(G54-HLOOKUP(G$7,[2]Peugeot!$F$7:$G$86,MATCH($A53,[2]Peugeot!$A$7:$A$86,0)+1,0))*100)</f>
        <v>ISO</v>
      </c>
      <c r="P54" s="171" t="str">
        <f>IF((ROUND(K54-HLOOKUP(K$7,[2]Peugeot!$K$7:$L$86,MATCH($A53,[2]Peugeot!$A$7:$A$86,0)+1,0),3))*100=0,"ISO",(K54-HLOOKUP(K$7,[2]Peugeot!$K$7:$L$86,MATCH($A53,[2]Peugeot!$A$7:$A$86,0)+1,0))*100)</f>
        <v>ISO</v>
      </c>
    </row>
    <row r="55" spans="1:16" s="170" customFormat="1" ht="18" customHeight="1" thickBot="1" x14ac:dyDescent="0.25">
      <c r="A55" s="147"/>
      <c r="B55" s="162"/>
      <c r="C55" s="211"/>
      <c r="D55" s="212"/>
      <c r="E55" s="183" t="s">
        <v>3</v>
      </c>
      <c r="F55" s="184">
        <f>+D53-VLOOKUP(A53,'[1]B2B Red'!$C:$FG,MATCH($A$3,'[1]B2B Red'!$CV$6:$EE$6,0)+97,0)</f>
        <v>3.4999999999999996E-2</v>
      </c>
      <c r="G55" s="185">
        <f>+D53-VLOOKUP(A53,'[1]B2B Red'!$C:$FG,MATCH($A$3,'[1]B2B Red'!$CV$6:$EE$6,0)+98,0)</f>
        <v>4.4999999999999998E-2</v>
      </c>
      <c r="H55" s="184">
        <f>+F55+1%</f>
        <v>4.4999999999999998E-2</v>
      </c>
      <c r="I55" s="185">
        <f>+G55+1%</f>
        <v>5.5E-2</v>
      </c>
      <c r="J55" s="519"/>
      <c r="K55" s="525">
        <f>+D53-VLOOKUP(A53,'[1]B2B Red'!$C:$FG,MATCH($A$3,'[1]B2B Red'!$CV$6:$EE$6,0)+99,0)</f>
        <v>0.06</v>
      </c>
      <c r="L55" s="208"/>
      <c r="N55" s="178" t="str">
        <f>+IF((ROUND(F55-HLOOKUP(F$7,[2]Peugeot!$F$7:$G$86,MATCH($A53,[2]Peugeot!$A$7:$A$86,0)+2,0),3))*100=0,"ISO",(F55-HLOOKUP(F$7,[2]Peugeot!$F$7:$G$86,MATCH($A53,[2]Peugeot!$A$7:$A$86,0)+2,0))*100)</f>
        <v>ISO</v>
      </c>
      <c r="O55" s="179" t="str">
        <f>IF((ROUND(G55-HLOOKUP(G$7,[2]Peugeot!$F$7:$G$86,MATCH($A53,[2]Peugeot!$A$7:$A$86,0)+2,0),3))*100=0,"ISO",(G55-HLOOKUP(G$7,[2]Peugeot!$F$7:$G$86,MATCH($A53,[2]Peugeot!$A$7:$A$86,0)+2,0))*100)</f>
        <v>ISO</v>
      </c>
      <c r="P55" s="178" t="str">
        <f>IF((ROUND(K55-HLOOKUP(K$7,[2]Peugeot!$K$7:$L$86,MATCH($A53,[2]Peugeot!$A$7:$A$86,0)+2,0),3))*100=0,"ISO",(K55-HLOOKUP(K$7,[2]Peugeot!$K$7:$L$86,MATCH($A53,[2]Peugeot!$A$7:$A$86,0)+2,0))*100)</f>
        <v>ISO</v>
      </c>
    </row>
    <row r="56" spans="1:16" ht="6.6" customHeight="1" x14ac:dyDescent="0.2">
      <c r="B56" s="99"/>
      <c r="C56" s="100"/>
      <c r="D56" s="6"/>
      <c r="E56" s="7"/>
      <c r="F56" s="7"/>
      <c r="G56" s="7"/>
      <c r="H56" s="7"/>
      <c r="I56" s="7"/>
      <c r="J56" s="7"/>
      <c r="K56" s="101"/>
      <c r="L56" s="105"/>
    </row>
    <row r="57" spans="1:16" ht="18" customHeight="1" x14ac:dyDescent="0.2">
      <c r="B57" s="99"/>
      <c r="C57" s="664" t="s">
        <v>47</v>
      </c>
      <c r="D57" s="664"/>
      <c r="E57" s="664"/>
      <c r="F57" s="664"/>
      <c r="G57" s="664"/>
      <c r="H57" s="664"/>
      <c r="I57" s="664"/>
      <c r="J57" s="664"/>
      <c r="K57" s="664"/>
      <c r="L57" s="102"/>
    </row>
    <row r="58" spans="1:16" ht="18" customHeight="1" x14ac:dyDescent="0.2">
      <c r="B58" s="99"/>
      <c r="C58" s="664"/>
      <c r="D58" s="664"/>
      <c r="E58" s="664"/>
      <c r="F58" s="664"/>
      <c r="G58" s="664"/>
      <c r="H58" s="664"/>
      <c r="I58" s="664"/>
      <c r="J58" s="664"/>
      <c r="K58" s="664"/>
      <c r="L58" s="102"/>
    </row>
    <row r="59" spans="1:16" ht="18" customHeight="1" x14ac:dyDescent="0.2">
      <c r="B59" s="106"/>
      <c r="C59" s="107"/>
      <c r="D59" s="108"/>
      <c r="E59" s="109"/>
      <c r="F59" s="109"/>
      <c r="G59" s="109"/>
      <c r="H59" s="109"/>
      <c r="I59" s="109"/>
      <c r="J59" s="109"/>
      <c r="K59" s="110"/>
      <c r="L59" s="111"/>
    </row>
    <row r="60" spans="1:16" ht="15" hidden="1" customHeight="1" x14ac:dyDescent="0.2">
      <c r="F60" s="10"/>
      <c r="G60" s="11"/>
    </row>
  </sheetData>
  <mergeCells count="13">
    <mergeCell ref="C57:K58"/>
    <mergeCell ref="P7:P8"/>
    <mergeCell ref="N7:N8"/>
    <mergeCell ref="O7:O8"/>
    <mergeCell ref="C3:K4"/>
    <mergeCell ref="H6:I6"/>
    <mergeCell ref="F6:G6"/>
    <mergeCell ref="F7:F8"/>
    <mergeCell ref="G7:G8"/>
    <mergeCell ref="H7:H8"/>
    <mergeCell ref="I7:I8"/>
    <mergeCell ref="C6:E7"/>
    <mergeCell ref="K7:K8"/>
  </mergeCells>
  <printOptions horizontalCentered="1"/>
  <pageMargins left="0.70866141732283472" right="0.70866141732283472" top="0.74803149606299213" bottom="0.74803149606299213" header="0.31496062992125984" footer="0.31496062992125984"/>
  <pageSetup scale="5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D9D2254-6B08-4078-930E-8BC1A59BF8F1}">
          <x14:formula1>
            <xm:f>MES!$B$2:$B$13</xm:f>
          </x14:formula1>
          <xm:sqref>A3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45709-6FAA-483D-ABD8-673B3A76945C}">
  <sheetPr>
    <tabColor rgb="FFB1A577"/>
    <pageSetUpPr fitToPage="1"/>
  </sheetPr>
  <dimension ref="A1:P51"/>
  <sheetViews>
    <sheetView showGridLines="0" tabSelected="1" zoomScaleNormal="100" zoomScaleSheetLayoutView="100" workbookViewId="0">
      <pane ySplit="8" topLeftCell="A21" activePane="bottomLeft" state="frozen"/>
      <selection activeCell="O7" sqref="O7:Q8"/>
      <selection pane="bottomLeft" activeCell="N33" sqref="N33:P33"/>
    </sheetView>
  </sheetViews>
  <sheetFormatPr baseColWidth="10" defaultColWidth="11.5703125" defaultRowHeight="0" customHeight="1" zeroHeight="1" outlineLevelCol="2" x14ac:dyDescent="0.2"/>
  <cols>
    <col min="1" max="1" width="50.7109375" style="359" hidden="1" customWidth="1" outlineLevel="1"/>
    <col min="2" max="2" width="5.7109375" style="364" customWidth="1" collapsed="1"/>
    <col min="3" max="3" width="50.7109375" style="364" customWidth="1"/>
    <col min="4" max="4" width="13.7109375" style="359" customWidth="1" outlineLevel="2"/>
    <col min="5" max="5" width="10.7109375" style="364" customWidth="1"/>
    <col min="6" max="7" width="13.7109375" style="364" customWidth="1"/>
    <col min="8" max="9" width="13.7109375" style="364" customWidth="1" outlineLevel="2"/>
    <col min="10" max="10" width="1" style="364" customWidth="1"/>
    <col min="11" max="11" width="16.85546875" style="359" customWidth="1"/>
    <col min="12" max="12" width="3" style="359" customWidth="1"/>
    <col min="13" max="13" width="5.7109375" style="364" customWidth="1"/>
    <col min="14" max="16" width="13.7109375" style="364" customWidth="1"/>
    <col min="17" max="17" width="5.7109375" style="364" customWidth="1"/>
    <col min="18" max="20" width="11.5703125" style="364" customWidth="1"/>
    <col min="21" max="16384" width="11.5703125" style="364"/>
  </cols>
  <sheetData>
    <row r="1" spans="1:16" ht="9.9499999999999993" customHeight="1" thickBot="1" x14ac:dyDescent="0.25">
      <c r="B1" s="360"/>
      <c r="C1" s="361"/>
      <c r="D1" s="362"/>
      <c r="E1" s="361"/>
      <c r="F1" s="361"/>
      <c r="G1" s="361"/>
      <c r="H1" s="361"/>
      <c r="I1" s="361"/>
      <c r="J1" s="361"/>
      <c r="K1" s="362"/>
      <c r="L1" s="363"/>
    </row>
    <row r="2" spans="1:16" ht="18" customHeight="1" thickBot="1" x14ac:dyDescent="0.25">
      <c r="A2" s="392" t="s">
        <v>25</v>
      </c>
      <c r="B2" s="365"/>
      <c r="C2" s="365"/>
      <c r="D2" s="366"/>
      <c r="E2" s="393"/>
      <c r="F2" s="393"/>
      <c r="G2" s="393"/>
      <c r="H2" s="393"/>
      <c r="I2" s="393"/>
      <c r="J2" s="365"/>
      <c r="K2" s="366"/>
      <c r="L2" s="367"/>
    </row>
    <row r="3" spans="1:16" ht="18" customHeight="1" thickBot="1" x14ac:dyDescent="0.25">
      <c r="A3" s="368" t="str">
        <f>+Peugeot!A3</f>
        <v>JUNIO</v>
      </c>
      <c r="B3" s="365"/>
      <c r="C3" s="695" t="str">
        <f>"     "&amp;"ACCIONES COMERCIALES B2B RED"&amp;" - "&amp;A3&amp;" 2026"</f>
        <v xml:space="preserve">     ACCIONES COMERCIALES B2B RED - JUNIO 2026</v>
      </c>
      <c r="D3" s="695"/>
      <c r="E3" s="695"/>
      <c r="F3" s="695"/>
      <c r="G3" s="695"/>
      <c r="H3" s="695"/>
      <c r="I3" s="695"/>
      <c r="J3" s="695"/>
      <c r="K3" s="695"/>
      <c r="L3" s="367"/>
    </row>
    <row r="4" spans="1:16" ht="18" customHeight="1" x14ac:dyDescent="0.2">
      <c r="B4" s="369"/>
      <c r="C4" s="695"/>
      <c r="D4" s="695"/>
      <c r="E4" s="695"/>
      <c r="F4" s="695"/>
      <c r="G4" s="695"/>
      <c r="H4" s="695"/>
      <c r="I4" s="695"/>
      <c r="J4" s="695"/>
      <c r="K4" s="695"/>
      <c r="L4" s="367"/>
    </row>
    <row r="5" spans="1:16" ht="9.9499999999999993" customHeight="1" thickBot="1" x14ac:dyDescent="0.25">
      <c r="B5" s="369"/>
      <c r="C5" s="365"/>
      <c r="D5" s="366"/>
      <c r="E5" s="365"/>
      <c r="F5" s="365"/>
      <c r="G5" s="365"/>
      <c r="H5" s="365"/>
      <c r="I5" s="365"/>
      <c r="J5" s="365"/>
      <c r="K5" s="366"/>
      <c r="L5" s="367"/>
    </row>
    <row r="6" spans="1:16" ht="18" customHeight="1" thickBot="1" x14ac:dyDescent="0.25">
      <c r="B6" s="369"/>
      <c r="C6" s="696" t="s">
        <v>0</v>
      </c>
      <c r="D6" s="697"/>
      <c r="E6" s="697"/>
      <c r="F6" s="700" t="s">
        <v>10</v>
      </c>
      <c r="G6" s="701"/>
      <c r="H6" s="702" t="s">
        <v>11</v>
      </c>
      <c r="I6" s="703"/>
      <c r="J6" s="365"/>
      <c r="K6" s="366"/>
      <c r="L6" s="367"/>
    </row>
    <row r="7" spans="1:16" ht="18" customHeight="1" thickBot="1" x14ac:dyDescent="0.25">
      <c r="B7" s="369"/>
      <c r="C7" s="698"/>
      <c r="D7" s="699"/>
      <c r="E7" s="699"/>
      <c r="F7" s="704" t="s">
        <v>6</v>
      </c>
      <c r="G7" s="706" t="s">
        <v>7</v>
      </c>
      <c r="H7" s="708" t="s">
        <v>6</v>
      </c>
      <c r="I7" s="706" t="s">
        <v>7</v>
      </c>
      <c r="J7" s="365"/>
      <c r="K7" s="710" t="s">
        <v>8</v>
      </c>
      <c r="L7" s="367"/>
      <c r="N7" s="688" t="s">
        <v>51</v>
      </c>
      <c r="O7" s="690" t="s">
        <v>52</v>
      </c>
      <c r="P7" s="692" t="s">
        <v>53</v>
      </c>
    </row>
    <row r="8" spans="1:16" ht="18" customHeight="1" thickBot="1" x14ac:dyDescent="0.25">
      <c r="B8" s="369"/>
      <c r="C8" s="394" t="s">
        <v>1</v>
      </c>
      <c r="D8" s="395" t="s">
        <v>12</v>
      </c>
      <c r="E8" s="507" t="s">
        <v>9</v>
      </c>
      <c r="F8" s="705"/>
      <c r="G8" s="707"/>
      <c r="H8" s="709"/>
      <c r="I8" s="707"/>
      <c r="J8" s="370"/>
      <c r="K8" s="711"/>
      <c r="L8" s="367"/>
      <c r="N8" s="689"/>
      <c r="O8" s="691"/>
      <c r="P8" s="693"/>
    </row>
    <row r="9" spans="1:16" s="375" customFormat="1" ht="18" customHeight="1" x14ac:dyDescent="0.2">
      <c r="A9" s="371" t="s">
        <v>111</v>
      </c>
      <c r="B9" s="372"/>
      <c r="C9" s="586" t="s">
        <v>92</v>
      </c>
      <c r="D9" s="396">
        <f>VLOOKUP(A9,[3]Gestión!$D:$H,5,FALSE)</f>
        <v>0.08</v>
      </c>
      <c r="E9" s="397" t="s">
        <v>2</v>
      </c>
      <c r="F9" s="398">
        <f>+VLOOKUP(A9,'[3]B2B Red'!$C:$FG,MATCH($A$3,'[3]B2B Red'!$BG$6:$CU$6,0)+56,0)</f>
        <v>0.12</v>
      </c>
      <c r="G9" s="587">
        <f>+VLOOKUP(A9,'[3]B2B Red'!$C:$FG,MATCH($A$3,'[3]B2B Red'!$BG$6:$CU$6,0)+57,0)</f>
        <v>0.14000000000000001</v>
      </c>
      <c r="H9" s="398">
        <f>+F9</f>
        <v>0.12</v>
      </c>
      <c r="I9" s="399">
        <f>+G9</f>
        <v>0.14000000000000001</v>
      </c>
      <c r="J9" s="549"/>
      <c r="K9" s="551">
        <f>+VLOOKUP(A9,'[3]B2B Red'!$C:$FG,MATCH($A$3,'[3]B2B Red'!$BG$6:$CU$6,0)+58,0)</f>
        <v>0.18</v>
      </c>
      <c r="L9" s="374"/>
      <c r="N9" s="400" t="str">
        <f>IF((F9-VLOOKUP($C9,[2]RAM!$C:$L,COLUMNS([2]RAM!$C$9:$F$9),0))*100=0,"ISO",(F9-VLOOKUP($C9,[2]RAM!$C:$L,COLUMNS([2]RAM!$C$9:$F$9),0))*100)</f>
        <v>ISO</v>
      </c>
      <c r="O9" s="401" t="str">
        <f>IF((G9-VLOOKUP($C9,[2]RAM!$C:$L,COLUMNS([2]RAM!$C$9:$G$9),0))*100=0,"ISO",(G9-VLOOKUP($C9,[2]RAM!$C:$L,COLUMNS([2]RAM!$C$9:$G$9),0))*100)</f>
        <v>ISO</v>
      </c>
      <c r="P9" s="400" t="str">
        <f>IF((K9-VLOOKUP($C9,[2]RAM!$C:$L,COLUMNS([2]RAM!$C$9:$K$9),0))*100=0,"ISO",(K9-VLOOKUP($C9,[2]RAM!$C:$L,COLUMNS([2]RAM!$C$9:$K$9),0))*100)</f>
        <v>ISO</v>
      </c>
    </row>
    <row r="10" spans="1:16" s="379" customFormat="1" ht="18" customHeight="1" thickBot="1" x14ac:dyDescent="0.25">
      <c r="A10" s="376"/>
      <c r="B10" s="377"/>
      <c r="C10" s="588"/>
      <c r="D10" s="402"/>
      <c r="E10" s="403" t="s">
        <v>5</v>
      </c>
      <c r="F10" s="404">
        <f>+F9-F11</f>
        <v>9.5000000000000001E-2</v>
      </c>
      <c r="G10" s="589">
        <f t="shared" ref="G10:I10" si="0">+G9-G11</f>
        <v>0.10500000000000001</v>
      </c>
      <c r="H10" s="404">
        <f t="shared" si="0"/>
        <v>8.4999999999999992E-2</v>
      </c>
      <c r="I10" s="405">
        <f t="shared" si="0"/>
        <v>9.5000000000000001E-2</v>
      </c>
      <c r="J10" s="550"/>
      <c r="K10" s="552">
        <f>+K9-K11</f>
        <v>0.13</v>
      </c>
      <c r="L10" s="378"/>
      <c r="N10" s="406" t="str">
        <f>+IF((ROUND(F10-HLOOKUP(F$7,[2]RAM!$F$7:$G$86,MATCH($C9,[2]RAM!$C$7:$C$86,0)+1,0),3))*100=0,"ISO",(F10-HLOOKUP(F$7,[2]RAM!$F$7:$G$86,MATCH($C9,[2]RAM!$C$7:$C$86,0)+1,0))*100)</f>
        <v>ISO</v>
      </c>
      <c r="O10" s="407" t="str">
        <f>+IF((ROUND(G10-HLOOKUP(G$7,[2]RAM!$F$7:$G$86,MATCH($C9,[2]RAM!$C$7:$C$86,0)+1,0),3))*100=0,"ISO",(G10-HLOOKUP(G$7,[2]RAM!$F$7:$G$86,MATCH($C9,[2]RAM!$C$7:$C$86,0)+1,0))*100)</f>
        <v>ISO</v>
      </c>
      <c r="P10" s="406" t="str">
        <f>IF((ROUND(K10-HLOOKUP(K$7,[2]RAM!$K$7:$L$86,MATCH($C9,[2]RAM!$C$7:$C$86,0)+1,0),3))*100=0,"ISO",(K10-HLOOKUP(K$7,[2]RAM!$K$7:$L$86,MATCH($C9,[2]RAM!$C$7:$C$86,0)+1,0))*100)</f>
        <v>ISO</v>
      </c>
    </row>
    <row r="11" spans="1:16" s="379" customFormat="1" ht="18" customHeight="1" thickBot="1" x14ac:dyDescent="0.25">
      <c r="A11" s="376"/>
      <c r="B11" s="377"/>
      <c r="C11" s="590"/>
      <c r="D11" s="591"/>
      <c r="E11" s="592" t="s">
        <v>3</v>
      </c>
      <c r="F11" s="593">
        <f>+D9-VLOOKUP(A9,'[3]B2B Red'!$C:$FG,MATCH($A$3,'[3]B2B Red'!$CV$6:$EE$6,0)+97,0)</f>
        <v>2.5000000000000001E-2</v>
      </c>
      <c r="G11" s="594">
        <f>+D9-VLOOKUP(A9,'[3]B2B Red'!$C:$FG,MATCH($A$3,'[3]B2B Red'!$CV$6:$EE$6,0)+98,0)</f>
        <v>3.5000000000000003E-2</v>
      </c>
      <c r="H11" s="409">
        <f>+F11+1%</f>
        <v>3.5000000000000003E-2</v>
      </c>
      <c r="I11" s="410">
        <f>+G11+1%</f>
        <v>4.5000000000000005E-2</v>
      </c>
      <c r="J11" s="550"/>
      <c r="K11" s="553">
        <f>+D9-VLOOKUP(A9,'[3]B2B Red'!$C:$FG,MATCH($A$3,'[3]B2B Red'!$CV$6:$EE$6,0)+99,0)</f>
        <v>0.05</v>
      </c>
      <c r="L11" s="378"/>
      <c r="N11" s="411" t="str">
        <f>+IF((ROUND(F11-HLOOKUP(F$7,[2]RAM!$F$7:$G$86,MATCH($C9,[2]RAM!$C$7:$C$86,0)+2,0),3))*100=0,"ISO",(F11-HLOOKUP(F$7,[2]RAM!$F$7:$G$86,MATCH($C9,[2]RAM!$C$7:$C$86,0)+2,0))*100)</f>
        <v>ISO</v>
      </c>
      <c r="O11" s="412" t="str">
        <f>IF((ROUND(G11-HLOOKUP(G$7,[2]RAM!$F$7:$G$86,MATCH($C9,[2]RAM!$C$7:$C$86,0)+2,0),3))*100=0,"ISO",(G11-HLOOKUP(G$7,[2]RAM!$F$7:$G$86,MATCH($C9,[2]RAM!$C$7:$C$86,0)+2,0))*100)</f>
        <v>ISO</v>
      </c>
      <c r="P11" s="411" t="str">
        <f>IF((ROUND(K11-HLOOKUP(K$7,[2]RAM!$K$7:$L$86,MATCH($C9,[2]RAM!$C$7:$C$86,0)+2,0),3))*100=0,"ISO",(K11-HLOOKUP(K$7,[2]RAM!$K$7:$L$86,MATCH($C9,[2]RAM!$C$7:$C$86,0)+2,0))*100)</f>
        <v>ISO</v>
      </c>
    </row>
    <row r="12" spans="1:16" ht="5.0999999999999996" customHeight="1" thickBot="1" x14ac:dyDescent="0.25">
      <c r="B12" s="369"/>
      <c r="C12" s="416"/>
      <c r="D12" s="414"/>
      <c r="E12" s="413"/>
      <c r="F12" s="415"/>
      <c r="G12" s="415"/>
      <c r="H12" s="415"/>
      <c r="I12" s="415"/>
      <c r="J12" s="370"/>
      <c r="K12" s="415"/>
      <c r="L12" s="367"/>
      <c r="N12" s="380"/>
      <c r="O12" s="380"/>
      <c r="P12" s="380"/>
    </row>
    <row r="13" spans="1:16" s="375" customFormat="1" ht="18" customHeight="1" x14ac:dyDescent="0.2">
      <c r="A13" s="371" t="s">
        <v>112</v>
      </c>
      <c r="B13" s="372"/>
      <c r="C13" s="417" t="s">
        <v>143</v>
      </c>
      <c r="D13" s="418">
        <f>VLOOKUP(A13,[3]Gestión!$D:$H,5,FALSE)</f>
        <v>0.1</v>
      </c>
      <c r="E13" s="419" t="s">
        <v>2</v>
      </c>
      <c r="F13" s="420">
        <f>+VLOOKUP(A13,'[3]B2B Red'!$C:$FG,MATCH($A$3,'[3]B2B Red'!$BG$6:$CU$6,0)+56,0)</f>
        <v>0.13</v>
      </c>
      <c r="G13" s="421">
        <f>+VLOOKUP(A13,'[3]B2B Red'!$C:$FG,MATCH($A$3,'[3]B2B Red'!$BG$6:$CU$6,0)+57,0)</f>
        <v>0.15</v>
      </c>
      <c r="H13" s="420">
        <f>+F13</f>
        <v>0.13</v>
      </c>
      <c r="I13" s="421">
        <f>+G13</f>
        <v>0.15</v>
      </c>
      <c r="J13" s="370"/>
      <c r="K13" s="551">
        <f>+VLOOKUP(A13,'[3]B2B Red'!$C:$FG,MATCH($A$3,'[3]B2B Red'!$BG$6:$CU$6,0)+58,0)</f>
        <v>0.17</v>
      </c>
      <c r="L13" s="374"/>
      <c r="N13" s="400">
        <f>IF((F13-VLOOKUP($A13,[2]RAM!$A:$L,COLUMNS([2]RAM!$A$9:$F$9),0))*100=0,"ISO",(F13-VLOOKUP($A13,[2]RAM!$A:$L,COLUMNS([2]RAM!$A$9:$F$9),0))*100)</f>
        <v>-3</v>
      </c>
      <c r="O13" s="401">
        <f>IF((G13-VLOOKUP($A13,[2]RAM!$A:$L,COLUMNS([2]RAM!$A$9:$G$9),0))*100=0,"ISO",(G13-VLOOKUP($A13,[2]RAM!$A:$L,COLUMNS([2]RAM!$A$9:$G$9),0))*100)</f>
        <v>-3</v>
      </c>
      <c r="P13" s="400">
        <f>IF((K13-VLOOKUP($A13,[2]RAM!$A:$L,COLUMNS([2]RAM!$A$9:$K$9),0))*100=0,"ISO",(K13-VLOOKUP($A13,[2]RAM!$A:$L,COLUMNS([2]RAM!$A$9:$K$9),0))*100)</f>
        <v>-3</v>
      </c>
    </row>
    <row r="14" spans="1:16" s="379" customFormat="1" ht="18" customHeight="1" thickBot="1" x14ac:dyDescent="0.25">
      <c r="A14" s="381"/>
      <c r="B14" s="377"/>
      <c r="C14" s="595"/>
      <c r="D14" s="402"/>
      <c r="E14" s="423" t="s">
        <v>5</v>
      </c>
      <c r="F14" s="424">
        <f>+F13-F15</f>
        <v>7.4999999999999997E-2</v>
      </c>
      <c r="G14" s="425">
        <f t="shared" ref="G14:I14" si="1">+G13-G15</f>
        <v>9.4999999999999987E-2</v>
      </c>
      <c r="H14" s="424">
        <f t="shared" si="1"/>
        <v>6.5000000000000002E-2</v>
      </c>
      <c r="I14" s="425">
        <f t="shared" si="1"/>
        <v>8.4999999999999992E-2</v>
      </c>
      <c r="J14" s="370"/>
      <c r="K14" s="554">
        <f>+K13-K15</f>
        <v>0.11000000000000001</v>
      </c>
      <c r="L14" s="378"/>
      <c r="N14" s="406">
        <f>+IF((ROUND(F14-HLOOKUP(F$7,[2]RAM!$F$7:$G$86,MATCH($A13,[2]RAM!$A$7:$A$86,0)+1,0),3))*100=0,"ISO",(F14-HLOOKUP(F$7,[2]RAM!$F$7:$G$86,MATCH($A13,[2]RAM!$A$7:$A$86,0)+1,0))*100)</f>
        <v>-3</v>
      </c>
      <c r="O14" s="407">
        <f>+IF((ROUND(G14-HLOOKUP(G$7,[2]RAM!$F$7:$G$86,MATCH($A13,[2]RAM!$A$7:$A$86,0)+1,0),3))*100=0,"ISO",(G14-HLOOKUP(G$7,[2]RAM!$F$7:$G$86,MATCH($A13,[2]RAM!$A$7:$A$86,0)+1,0))*100)</f>
        <v>-3</v>
      </c>
      <c r="P14" s="406">
        <f>IF((ROUND(K14-HLOOKUP(K$7,[2]RAM!$K$7:$L$86,MATCH($A13,[2]RAM!$A$7:$A$86,0)+1,0),3))*100=0,"ISO",(K14-HLOOKUP(K$7,[2]RAM!$K$7:$L$86,MATCH($A13,[2]RAM!$A$7:$A$86,0)+1,0))*100)</f>
        <v>-3</v>
      </c>
    </row>
    <row r="15" spans="1:16" s="379" customFormat="1" ht="18" customHeight="1" thickBot="1" x14ac:dyDescent="0.25">
      <c r="A15" s="381"/>
      <c r="B15" s="377"/>
      <c r="C15" s="426"/>
      <c r="D15" s="427"/>
      <c r="E15" s="428" t="s">
        <v>3</v>
      </c>
      <c r="F15" s="429">
        <f>+D13-VLOOKUP(A13,'[3]B2B Red'!$C:$FG,MATCH($A$3,'[3]B2B Red'!$CV$6:$EE$6,0)+97,0)</f>
        <v>5.5000000000000007E-2</v>
      </c>
      <c r="G15" s="430">
        <f>+D13-VLOOKUP(A13,'[3]B2B Red'!$C:$FG,MATCH($A$3,'[3]B2B Red'!$CV$6:$EE$6,0)+98,0)</f>
        <v>5.5000000000000007E-2</v>
      </c>
      <c r="H15" s="429">
        <f>+F15+1%</f>
        <v>6.5000000000000002E-2</v>
      </c>
      <c r="I15" s="430">
        <f>+G15+1%</f>
        <v>6.5000000000000002E-2</v>
      </c>
      <c r="J15" s="370"/>
      <c r="K15" s="555">
        <f>+D13-VLOOKUP(A13,'[3]B2B Red'!$C:$FG,MATCH($A$3,'[3]B2B Red'!$CV$6:$EE$6,0)+99,0)</f>
        <v>6.0000000000000005E-2</v>
      </c>
      <c r="L15" s="378"/>
      <c r="N15" s="411" t="str">
        <f>+IF((ROUND(F15-HLOOKUP(F$7,[2]RAM!$F$7:$G$86,MATCH($A13,[2]RAM!$A$7:$A$86,0)+2,0),3))*100=0,"ISO",(F15-HLOOKUP(F$7,[2]RAM!$F$7:$G$86,MATCH($A13,[2]RAM!$A$7:$A$86,0)+2,0))*100)</f>
        <v>ISO</v>
      </c>
      <c r="O15" s="412" t="str">
        <f>+IF((ROUND(G15-HLOOKUP(G$7,[2]RAM!$F$7:$G$86,MATCH($A13,[2]RAM!$A$7:$A$86,0)+2,0),3))*100=0,"ISO",(G15-HLOOKUP(G$7,[2]RAM!$F$7:$G$86,MATCH($A13,[2]RAM!$A$7:$A$86,0)+2,0))*100)</f>
        <v>ISO</v>
      </c>
      <c r="P15" s="411" t="str">
        <f>IF((ROUND(K15-HLOOKUP(K$7,[2]RAM!$K$7:$L$86,MATCH($A13,[2]RAM!$A$7:$A$86,0)+2,0),3))*100=0,"ISO",(K15-HLOOKUP(K$7,[2]RAM!$K$7:$L$86,MATCH($A13,[2]RAM!$A$7:$A$86,0)+2,0))*100)</f>
        <v>ISO</v>
      </c>
    </row>
    <row r="16" spans="1:16" ht="4.5" customHeight="1" thickBot="1" x14ac:dyDescent="0.25">
      <c r="B16" s="369"/>
      <c r="C16" s="416"/>
      <c r="D16" s="414"/>
      <c r="E16" s="413"/>
      <c r="F16" s="415"/>
      <c r="G16" s="415"/>
      <c r="H16" s="415"/>
      <c r="I16" s="415"/>
      <c r="J16" s="370"/>
      <c r="K16" s="415"/>
      <c r="L16" s="367"/>
      <c r="N16" s="380"/>
      <c r="O16" s="380"/>
      <c r="P16" s="380"/>
    </row>
    <row r="17" spans="1:16" s="375" customFormat="1" ht="18" customHeight="1" x14ac:dyDescent="0.2">
      <c r="A17" s="371" t="s">
        <v>135</v>
      </c>
      <c r="B17" s="372"/>
      <c r="C17" s="417" t="s">
        <v>133</v>
      </c>
      <c r="D17" s="418">
        <f>VLOOKUP(A17,[3]Gestión!$D:$H,5,FALSE)</f>
        <v>0.1</v>
      </c>
      <c r="E17" s="419" t="s">
        <v>2</v>
      </c>
      <c r="F17" s="420">
        <f>+VLOOKUP(A17,'[3]B2B Red'!$C:$FG,MATCH($A$3,'[3]B2B Red'!$BG$6:$CU$6,0)+56,0)</f>
        <v>0.15</v>
      </c>
      <c r="G17" s="421">
        <f>+VLOOKUP(A17,'[3]B2B Red'!$C:$FG,MATCH($A$3,'[3]B2B Red'!$BG$6:$CU$6,0)+57,0)</f>
        <v>0.17</v>
      </c>
      <c r="H17" s="420">
        <f>+F17</f>
        <v>0.15</v>
      </c>
      <c r="I17" s="421">
        <f>+G17</f>
        <v>0.17</v>
      </c>
      <c r="J17" s="370"/>
      <c r="K17" s="551">
        <f>+VLOOKUP(A17,'[3]B2B Red'!$C:$FG,MATCH($A$3,'[3]B2B Red'!$BG$6:$CU$6,0)+58,0)</f>
        <v>0.19</v>
      </c>
      <c r="L17" s="374"/>
      <c r="N17" s="400">
        <f>IF((F17-VLOOKUP($A13,[2]RAM!$A:$L,COLUMNS([2]RAM!$A$9:$F$9),0))*100=0,"ISO",(F17-VLOOKUP($A13,[2]RAM!$A:$L,COLUMNS([2]RAM!$A$9:$F$9),0))*100)</f>
        <v>-1.0000000000000009</v>
      </c>
      <c r="O17" s="401">
        <f>IF((G17-VLOOKUP($A13,[2]RAM!$A:$L,COLUMNS([2]RAM!$A$9:$G$9),0))*100=0,"ISO",(G17-VLOOKUP($A13,[2]RAM!$A:$L,COLUMNS([2]RAM!$A$9:$G$9),0))*100)</f>
        <v>-0.99999999999999811</v>
      </c>
      <c r="P17" s="400">
        <f>IF((K17-VLOOKUP($A13,[2]RAM!$A:$L,COLUMNS([2]RAM!$A$9:$K$9),0))*100=0,"ISO",(K17-VLOOKUP($A13,[2]RAM!$A:$L,COLUMNS([2]RAM!$A$9:$K$9),0))*100)</f>
        <v>-1.0000000000000009</v>
      </c>
    </row>
    <row r="18" spans="1:16" s="379" customFormat="1" ht="18" customHeight="1" thickBot="1" x14ac:dyDescent="0.25">
      <c r="A18" s="381"/>
      <c r="B18" s="377"/>
      <c r="C18" s="595"/>
      <c r="D18" s="402"/>
      <c r="E18" s="423" t="s">
        <v>5</v>
      </c>
      <c r="F18" s="424">
        <f>+F17-F19</f>
        <v>9.4999999999999987E-2</v>
      </c>
      <c r="G18" s="425">
        <f t="shared" ref="G18:I18" si="2">+G17-G19</f>
        <v>0.115</v>
      </c>
      <c r="H18" s="424">
        <f t="shared" si="2"/>
        <v>8.4999999999999992E-2</v>
      </c>
      <c r="I18" s="425">
        <f t="shared" si="2"/>
        <v>0.10500000000000001</v>
      </c>
      <c r="J18" s="370"/>
      <c r="K18" s="554">
        <f>+K17-K19</f>
        <v>0.13</v>
      </c>
      <c r="L18" s="378"/>
      <c r="N18" s="406">
        <f>+IF((ROUND(F18-HLOOKUP(F$7,[2]RAM!$F$7:$G$86,MATCH($A13,[2]RAM!$A$7:$A$86,0)+1,0),3))*100=0,"ISO",(F18-HLOOKUP(F$7,[2]RAM!$F$7:$G$86,MATCH($A13,[2]RAM!$A$7:$A$86,0)+1,0))*100)</f>
        <v>-1.0000000000000009</v>
      </c>
      <c r="O18" s="407">
        <f>+IF((ROUND(G18-HLOOKUP(G$7,[2]RAM!$F$7:$G$86,MATCH($A13,[2]RAM!$A$7:$A$86,0)+1,0),3))*100=0,"ISO",(G18-HLOOKUP(G$7,[2]RAM!$F$7:$G$86,MATCH($A13,[2]RAM!$A$7:$A$86,0)+1,0))*100)</f>
        <v>-0.99999999999999811</v>
      </c>
      <c r="P18" s="406">
        <f>IF((ROUND(K18-HLOOKUP(K$7,[2]RAM!$K$7:$L$86,MATCH($A13,[2]RAM!$A$7:$A$86,0)+1,0),3))*100=0,"ISO",(K18-HLOOKUP(K$7,[2]RAM!$K$7:$L$86,MATCH($A13,[2]RAM!$A$7:$A$86,0)+1,0))*100)</f>
        <v>-1.0000000000000009</v>
      </c>
    </row>
    <row r="19" spans="1:16" s="379" customFormat="1" ht="18" customHeight="1" thickBot="1" x14ac:dyDescent="0.25">
      <c r="A19" s="381"/>
      <c r="B19" s="377"/>
      <c r="C19" s="426"/>
      <c r="D19" s="427"/>
      <c r="E19" s="428" t="s">
        <v>3</v>
      </c>
      <c r="F19" s="429">
        <f>+D17-VLOOKUP(A17,'[3]B2B Red'!$C:$FG,MATCH($A$3,'[3]B2B Red'!$CV$6:$EE$6,0)+97,0)</f>
        <v>5.5000000000000007E-2</v>
      </c>
      <c r="G19" s="430">
        <f>+D17-VLOOKUP(A17,'[3]B2B Red'!$C:$FG,MATCH($A$3,'[3]B2B Red'!$CV$6:$EE$6,0)+98,0)</f>
        <v>5.5000000000000007E-2</v>
      </c>
      <c r="H19" s="429">
        <f>+F19+1%</f>
        <v>6.5000000000000002E-2</v>
      </c>
      <c r="I19" s="430">
        <f>+G19+1%</f>
        <v>6.5000000000000002E-2</v>
      </c>
      <c r="J19" s="370"/>
      <c r="K19" s="555">
        <f>+D17-VLOOKUP(A17,'[3]B2B Red'!$C:$FG,MATCH($A$3,'[3]B2B Red'!$CV$6:$EE$6,0)+99,0)</f>
        <v>6.0000000000000005E-2</v>
      </c>
      <c r="L19" s="378"/>
      <c r="N19" s="411" t="str">
        <f>+IF((ROUND(F19-HLOOKUP(F$7,[2]RAM!$F$7:$G$86,MATCH($A13,[2]RAM!$A$7:$A$86,0)+2,0),3))*100=0,"ISO",(F19-HLOOKUP(F$7,[2]RAM!$F$7:$G$86,MATCH($A13,[2]RAM!$A$7:$A$86,0)+2,0))*100)</f>
        <v>ISO</v>
      </c>
      <c r="O19" s="412" t="str">
        <f>+IF((ROUND(G19-HLOOKUP(G$7,[2]RAM!$F$7:$G$86,MATCH($A13,[2]RAM!$A$7:$A$86,0)+2,0),3))*100=0,"ISO",(G19-HLOOKUP(G$7,[2]RAM!$F$7:$G$86,MATCH($A13,[2]RAM!$A$7:$A$86,0)+2,0))*100)</f>
        <v>ISO</v>
      </c>
      <c r="P19" s="411" t="str">
        <f>IF((ROUND(K19-HLOOKUP(K$7,[2]RAM!$K$7:$L$86,MATCH($A13,[2]RAM!$A$7:$A$86,0)+2,0),3))*100=0,"ISO",(K19-HLOOKUP(K$7,[2]RAM!$K$7:$L$86,MATCH($A13,[2]RAM!$A$7:$A$86,0)+2,0))*100)</f>
        <v>ISO</v>
      </c>
    </row>
    <row r="20" spans="1:16" ht="5.0999999999999996" customHeight="1" thickBot="1" x14ac:dyDescent="0.25">
      <c r="B20" s="369"/>
      <c r="C20" s="416"/>
      <c r="D20" s="414"/>
      <c r="E20" s="413"/>
      <c r="F20" s="415"/>
      <c r="G20" s="415"/>
      <c r="H20" s="415"/>
      <c r="I20" s="415"/>
      <c r="J20" s="370"/>
      <c r="K20" s="415"/>
      <c r="L20" s="367"/>
      <c r="N20" s="380"/>
      <c r="O20" s="380"/>
      <c r="P20" s="380"/>
    </row>
    <row r="21" spans="1:16" s="375" customFormat="1" ht="18" customHeight="1" x14ac:dyDescent="0.2">
      <c r="A21" s="371" t="s">
        <v>136</v>
      </c>
      <c r="B21" s="372"/>
      <c r="C21" s="417" t="s">
        <v>134</v>
      </c>
      <c r="D21" s="418">
        <f>VLOOKUP(A21,[3]Gestión!$D:$H,5,FALSE)</f>
        <v>0.1</v>
      </c>
      <c r="E21" s="419" t="s">
        <v>2</v>
      </c>
      <c r="F21" s="420">
        <f>+VLOOKUP(A21,'[3]B2B Red'!$C:$FG,MATCH($A$3,'[3]B2B Red'!$BG$6:$CU$6,0)+56,0)</f>
        <v>0.16</v>
      </c>
      <c r="G21" s="421">
        <f>+VLOOKUP(A21,'[3]B2B Red'!$C:$FG,MATCH($A$3,'[3]B2B Red'!$BG$6:$CU$6,0)+57,0)</f>
        <v>0.18</v>
      </c>
      <c r="H21" s="420">
        <f>+F21</f>
        <v>0.16</v>
      </c>
      <c r="I21" s="421">
        <f>+G21</f>
        <v>0.18</v>
      </c>
      <c r="J21" s="370"/>
      <c r="K21" s="551">
        <f>+VLOOKUP(A21,'[3]B2B Red'!$C:$FG,MATCH($A$3,'[3]B2B Red'!$BG$6:$CU$6,0)+58,0)</f>
        <v>0.2</v>
      </c>
      <c r="L21" s="374"/>
      <c r="N21" s="400" t="str">
        <f>IF((F21-VLOOKUP($A13,[2]RAM!$A:$L,COLUMNS([2]RAM!$A$9:$F$9),0))*100=0,"ISO",(F21-VLOOKUP($A13,[2]RAM!$A:$L,COLUMNS([2]RAM!$A$9:$F$9),0))*100)</f>
        <v>ISO</v>
      </c>
      <c r="O21" s="401" t="str">
        <f>IF((G21-VLOOKUP($A13,[2]RAM!$A:$L,COLUMNS([2]RAM!$A$9:$G$9),0))*100=0,"ISO",(G21-VLOOKUP($A13,[2]RAM!$A:$L,COLUMNS([2]RAM!$A$9:$G$9),0))*100)</f>
        <v>ISO</v>
      </c>
      <c r="P21" s="400" t="str">
        <f>IF((K21-VLOOKUP($A13,[2]RAM!$A:$L,COLUMNS([2]RAM!$A$9:$K$9),0))*100=0,"ISO",(K21-VLOOKUP($A13,[2]RAM!$A:$L,COLUMNS([2]RAM!$A$9:$K$9),0))*100)</f>
        <v>ISO</v>
      </c>
    </row>
    <row r="22" spans="1:16" s="379" customFormat="1" ht="18" customHeight="1" thickBot="1" x14ac:dyDescent="0.25">
      <c r="A22" s="381"/>
      <c r="B22" s="377"/>
      <c r="C22" s="595"/>
      <c r="D22" s="402"/>
      <c r="E22" s="423" t="s">
        <v>5</v>
      </c>
      <c r="F22" s="424">
        <f>+F21-F23</f>
        <v>0.105</v>
      </c>
      <c r="G22" s="425">
        <f t="shared" ref="G22:I22" si="3">+G21-G23</f>
        <v>0.12499999999999999</v>
      </c>
      <c r="H22" s="424">
        <f t="shared" si="3"/>
        <v>9.5000000000000001E-2</v>
      </c>
      <c r="I22" s="425">
        <f t="shared" si="3"/>
        <v>0.11499999999999999</v>
      </c>
      <c r="J22" s="370"/>
      <c r="K22" s="554">
        <f>+K21-K23</f>
        <v>0.14000000000000001</v>
      </c>
      <c r="L22" s="378"/>
      <c r="N22" s="406" t="str">
        <f>+IF((ROUND(F22-HLOOKUP(F$7,[2]RAM!$F$7:$G$86,MATCH($A13,[2]RAM!$A$7:$A$86,0)+1,0),3))*100=0,"ISO",(F22-HLOOKUP(F$7,[2]RAM!$F$7:$G$86,MATCH($A13,[2]RAM!$A$7:$A$86,0)+1,0))*100)</f>
        <v>ISO</v>
      </c>
      <c r="O22" s="407" t="str">
        <f>+IF((ROUND(G22-HLOOKUP(G$7,[2]RAM!$F$7:$G$86,MATCH($A13,[2]RAM!$A$7:$A$86,0)+1,0),3))*100=0,"ISO",(G22-HLOOKUP(G$7,[2]RAM!$F$7:$G$86,MATCH($A13,[2]RAM!$A$7:$A$86,0)+1,0))*100)</f>
        <v>ISO</v>
      </c>
      <c r="P22" s="406" t="str">
        <f>IF((ROUND(K22-HLOOKUP(K$7,[2]RAM!$K$7:$L$86,MATCH($A13,[2]RAM!$A$7:$A$86,0)+1,0),3))*100=0,"ISO",(K22-HLOOKUP(K$7,[2]RAM!$K$7:$L$86,MATCH($A13,[2]RAM!$A$7:$A$86,0)+1,0))*100)</f>
        <v>ISO</v>
      </c>
    </row>
    <row r="23" spans="1:16" s="379" customFormat="1" ht="18" customHeight="1" thickBot="1" x14ac:dyDescent="0.25">
      <c r="A23" s="381"/>
      <c r="B23" s="377"/>
      <c r="C23" s="426"/>
      <c r="D23" s="427"/>
      <c r="E23" s="428" t="s">
        <v>3</v>
      </c>
      <c r="F23" s="429">
        <f>+D21-VLOOKUP(A21,'[3]B2B Red'!$C:$FG,MATCH($A$3,'[3]B2B Red'!$CV$6:$EE$6,0)+97,0)</f>
        <v>5.5000000000000007E-2</v>
      </c>
      <c r="G23" s="430">
        <f>+D21-VLOOKUP(A21,'[3]B2B Red'!$C:$FG,MATCH($A$3,'[3]B2B Red'!$CV$6:$EE$6,0)+98,0)</f>
        <v>5.5000000000000007E-2</v>
      </c>
      <c r="H23" s="429">
        <f>+F23+1%</f>
        <v>6.5000000000000002E-2</v>
      </c>
      <c r="I23" s="430">
        <f>+G23+1%</f>
        <v>6.5000000000000002E-2</v>
      </c>
      <c r="J23" s="370"/>
      <c r="K23" s="555">
        <f>+D21-VLOOKUP(A21,'[3]B2B Red'!$C:$FG,MATCH($A$3,'[3]B2B Red'!$CV$6:$EE$6,0)+99,0)</f>
        <v>6.0000000000000005E-2</v>
      </c>
      <c r="L23" s="378"/>
      <c r="N23" s="411" t="str">
        <f>+IF((ROUND(F23-HLOOKUP(F$7,[2]RAM!$F$7:$G$86,MATCH($A13,[2]RAM!$A$7:$A$86,0)+2,0),3))*100=0,"ISO",(F23-HLOOKUP(F$7,[2]RAM!$F$7:$G$86,MATCH($A13,[2]RAM!$A$7:$A$86,0)+2,0))*100)</f>
        <v>ISO</v>
      </c>
      <c r="O23" s="412" t="str">
        <f>+IF((ROUND(G23-HLOOKUP(G$7,[2]RAM!$F$7:$G$86,MATCH($A13,[2]RAM!$A$7:$A$86,0)+2,0),3))*100=0,"ISO",(G23-HLOOKUP(G$7,[2]RAM!$F$7:$G$86,MATCH($A13,[2]RAM!$A$7:$A$86,0)+2,0))*100)</f>
        <v>ISO</v>
      </c>
      <c r="P23" s="411" t="str">
        <f>IF((ROUND(K23-HLOOKUP(K$7,[2]RAM!$K$7:$L$86,MATCH($A13,[2]RAM!$A$7:$A$86,0)+2,0),3))*100=0,"ISO",(K23-HLOOKUP(K$7,[2]RAM!$K$7:$L$86,MATCH($A13,[2]RAM!$A$7:$A$86,0)+2,0))*100)</f>
        <v>ISO</v>
      </c>
    </row>
    <row r="24" spans="1:16" ht="5.0999999999999996" customHeight="1" thickBot="1" x14ac:dyDescent="0.25">
      <c r="B24" s="369"/>
      <c r="C24" s="416"/>
      <c r="D24" s="414"/>
      <c r="E24" s="413"/>
      <c r="F24" s="415"/>
      <c r="G24" s="415"/>
      <c r="H24" s="415"/>
      <c r="I24" s="415"/>
      <c r="J24" s="370"/>
      <c r="K24" s="415"/>
      <c r="L24" s="367"/>
      <c r="N24" s="380"/>
      <c r="O24" s="380"/>
      <c r="P24" s="380"/>
    </row>
    <row r="25" spans="1:16" s="375" customFormat="1" ht="18" customHeight="1" x14ac:dyDescent="0.2">
      <c r="A25" s="371" t="s">
        <v>132</v>
      </c>
      <c r="B25" s="372"/>
      <c r="C25" s="417" t="s">
        <v>131</v>
      </c>
      <c r="D25" s="418">
        <f>VLOOKUP(A25,[3]Gestión!$D:$H,5,FALSE)</f>
        <v>0.1</v>
      </c>
      <c r="E25" s="419" t="s">
        <v>2</v>
      </c>
      <c r="F25" s="420">
        <f>+VLOOKUP(A25,'[3]B2B Red'!$C:$FG,MATCH($A$3,'[3]B2B Red'!$BG$6:$CU$6,0)+56,0)</f>
        <v>0.12</v>
      </c>
      <c r="G25" s="421">
        <f>+VLOOKUP(A25,'[3]B2B Red'!$C:$FG,MATCH($A$3,'[3]B2B Red'!$BG$6:$CU$6,0)+57,0)</f>
        <v>0.16</v>
      </c>
      <c r="H25" s="420">
        <f>+F25</f>
        <v>0.12</v>
      </c>
      <c r="I25" s="421">
        <f>+G25</f>
        <v>0.16</v>
      </c>
      <c r="J25" s="370"/>
      <c r="K25" s="551">
        <f>+VLOOKUP(A25,'[3]B2B Red'!$C:$FG,MATCH($A$3,'[3]B2B Red'!$BG$6:$CU$6,0)+58,0)</f>
        <v>0.18</v>
      </c>
      <c r="L25" s="374"/>
      <c r="N25" s="400" t="str">
        <f>IFERROR(IF((F25-VLOOKUP($A25,[2]RAM!$A:$L,COLUMNS([2]RAM!$A$9:$F$9),0))*100=0,"ISO",(F25-VLOOKUP($A25,[2]RAM!$A:$L,COLUMNS([2]RAM!$A$9:$F$9),0))*100),"N/A")</f>
        <v>ISO</v>
      </c>
      <c r="O25" s="401" t="str">
        <f>IFERROR(IF((G25-VLOOKUP($A25,[2]RAM!$A:$L,COLUMNS([2]RAM!$A$9:$G$9),0))*100=0,"ISO",(G25-VLOOKUP($A25,[2]RAM!$A:$L,COLUMNS([2]RAM!$A$9:$G$9),0))*100),"N/A")</f>
        <v>ISO</v>
      </c>
      <c r="P25" s="400" t="str">
        <f>IFERROR(IF((K25-VLOOKUP($A25,[2]RAM!$A:$L,COLUMNS([2]RAM!$A$9:$K$9),0))*100=0,"ISO",(K25-VLOOKUP($A25,[2]RAM!$A:$L,COLUMNS([2]RAM!$A$9:$K$9),0))*100),"N/A")</f>
        <v>ISO</v>
      </c>
    </row>
    <row r="26" spans="1:16" s="379" customFormat="1" ht="18" customHeight="1" thickBot="1" x14ac:dyDescent="0.25">
      <c r="A26" s="381"/>
      <c r="B26" s="377"/>
      <c r="C26" s="595"/>
      <c r="D26" s="402"/>
      <c r="E26" s="423" t="s">
        <v>5</v>
      </c>
      <c r="F26" s="424">
        <f>+F25-F27</f>
        <v>6.9999999999999993E-2</v>
      </c>
      <c r="G26" s="425">
        <f t="shared" ref="G26:I26" si="4">+G25-G27</f>
        <v>0.105</v>
      </c>
      <c r="H26" s="424">
        <f t="shared" si="4"/>
        <v>5.9999999999999991E-2</v>
      </c>
      <c r="I26" s="425">
        <f t="shared" si="4"/>
        <v>9.5000000000000001E-2</v>
      </c>
      <c r="J26" s="370"/>
      <c r="K26" s="554">
        <f>+K25-K27</f>
        <v>0.12</v>
      </c>
      <c r="L26" s="378"/>
      <c r="N26" s="406" t="str">
        <f>IFERROR(IF((ROUND(F26-HLOOKUP(F$7,[2]RAM!$F$7:$G$86,MATCH($A25,[2]RAM!$A$7:$A$86,0)+1,0),3))*100=0,"ISO",(F26-HLOOKUP(F$7,[2]RAM!$F$7:$G$86,MATCH($A25,[2]RAM!$A$7:$A$86,0)+1,0))*100),"N/A")</f>
        <v>ISO</v>
      </c>
      <c r="O26" s="407" t="str">
        <f>IFERROR(IF((ROUND(G26-HLOOKUP(G$7,[2]RAM!$F$7:$G$86,MATCH($A25,[2]RAM!$A$7:$A$86,0)+1,0),3))*100=0,"ISO",(G26-HLOOKUP(G$7,[2]RAM!$F$7:$G$86,MATCH($A25,[2]RAM!$A$7:$A$86,0)+1,0))*100),"N/A")</f>
        <v>ISO</v>
      </c>
      <c r="P26" s="406" t="str">
        <f>IFERROR(IF((ROUND(K26-HLOOKUP(K$7,[2]RAM!$K$7:$L$86,MATCH($A25,[2]RAM!$A$7:$A$86,0)+1,0),3))*100=0,"ISO",(K26-HLOOKUP(K$7,[2]RAM!$K$7:$L$86,MATCH($A25,[2]RAM!$A$7:$A$86,0)+1,0))*100),"N/A")</f>
        <v>ISO</v>
      </c>
    </row>
    <row r="27" spans="1:16" s="379" customFormat="1" ht="18" customHeight="1" thickBot="1" x14ac:dyDescent="0.25">
      <c r="A27" s="381"/>
      <c r="B27" s="377"/>
      <c r="C27" s="426"/>
      <c r="D27" s="427"/>
      <c r="E27" s="428" t="s">
        <v>3</v>
      </c>
      <c r="F27" s="429">
        <f>+D25-VLOOKUP(A25,'[3]B2B Red'!$C:$FG,MATCH($A$3,'[3]B2B Red'!$CV$6:$EE$6,0)+97,0)</f>
        <v>0.05</v>
      </c>
      <c r="G27" s="430">
        <f>+D25-VLOOKUP(A25,'[3]B2B Red'!$C:$FG,MATCH($A$3,'[3]B2B Red'!$CV$6:$EE$6,0)+98,0)</f>
        <v>5.5000000000000007E-2</v>
      </c>
      <c r="H27" s="429">
        <f>+F27+1%</f>
        <v>6.0000000000000005E-2</v>
      </c>
      <c r="I27" s="430">
        <f>+G27+1%</f>
        <v>6.5000000000000002E-2</v>
      </c>
      <c r="J27" s="370"/>
      <c r="K27" s="555">
        <f>+D25-VLOOKUP(A25,'[3]B2B Red'!$C:$FG,MATCH($A$3,'[3]B2B Red'!$CV$6:$EE$6,0)+99,0)</f>
        <v>6.0000000000000005E-2</v>
      </c>
      <c r="L27" s="378"/>
      <c r="N27" s="411" t="str">
        <f>IFERROR(IF((ROUND(F27-HLOOKUP(F$7,[2]RAM!$F$7:$G$86,MATCH($A26,[2]RAM!$A$7:$A$86,0)+1,0),3))*100=0,"ISO",(F27-HLOOKUP(F$7,[2]RAM!$F$7:$G$86,MATCH($A26,[2]RAM!$A$7:$A$86,0)+1,0))*100),"N/A")</f>
        <v>N/A</v>
      </c>
      <c r="O27" s="412" t="str">
        <f>IFERROR(IF((ROUND(G27-HLOOKUP(G$7,[2]RAM!$F$7:$G$86,MATCH($A26,[2]RAM!$A$7:$A$86,0)+1,0),3))*100=0,"ISO",(G27-HLOOKUP(G$7,[2]RAM!$F$7:$G$86,MATCH($A26,[2]RAM!$A$7:$A$86,0)+1,0))*100),"N/A")</f>
        <v>N/A</v>
      </c>
      <c r="P27" s="411" t="str">
        <f>IFERROR(IF((ROUND(K27-HLOOKUP(K$7,[2]RAM!$K$7:$L$86,MATCH($A26,[2]RAM!$A$7:$A$86,0)+1,0),3))*100=0,"ISO",(K27-HLOOKUP(K$7,[2]RAM!$K$7:$L$86,MATCH($A26,[2]RAM!$A$7:$A$86,0)+1,0))*100),"N/A")</f>
        <v>N/A</v>
      </c>
    </row>
    <row r="28" spans="1:16" s="379" customFormat="1" ht="5.0999999999999996" customHeight="1" thickBot="1" x14ac:dyDescent="0.25">
      <c r="A28" s="371"/>
      <c r="B28" s="377"/>
      <c r="C28" s="443"/>
      <c r="D28" s="557"/>
      <c r="E28" s="558"/>
      <c r="F28" s="404"/>
      <c r="G28" s="404"/>
      <c r="H28" s="404"/>
      <c r="I28" s="404"/>
      <c r="J28" s="383"/>
      <c r="K28" s="404"/>
      <c r="L28" s="378"/>
    </row>
    <row r="29" spans="1:16" s="375" customFormat="1" ht="18" customHeight="1" x14ac:dyDescent="0.2">
      <c r="A29" s="371" t="s">
        <v>113</v>
      </c>
      <c r="B29" s="372"/>
      <c r="C29" s="417" t="s">
        <v>137</v>
      </c>
      <c r="D29" s="418">
        <v>0.12</v>
      </c>
      <c r="E29" s="419" t="s">
        <v>2</v>
      </c>
      <c r="F29" s="420">
        <f>+VLOOKUP(A29,'[3]B2B Red'!$C:$FG,MATCH($A$3,'[3]B2B Red'!$BG$6:$CU$6,0)+56,0)</f>
        <v>0.16</v>
      </c>
      <c r="G29" s="421">
        <f>+VLOOKUP(A29,'[3]B2B Red'!$C:$FG,MATCH($A$3,'[3]B2B Red'!$BG$6:$CU$6,0)+57,0)</f>
        <v>0.18</v>
      </c>
      <c r="H29" s="420">
        <f>+F29</f>
        <v>0.16</v>
      </c>
      <c r="I29" s="421">
        <f>+G29</f>
        <v>0.18</v>
      </c>
      <c r="J29" s="370"/>
      <c r="K29" s="551">
        <f>+VLOOKUP(A29,'[3]B2B Red'!$C:$FG,MATCH($A$3,'[3]B2B Red'!$BG$6:$CU$6,0)+58,0)</f>
        <v>0.2</v>
      </c>
      <c r="L29" s="374"/>
      <c r="N29" s="400" t="str">
        <f>IF((F29-VLOOKUP($A29,[2]RAM!$A:$L,COLUMNS([2]RAM!$A$9:$F$9),0))*100=0,"ISO",(F29-VLOOKUP($A29,[2]RAM!$A:$L,COLUMNS([2]RAM!$A$9:$F$9),0))*100)</f>
        <v>ISO</v>
      </c>
      <c r="O29" s="401" t="str">
        <f>IF((G29-VLOOKUP($A29,[2]RAM!$A:$L,COLUMNS([2]RAM!$A$9:$G$9),0))*100=0,"ISO",(G29-VLOOKUP($A29,[2]RAM!$A:$L,COLUMNS([2]RAM!$A$9:$G$9),0))*100)</f>
        <v>ISO</v>
      </c>
      <c r="P29" s="400" t="str">
        <f>IF((K29-VLOOKUP($A29,[2]RAM!$A:$L,COLUMNS([2]RAM!$A$9:$K$9),0))*100=0,"ISO",(K29-VLOOKUP($A29,[2]RAM!$A:$L,COLUMNS([2]RAM!$A$9:$K$9),0))*100)</f>
        <v>ISO</v>
      </c>
    </row>
    <row r="30" spans="1:16" s="379" customFormat="1" ht="18" customHeight="1" thickBot="1" x14ac:dyDescent="0.25">
      <c r="A30" s="381"/>
      <c r="B30" s="377"/>
      <c r="C30" s="595"/>
      <c r="D30" s="402"/>
      <c r="E30" s="423" t="s">
        <v>5</v>
      </c>
      <c r="F30" s="424">
        <f>+F29-F31</f>
        <v>0.11000000000000001</v>
      </c>
      <c r="G30" s="425">
        <f t="shared" ref="G30:I30" si="5">+G29-G31</f>
        <v>0.11</v>
      </c>
      <c r="H30" s="424">
        <f t="shared" si="5"/>
        <v>0.1</v>
      </c>
      <c r="I30" s="425">
        <f t="shared" si="5"/>
        <v>0.1</v>
      </c>
      <c r="J30" s="370"/>
      <c r="K30" s="554">
        <f>+K29-K31</f>
        <v>0.12000000000000002</v>
      </c>
      <c r="L30" s="378"/>
      <c r="N30" s="406" t="str">
        <f>+IF((ROUND(F30-HLOOKUP(F$7,[2]RAM!$F$7:$G$86,MATCH($A29,[2]RAM!$A$7:$A$86,0)+1,0),3))*100=0,"ISO",(F30-HLOOKUP(F$7,[2]RAM!$F$7:$G$86,MATCH($A29,[2]RAM!$A$7:$A$86,0)+1,0))*100)</f>
        <v>ISO</v>
      </c>
      <c r="O30" s="407" t="str">
        <f>+IF((ROUND(G30-HLOOKUP(G$7,[2]RAM!$F$7:$G$86,MATCH($A29,[2]RAM!$A$7:$A$86,0)+1,0),3))*100=0,"ISO",(G30-HLOOKUP(G$7,[2]RAM!$F$7:$G$86,MATCH($A29,[2]RAM!$A$7:$A$86,0)+1,0))*100)</f>
        <v>ISO</v>
      </c>
      <c r="P30" s="406" t="str">
        <f>IF((ROUND(K30-HLOOKUP(K$7,[2]RAM!$K$7:$L$86,MATCH($A29,[2]RAM!$A$7:$A$86,0)+1,0),3))*100=0,"ISO",(K30-HLOOKUP(K$7,[2]RAM!$K$7:$L$86,MATCH($A29,[2]RAM!$A$7:$A$86,0)+1,0))*100)</f>
        <v>ISO</v>
      </c>
    </row>
    <row r="31" spans="1:16" s="379" customFormat="1" ht="18" customHeight="1" thickBot="1" x14ac:dyDescent="0.25">
      <c r="A31" s="381"/>
      <c r="B31" s="377"/>
      <c r="C31" s="426"/>
      <c r="D31" s="427"/>
      <c r="E31" s="428" t="s">
        <v>3</v>
      </c>
      <c r="F31" s="429">
        <f>+D29-VLOOKUP(A29,'[3]B2B Red'!$C:$FG,MATCH($A$3,'[3]B2B Red'!$CV$6:$EE$6,0)+97,0)</f>
        <v>4.9999999999999989E-2</v>
      </c>
      <c r="G31" s="430">
        <f>+D29-VLOOKUP(A29,'[3]B2B Red'!$C:$FG,MATCH($A$3,'[3]B2B Red'!$CV$6:$EE$6,0)+98,0)</f>
        <v>6.9999999999999993E-2</v>
      </c>
      <c r="H31" s="429">
        <f>+F31+1%</f>
        <v>5.9999999999999991E-2</v>
      </c>
      <c r="I31" s="430">
        <f>+G31+1%</f>
        <v>7.9999999999999988E-2</v>
      </c>
      <c r="J31" s="370"/>
      <c r="K31" s="555">
        <f>+D29-VLOOKUP(A29,'[3]B2B Red'!$C:$FG,MATCH($A$3,'[3]B2B Red'!$CV$6:$EE$6,0)+99,0)</f>
        <v>7.9999999999999988E-2</v>
      </c>
      <c r="L31" s="378"/>
      <c r="N31" s="411" t="str">
        <f>+IF((ROUND(F31-HLOOKUP(F$7,[2]RAM!$F$7:$G$86,MATCH($A29,[2]RAM!$A$7:$A$86,0)+2,0),3))*100=0,"ISO",(F31-HLOOKUP(F$7,[2]RAM!$F$7:$G$86,MATCH($A29,[2]RAM!$A$7:$A$86,0)+2,0))*100)</f>
        <v>ISO</v>
      </c>
      <c r="O31" s="412" t="str">
        <f>+IF((ROUND(G31-HLOOKUP(G$7,[2]RAM!$F$7:$G$86,MATCH($A29,[2]RAM!$A$7:$A$86,0)+2,0),3))*100=0,"ISO",(G31-HLOOKUP(G$7,[2]RAM!$F$7:$G$86,MATCH($A29,[2]RAM!$A$7:$A$86,0)+2,0))*100)</f>
        <v>ISO</v>
      </c>
      <c r="P31" s="411" t="str">
        <f>IF((ROUND(K31-HLOOKUP(K$7,[2]RAM!$K$7:$L$86,MATCH($A29,[2]RAM!$A$7:$A$86,0)+2,0),3))*100=0,"ISO",(K31-HLOOKUP(K$7,[2]RAM!$K$7:$L$86,MATCH($A29,[2]RAM!$A$7:$A$86,0)+2,0))*100)</f>
        <v>ISO</v>
      </c>
    </row>
    <row r="32" spans="1:16" s="379" customFormat="1" ht="5.0999999999999996" customHeight="1" thickBot="1" x14ac:dyDescent="0.25">
      <c r="A32" s="371"/>
      <c r="B32" s="377"/>
      <c r="C32" s="443"/>
      <c r="D32" s="557"/>
      <c r="E32" s="558"/>
      <c r="F32" s="404"/>
      <c r="G32" s="404"/>
      <c r="H32" s="404"/>
      <c r="I32" s="404"/>
      <c r="J32" s="383"/>
      <c r="K32" s="404"/>
      <c r="L32" s="378"/>
    </row>
    <row r="33" spans="1:16" s="375" customFormat="1" ht="18" customHeight="1" x14ac:dyDescent="0.2">
      <c r="A33" s="371" t="s">
        <v>140</v>
      </c>
      <c r="B33" s="372"/>
      <c r="C33" s="417" t="s">
        <v>138</v>
      </c>
      <c r="D33" s="418">
        <v>0.12</v>
      </c>
      <c r="E33" s="419" t="s">
        <v>2</v>
      </c>
      <c r="F33" s="420">
        <f>+VLOOKUP(A33,'[3]B2B Red'!$C:$FG,MATCH($A$3,'[3]B2B Red'!$BG$6:$CU$6,0)+56,0)</f>
        <v>0.19</v>
      </c>
      <c r="G33" s="421">
        <f>+VLOOKUP(A33,'[3]B2B Red'!$C:$FG,MATCH($A$3,'[3]B2B Red'!$BG$6:$CU$6,0)+57,0)</f>
        <v>0.21</v>
      </c>
      <c r="H33" s="420">
        <f>+F33</f>
        <v>0.19</v>
      </c>
      <c r="I33" s="421">
        <f>+G33</f>
        <v>0.21</v>
      </c>
      <c r="J33" s="370"/>
      <c r="K33" s="551">
        <f>+VLOOKUP(A33,'[3]B2B Red'!$C:$FG,MATCH($A$3,'[3]B2B Red'!$BG$6:$CU$6,0)+58,0)</f>
        <v>0.23</v>
      </c>
      <c r="L33" s="374"/>
      <c r="N33" s="400">
        <f>IF((F33-VLOOKUP($A29,[2]RAM!$A:$L,COLUMNS([2]RAM!$A$9:$F$9),0))*100=0,"ISO",(F33-VLOOKUP($A29,[2]RAM!$A:$L,COLUMNS([2]RAM!$A$9:$F$9),0))*100)</f>
        <v>3</v>
      </c>
      <c r="O33" s="401">
        <f>IF((G33-VLOOKUP($A29,[2]RAM!$A:$L,COLUMNS([2]RAM!$A$9:$G$9),0))*100=0,"ISO",(G33-VLOOKUP($A29,[2]RAM!$A:$L,COLUMNS([2]RAM!$A$9:$G$9),0))*100)</f>
        <v>3</v>
      </c>
      <c r="P33" s="400">
        <f>IF((K33-VLOOKUP($A29,[2]RAM!$A:$L,COLUMNS([2]RAM!$A$9:$K$9),0))*100=0,"ISO",(K33-VLOOKUP($A29,[2]RAM!$A:$L,COLUMNS([2]RAM!$A$9:$K$9),0))*100)</f>
        <v>3</v>
      </c>
    </row>
    <row r="34" spans="1:16" s="379" customFormat="1" ht="18" customHeight="1" thickBot="1" x14ac:dyDescent="0.25">
      <c r="A34" s="381"/>
      <c r="B34" s="377"/>
      <c r="C34" s="595"/>
      <c r="D34" s="402"/>
      <c r="E34" s="423" t="s">
        <v>5</v>
      </c>
      <c r="F34" s="424">
        <f>+F33-F35</f>
        <v>0.14000000000000001</v>
      </c>
      <c r="G34" s="425">
        <f t="shared" ref="G34:I34" si="6">+G33-G35</f>
        <v>0.14000000000000001</v>
      </c>
      <c r="H34" s="424">
        <f t="shared" si="6"/>
        <v>0.13</v>
      </c>
      <c r="I34" s="425">
        <f t="shared" si="6"/>
        <v>0.13</v>
      </c>
      <c r="J34" s="370"/>
      <c r="K34" s="554">
        <f>+K33-K35</f>
        <v>0.15000000000000002</v>
      </c>
      <c r="L34" s="378"/>
      <c r="N34" s="406">
        <f>+IF((ROUND(F34-HLOOKUP(F$7,[2]RAM!$F$7:$G$86,MATCH($A29,[2]RAM!$A$7:$A$86,0)+1,0),3))*100=0,"ISO",(F34-HLOOKUP(F$7,[2]RAM!$F$7:$G$86,MATCH($A29,[2]RAM!$A$7:$A$86,0)+1,0))*100)</f>
        <v>3</v>
      </c>
      <c r="O34" s="407">
        <f>+IF((ROUND(G34-HLOOKUP(G$7,[2]RAM!$F$7:$G$86,MATCH($A29,[2]RAM!$A$7:$A$86,0)+1,0),3))*100=0,"ISO",(G34-HLOOKUP(G$7,[2]RAM!$F$7:$G$86,MATCH($A29,[2]RAM!$A$7:$A$86,0)+1,0))*100)</f>
        <v>3.0000000000000013</v>
      </c>
      <c r="P34" s="406">
        <f>IF((ROUND(K34-HLOOKUP(K$7,[2]RAM!$K$7:$L$86,MATCH($A29,[2]RAM!$A$7:$A$86,0)+1,0),3))*100=0,"ISO",(K34-HLOOKUP(K$7,[2]RAM!$K$7:$L$86,MATCH($A29,[2]RAM!$A$7:$A$86,0)+1,0))*100)</f>
        <v>3</v>
      </c>
    </row>
    <row r="35" spans="1:16" s="379" customFormat="1" ht="18" customHeight="1" thickBot="1" x14ac:dyDescent="0.25">
      <c r="A35" s="381"/>
      <c r="B35" s="377"/>
      <c r="C35" s="426"/>
      <c r="D35" s="427"/>
      <c r="E35" s="428" t="s">
        <v>3</v>
      </c>
      <c r="F35" s="429">
        <f>+D33-VLOOKUP(A33,'[3]B2B Red'!$C:$FG,MATCH($A$3,'[3]B2B Red'!$CV$6:$EE$6,0)+97,0)</f>
        <v>4.9999999999999989E-2</v>
      </c>
      <c r="G35" s="430">
        <f>+D33-VLOOKUP(A33,'[3]B2B Red'!$C:$FG,MATCH($A$3,'[3]B2B Red'!$CV$6:$EE$6,0)+98,0)</f>
        <v>6.9999999999999993E-2</v>
      </c>
      <c r="H35" s="429">
        <f>+F35+1%</f>
        <v>5.9999999999999991E-2</v>
      </c>
      <c r="I35" s="430">
        <f>+G35+1%</f>
        <v>7.9999999999999988E-2</v>
      </c>
      <c r="J35" s="370"/>
      <c r="K35" s="555">
        <f>+D33-VLOOKUP(A33,'[3]B2B Red'!$C:$FG,MATCH($A$3,'[3]B2B Red'!$CV$6:$EE$6,0)+99,0)</f>
        <v>7.9999999999999988E-2</v>
      </c>
      <c r="L35" s="378"/>
      <c r="N35" s="411" t="str">
        <f>+IF((ROUND(F35-HLOOKUP(F$7,[2]RAM!$F$7:$G$86,MATCH($A29,[2]RAM!$A$7:$A$86,0)+2,0),3))*100=0,"ISO",(F35-HLOOKUP(F$7,[2]RAM!$F$7:$G$86,MATCH($A29,[2]RAM!$A$7:$A$86,0)+2,0))*100)</f>
        <v>ISO</v>
      </c>
      <c r="O35" s="412" t="str">
        <f>+IF((ROUND(G35-HLOOKUP(G$7,[2]RAM!$F$7:$G$86,MATCH($A29,[2]RAM!$A$7:$A$86,0)+2,0),3))*100=0,"ISO",(G35-HLOOKUP(G$7,[2]RAM!$F$7:$G$86,MATCH($A29,[2]RAM!$A$7:$A$86,0)+2,0))*100)</f>
        <v>ISO</v>
      </c>
      <c r="P35" s="411" t="str">
        <f>IF((ROUND(K35-HLOOKUP(K$7,[2]RAM!$K$7:$L$86,MATCH($A29,[2]RAM!$A$7:$A$86,0)+2,0),3))*100=0,"ISO",(K35-HLOOKUP(K$7,[2]RAM!$K$7:$L$86,MATCH($A29,[2]RAM!$A$7:$A$86,0)+2,0))*100)</f>
        <v>ISO</v>
      </c>
    </row>
    <row r="36" spans="1:16" s="379" customFormat="1" ht="5.0999999999999996" customHeight="1" thickBot="1" x14ac:dyDescent="0.25">
      <c r="A36" s="371"/>
      <c r="B36" s="377"/>
      <c r="C36" s="443"/>
      <c r="D36" s="557"/>
      <c r="E36" s="558"/>
      <c r="F36" s="404"/>
      <c r="G36" s="404"/>
      <c r="H36" s="404"/>
      <c r="I36" s="404"/>
      <c r="J36" s="383"/>
      <c r="K36" s="404"/>
      <c r="L36" s="378"/>
    </row>
    <row r="37" spans="1:16" s="375" customFormat="1" ht="18" customHeight="1" x14ac:dyDescent="0.2">
      <c r="A37" s="371" t="s">
        <v>141</v>
      </c>
      <c r="B37" s="372"/>
      <c r="C37" s="417" t="s">
        <v>139</v>
      </c>
      <c r="D37" s="418">
        <v>0.12</v>
      </c>
      <c r="E37" s="419" t="s">
        <v>2</v>
      </c>
      <c r="F37" s="420">
        <f>+VLOOKUP(A37,'[3]B2B Red'!$C:$FG,MATCH($A$3,'[3]B2B Red'!$BG$6:$CU$6,0)+56,0)</f>
        <v>0.16</v>
      </c>
      <c r="G37" s="421">
        <f>+VLOOKUP(A37,'[3]B2B Red'!$C:$FG,MATCH($A$3,'[3]B2B Red'!$BG$6:$CU$6,0)+57,0)</f>
        <v>0.18</v>
      </c>
      <c r="H37" s="420">
        <f>+F37</f>
        <v>0.16</v>
      </c>
      <c r="I37" s="421">
        <f>+G37</f>
        <v>0.18</v>
      </c>
      <c r="J37" s="370"/>
      <c r="K37" s="551">
        <f>+VLOOKUP(A37,'[3]B2B Red'!$C:$FG,MATCH($A$3,'[3]B2B Red'!$BG$6:$CU$6,0)+58,0)</f>
        <v>0.2</v>
      </c>
      <c r="L37" s="374"/>
      <c r="N37" s="400" t="str">
        <f>IF((F37-VLOOKUP($A29,[2]RAM!$A:$L,COLUMNS([2]RAM!$A$9:$F$9),0))*100=0,"ISO",(F37-VLOOKUP($A29,[2]RAM!$A:$L,COLUMNS([2]RAM!$A$9:$F$9),0))*100)</f>
        <v>ISO</v>
      </c>
      <c r="O37" s="401" t="str">
        <f>IF((G37-VLOOKUP($A29,[2]RAM!$A:$L,COLUMNS([2]RAM!$A$9:$G$9),0))*100=0,"ISO",(G37-VLOOKUP($A29,[2]RAM!$A:$L,COLUMNS([2]RAM!$A$9:$G$9),0))*100)</f>
        <v>ISO</v>
      </c>
      <c r="P37" s="400" t="str">
        <f>IF((K37-VLOOKUP($A29,[2]RAM!$A:$L,COLUMNS([2]RAM!$A$9:$K$9),0))*100=0,"ISO",(K37-VLOOKUP($A29,[2]RAM!$A:$L,COLUMNS([2]RAM!$A$9:$K$9),0))*100)</f>
        <v>ISO</v>
      </c>
    </row>
    <row r="38" spans="1:16" s="379" customFormat="1" ht="18" customHeight="1" thickBot="1" x14ac:dyDescent="0.25">
      <c r="A38" s="381"/>
      <c r="B38" s="377"/>
      <c r="C38" s="595"/>
      <c r="D38" s="402"/>
      <c r="E38" s="423" t="s">
        <v>5</v>
      </c>
      <c r="F38" s="424">
        <f>+F37-F39</f>
        <v>0.11000000000000001</v>
      </c>
      <c r="G38" s="425">
        <f t="shared" ref="G38:I38" si="7">+G37-G39</f>
        <v>0.11</v>
      </c>
      <c r="H38" s="424">
        <f t="shared" si="7"/>
        <v>0.1</v>
      </c>
      <c r="I38" s="425">
        <f t="shared" si="7"/>
        <v>0.1</v>
      </c>
      <c r="J38" s="370"/>
      <c r="K38" s="554">
        <f>+K37-K39</f>
        <v>0.12000000000000002</v>
      </c>
      <c r="L38" s="378"/>
      <c r="N38" s="406" t="str">
        <f>+IF((ROUND(F38-HLOOKUP(F$7,[2]RAM!$F$7:$G$86,MATCH($A29,[2]RAM!$A$7:$A$86,0)+1,0),3))*100=0,"ISO",(F38-HLOOKUP(F$7,[2]RAM!$F$7:$G$86,MATCH($A29,[2]RAM!$A$7:$A$86,0)+1,0))*100)</f>
        <v>ISO</v>
      </c>
      <c r="O38" s="407" t="str">
        <f>+IF((ROUND(G38-HLOOKUP(G$7,[2]RAM!$F$7:$G$86,MATCH($A29,[2]RAM!$A$7:$A$86,0)+1,0),3))*100=0,"ISO",(G38-HLOOKUP(G$7,[2]RAM!$F$7:$G$86,MATCH($A29,[2]RAM!$A$7:$A$86,0)+1,0))*100)</f>
        <v>ISO</v>
      </c>
      <c r="P38" s="406" t="str">
        <f>IF((ROUND(K38-HLOOKUP(K$7,[2]RAM!$K$7:$L$86,MATCH($A29,[2]RAM!$A$7:$A$86,0)+1,0),3))*100=0,"ISO",(K38-HLOOKUP(K$7,[2]RAM!$K$7:$L$86,MATCH($A29,[2]RAM!$A$7:$A$86,0)+1,0))*100)</f>
        <v>ISO</v>
      </c>
    </row>
    <row r="39" spans="1:16" s="379" customFormat="1" ht="18" customHeight="1" thickBot="1" x14ac:dyDescent="0.25">
      <c r="A39" s="381"/>
      <c r="B39" s="377"/>
      <c r="C39" s="426"/>
      <c r="D39" s="427"/>
      <c r="E39" s="428" t="s">
        <v>3</v>
      </c>
      <c r="F39" s="429">
        <f>+D37-VLOOKUP(A37,'[3]B2B Red'!$C:$FG,MATCH($A$3,'[3]B2B Red'!$CV$6:$EE$6,0)+97,0)</f>
        <v>4.9999999999999989E-2</v>
      </c>
      <c r="G39" s="430">
        <f>+D37-VLOOKUP(A37,'[3]B2B Red'!$C:$FG,MATCH($A$3,'[3]B2B Red'!$CV$6:$EE$6,0)+98,0)</f>
        <v>6.9999999999999993E-2</v>
      </c>
      <c r="H39" s="429">
        <f>+F39+1%</f>
        <v>5.9999999999999991E-2</v>
      </c>
      <c r="I39" s="430">
        <f>+G39+1%</f>
        <v>7.9999999999999988E-2</v>
      </c>
      <c r="J39" s="370"/>
      <c r="K39" s="555">
        <f>+D37-VLOOKUP(A37,'[3]B2B Red'!$C:$FG,MATCH($A$3,'[3]B2B Red'!$CV$6:$EE$6,0)+99,0)</f>
        <v>7.9999999999999988E-2</v>
      </c>
      <c r="L39" s="378"/>
      <c r="N39" s="411" t="str">
        <f>+IF((ROUND(F39-HLOOKUP(F$7,[2]RAM!$F$7:$G$86,MATCH($A29,[2]RAM!$A$7:$A$86,0)+2,0),3))*100=0,"ISO",(F39-HLOOKUP(F$7,[2]RAM!$F$7:$G$86,MATCH($A29,[2]RAM!$A$7:$A$86,0)+2,0))*100)</f>
        <v>ISO</v>
      </c>
      <c r="O39" s="412" t="str">
        <f>+IF((ROUND(G39-HLOOKUP(G$7,[2]RAM!$F$7:$G$86,MATCH($A29,[2]RAM!$A$7:$A$86,0)+2,0),3))*100=0,"ISO",(G39-HLOOKUP(G$7,[2]RAM!$F$7:$G$86,MATCH($A29,[2]RAM!$A$7:$A$86,0)+2,0))*100)</f>
        <v>ISO</v>
      </c>
      <c r="P39" s="411" t="str">
        <f>IF((ROUND(K39-HLOOKUP(K$7,[2]RAM!$K$7:$L$86,MATCH($A29,[2]RAM!$A$7:$A$86,0)+2,0),3))*100=0,"ISO",(K39-HLOOKUP(K$7,[2]RAM!$K$7:$L$86,MATCH($A29,[2]RAM!$A$7:$A$86,0)+2,0))*100)</f>
        <v>ISO</v>
      </c>
    </row>
    <row r="40" spans="1:16" s="379" customFormat="1" ht="5.0999999999999996" customHeight="1" thickBot="1" x14ac:dyDescent="0.25">
      <c r="A40" s="371"/>
      <c r="B40" s="377"/>
      <c r="C40" s="443"/>
      <c r="D40" s="557"/>
      <c r="E40" s="558"/>
      <c r="F40" s="404"/>
      <c r="G40" s="404"/>
      <c r="H40" s="404"/>
      <c r="I40" s="404"/>
      <c r="J40" s="383"/>
      <c r="K40" s="404"/>
      <c r="L40" s="378"/>
    </row>
    <row r="41" spans="1:16" s="375" customFormat="1" ht="18" customHeight="1" x14ac:dyDescent="0.2">
      <c r="A41" s="371" t="s">
        <v>130</v>
      </c>
      <c r="B41" s="372"/>
      <c r="C41" s="417" t="s">
        <v>142</v>
      </c>
      <c r="D41" s="418">
        <v>0.12</v>
      </c>
      <c r="E41" s="419" t="s">
        <v>2</v>
      </c>
      <c r="F41" s="420">
        <f>+VLOOKUP(A41,'[3]B2B Red'!$C:$FG,MATCH($A$3,'[3]B2B Red'!$BG$6:$CU$6,0)+56,0)</f>
        <v>0.11</v>
      </c>
      <c r="G41" s="421">
        <f>+VLOOKUP(A41,'[3]B2B Red'!$C:$FG,MATCH($A$3,'[3]B2B Red'!$BG$6:$CU$6,0)+57,0)</f>
        <v>0.14000000000000001</v>
      </c>
      <c r="H41" s="420">
        <f>+F41</f>
        <v>0.11</v>
      </c>
      <c r="I41" s="421">
        <f>+G41</f>
        <v>0.14000000000000001</v>
      </c>
      <c r="J41" s="370"/>
      <c r="K41" s="551">
        <f>+VLOOKUP(A41,'[3]B2B Red'!$C:$FG,MATCH($A$3,'[3]B2B Red'!$BG$6:$CU$6,0)+58,0)</f>
        <v>0.16</v>
      </c>
      <c r="L41" s="374"/>
      <c r="N41" s="400" t="s">
        <v>126</v>
      </c>
      <c r="O41" s="401" t="s">
        <v>126</v>
      </c>
      <c r="P41" s="400" t="s">
        <v>126</v>
      </c>
    </row>
    <row r="42" spans="1:16" s="379" customFormat="1" ht="18" customHeight="1" thickBot="1" x14ac:dyDescent="0.25">
      <c r="A42" s="381"/>
      <c r="B42" s="377"/>
      <c r="C42" s="595"/>
      <c r="D42" s="402"/>
      <c r="E42" s="423" t="s">
        <v>5</v>
      </c>
      <c r="F42" s="424">
        <f>+F41-F43</f>
        <v>6.0000000000000012E-2</v>
      </c>
      <c r="G42" s="425">
        <f t="shared" ref="G42:I42" si="8">+G41-G43</f>
        <v>7.0000000000000021E-2</v>
      </c>
      <c r="H42" s="424">
        <f t="shared" si="8"/>
        <v>5.000000000000001E-2</v>
      </c>
      <c r="I42" s="425">
        <f t="shared" si="8"/>
        <v>6.0000000000000026E-2</v>
      </c>
      <c r="J42" s="370"/>
      <c r="K42" s="554">
        <f>+K41-K43</f>
        <v>8.0000000000000016E-2</v>
      </c>
      <c r="L42" s="378"/>
      <c r="N42" s="406" t="s">
        <v>126</v>
      </c>
      <c r="O42" s="407" t="s">
        <v>126</v>
      </c>
      <c r="P42" s="406" t="s">
        <v>126</v>
      </c>
    </row>
    <row r="43" spans="1:16" s="379" customFormat="1" ht="18" customHeight="1" thickBot="1" x14ac:dyDescent="0.25">
      <c r="A43" s="381"/>
      <c r="B43" s="377"/>
      <c r="C43" s="426"/>
      <c r="D43" s="427"/>
      <c r="E43" s="428" t="s">
        <v>3</v>
      </c>
      <c r="F43" s="429">
        <f>+D41-VLOOKUP(A41,'[3]B2B Red'!$C:$FG,MATCH($A$3,'[3]B2B Red'!$CV$6:$EE$6,0)+97,0)</f>
        <v>4.9999999999999989E-2</v>
      </c>
      <c r="G43" s="430">
        <f>+D41-VLOOKUP(A41,'[3]B2B Red'!$C:$FG,MATCH($A$3,'[3]B2B Red'!$CV$6:$EE$6,0)+98,0)</f>
        <v>6.9999999999999993E-2</v>
      </c>
      <c r="H43" s="429">
        <f>+F43+1%</f>
        <v>5.9999999999999991E-2</v>
      </c>
      <c r="I43" s="430">
        <f>+G43+1%</f>
        <v>7.9999999999999988E-2</v>
      </c>
      <c r="J43" s="370"/>
      <c r="K43" s="555">
        <f>+D41-VLOOKUP(A41,'[3]B2B Red'!$C:$FG,MATCH($A$3,'[3]B2B Red'!$CV$6:$EE$6,0)+99,0)</f>
        <v>7.9999999999999988E-2</v>
      </c>
      <c r="L43" s="378"/>
      <c r="N43" s="411" t="s">
        <v>126</v>
      </c>
      <c r="O43" s="412" t="s">
        <v>126</v>
      </c>
      <c r="P43" s="411" t="s">
        <v>126</v>
      </c>
    </row>
    <row r="44" spans="1:16" s="379" customFormat="1" ht="5.0999999999999996" customHeight="1" thickBot="1" x14ac:dyDescent="0.25">
      <c r="A44" s="371"/>
      <c r="B44" s="377"/>
      <c r="C44" s="443"/>
      <c r="D44" s="557"/>
      <c r="E44" s="558"/>
      <c r="F44" s="404"/>
      <c r="G44" s="404"/>
      <c r="H44" s="404"/>
      <c r="I44" s="404"/>
      <c r="J44" s="383"/>
      <c r="K44" s="404"/>
      <c r="L44" s="378"/>
    </row>
    <row r="45" spans="1:16" s="375" customFormat="1" ht="18" customHeight="1" x14ac:dyDescent="0.2">
      <c r="A45" s="371" t="s">
        <v>128</v>
      </c>
      <c r="B45" s="372"/>
      <c r="C45" s="417" t="s">
        <v>127</v>
      </c>
      <c r="D45" s="418">
        <v>0.12</v>
      </c>
      <c r="E45" s="419" t="s">
        <v>2</v>
      </c>
      <c r="F45" s="420">
        <f>+VLOOKUP(A45,'[3]B2B Red'!$C:$FG,MATCH($A$3,'[3]B2B Red'!$BG$6:$CU$6,0)+56,0)</f>
        <v>0.11</v>
      </c>
      <c r="G45" s="421">
        <f>+VLOOKUP(A45,'[3]B2B Red'!$C:$FG,MATCH($A$3,'[3]B2B Red'!$BG$6:$CU$6,0)+57,0)</f>
        <v>0.14000000000000001</v>
      </c>
      <c r="H45" s="420">
        <f>+F45</f>
        <v>0.11</v>
      </c>
      <c r="I45" s="421">
        <f>+G45</f>
        <v>0.14000000000000001</v>
      </c>
      <c r="J45" s="370"/>
      <c r="K45" s="551">
        <f>+VLOOKUP(A45,'[3]B2B Red'!$C:$FG,MATCH($A$3,'[3]B2B Red'!$BG$6:$CU$6,0)+58,0)</f>
        <v>0.16</v>
      </c>
      <c r="L45" s="374"/>
      <c r="N45" s="400" t="s">
        <v>126</v>
      </c>
      <c r="O45" s="401" t="s">
        <v>126</v>
      </c>
      <c r="P45" s="400" t="s">
        <v>126</v>
      </c>
    </row>
    <row r="46" spans="1:16" s="379" customFormat="1" ht="18" customHeight="1" thickBot="1" x14ac:dyDescent="0.25">
      <c r="A46" s="381"/>
      <c r="B46" s="377"/>
      <c r="C46" s="595"/>
      <c r="D46" s="402"/>
      <c r="E46" s="423" t="s">
        <v>5</v>
      </c>
      <c r="F46" s="424">
        <f>+F45-F47</f>
        <v>5.5000000000000007E-2</v>
      </c>
      <c r="G46" s="425">
        <f t="shared" ref="G46:I46" si="9">+G45-G47</f>
        <v>7.0000000000000021E-2</v>
      </c>
      <c r="H46" s="424">
        <f t="shared" si="9"/>
        <v>4.5000000000000012E-2</v>
      </c>
      <c r="I46" s="425">
        <f t="shared" si="9"/>
        <v>6.0000000000000026E-2</v>
      </c>
      <c r="J46" s="370"/>
      <c r="K46" s="554">
        <f>+K45-K47</f>
        <v>8.0000000000000016E-2</v>
      </c>
      <c r="L46" s="378"/>
      <c r="N46" s="406" t="s">
        <v>126</v>
      </c>
      <c r="O46" s="407" t="s">
        <v>126</v>
      </c>
      <c r="P46" s="406" t="s">
        <v>126</v>
      </c>
    </row>
    <row r="47" spans="1:16" s="379" customFormat="1" ht="18" customHeight="1" thickBot="1" x14ac:dyDescent="0.25">
      <c r="A47" s="381"/>
      <c r="B47" s="377"/>
      <c r="C47" s="426"/>
      <c r="D47" s="427"/>
      <c r="E47" s="428" t="s">
        <v>3</v>
      </c>
      <c r="F47" s="429">
        <f>+D45-VLOOKUP(A45,'[3]B2B Red'!$C:$FG,MATCH($A$3,'[3]B2B Red'!$CV$6:$EE$6,0)+97,0)</f>
        <v>5.4999999999999993E-2</v>
      </c>
      <c r="G47" s="430">
        <f>+D45-VLOOKUP(A45,'[3]B2B Red'!$C:$FG,MATCH($A$3,'[3]B2B Red'!$CV$6:$EE$6,0)+98,0)</f>
        <v>6.9999999999999993E-2</v>
      </c>
      <c r="H47" s="429">
        <f>+F47+1%</f>
        <v>6.4999999999999988E-2</v>
      </c>
      <c r="I47" s="430">
        <f>+G47+1%</f>
        <v>7.9999999999999988E-2</v>
      </c>
      <c r="J47" s="370"/>
      <c r="K47" s="555">
        <f>+D45-VLOOKUP(A45,'[3]B2B Red'!$C:$FG,MATCH($A$3,'[3]B2B Red'!$CV$6:$EE$6,0)+99,0)</f>
        <v>7.9999999999999988E-2</v>
      </c>
      <c r="L47" s="378"/>
      <c r="N47" s="411" t="s">
        <v>126</v>
      </c>
      <c r="O47" s="412" t="s">
        <v>126</v>
      </c>
      <c r="P47" s="411" t="s">
        <v>126</v>
      </c>
    </row>
    <row r="48" spans="1:16" ht="18" customHeight="1" x14ac:dyDescent="0.2">
      <c r="B48" s="369"/>
      <c r="C48" s="694"/>
      <c r="D48" s="694"/>
      <c r="E48" s="694"/>
      <c r="F48" s="694"/>
      <c r="G48" s="694"/>
      <c r="H48" s="694"/>
      <c r="I48" s="694"/>
      <c r="J48" s="694"/>
      <c r="K48" s="694"/>
      <c r="L48" s="367"/>
    </row>
    <row r="49" spans="2:12" ht="18" customHeight="1" x14ac:dyDescent="0.2">
      <c r="B49" s="369"/>
      <c r="C49" s="694"/>
      <c r="D49" s="694"/>
      <c r="E49" s="694"/>
      <c r="F49" s="694"/>
      <c r="G49" s="694"/>
      <c r="H49" s="694"/>
      <c r="I49" s="694"/>
      <c r="J49" s="694"/>
      <c r="K49" s="694"/>
      <c r="L49" s="367"/>
    </row>
    <row r="50" spans="2:12" ht="18" customHeight="1" x14ac:dyDescent="0.2">
      <c r="B50" s="386"/>
      <c r="C50" s="387"/>
      <c r="D50" s="388"/>
      <c r="E50" s="387"/>
      <c r="F50" s="387"/>
      <c r="G50" s="387"/>
      <c r="H50" s="387"/>
      <c r="I50" s="387"/>
      <c r="J50" s="387"/>
      <c r="K50" s="388"/>
      <c r="L50" s="389"/>
    </row>
    <row r="51" spans="2:12" ht="15" hidden="1" customHeight="1" x14ac:dyDescent="0.2">
      <c r="F51" s="390"/>
      <c r="G51" s="391"/>
    </row>
  </sheetData>
  <mergeCells count="13">
    <mergeCell ref="N7:N8"/>
    <mergeCell ref="O7:O8"/>
    <mergeCell ref="P7:P8"/>
    <mergeCell ref="C48:K49"/>
    <mergeCell ref="C3:K4"/>
    <mergeCell ref="C6:E7"/>
    <mergeCell ref="F6:G6"/>
    <mergeCell ref="H6:I6"/>
    <mergeCell ref="F7:F8"/>
    <mergeCell ref="G7:G8"/>
    <mergeCell ref="H7:H8"/>
    <mergeCell ref="I7:I8"/>
    <mergeCell ref="K7:K8"/>
  </mergeCells>
  <printOptions horizontalCentered="1"/>
  <pageMargins left="0.70866141732283472" right="0.70866141732283472" top="0.74803149606299213" bottom="0.74803149606299213" header="0.31496062992125984" footer="0.31496062992125984"/>
  <pageSetup scale="5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F380DA41-0EDF-4992-851A-85745B8E30F8}">
          <x14:formula1>
            <xm:f>MES!$B$2:$B$13</xm:f>
          </x14:formula1>
          <xm:sqref>A3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B11D6-1C59-4C22-B84A-4BDC70EB7DCB}">
  <sheetPr>
    <tabColor rgb="FF8196AE"/>
    <pageSetUpPr fitToPage="1"/>
  </sheetPr>
  <dimension ref="A1:T59"/>
  <sheetViews>
    <sheetView showGridLines="0" topLeftCell="B1" zoomScaleNormal="100" zoomScaleSheetLayoutView="100" workbookViewId="0">
      <pane ySplit="8" topLeftCell="A11" activePane="bottomLeft" state="frozen"/>
      <selection activeCell="XET23" sqref="XET23"/>
      <selection pane="bottomLeft" activeCell="N9" sqref="N9:P11"/>
    </sheetView>
  </sheetViews>
  <sheetFormatPr baseColWidth="10" defaultColWidth="0" defaultRowHeight="0" customHeight="1" zeroHeight="1" outlineLevelCol="1" x14ac:dyDescent="0.2"/>
  <cols>
    <col min="1" max="1" width="45.7109375" style="21" hidden="1" customWidth="1" outlineLevel="1"/>
    <col min="2" max="2" width="5.7109375" style="22" customWidth="1" collapsed="1"/>
    <col min="3" max="3" width="50.7109375" style="25" customWidth="1"/>
    <col min="4" max="4" width="13.7109375" style="26" hidden="1" customWidth="1" outlineLevel="1"/>
    <col min="5" max="5" width="10.7109375" style="22" customWidth="1" collapsed="1"/>
    <col min="6" max="9" width="13.7109375" style="22" customWidth="1"/>
    <col min="10" max="10" width="1" style="22" customWidth="1"/>
    <col min="11" max="11" width="16.85546875" style="21" customWidth="1"/>
    <col min="12" max="12" width="3" style="21" customWidth="1"/>
    <col min="13" max="13" width="5.7109375" style="22" customWidth="1"/>
    <col min="14" max="16" width="13.7109375" style="22" customWidth="1"/>
    <col min="17" max="17" width="5.7109375" style="22" customWidth="1"/>
    <col min="18" max="20" width="0" style="22" hidden="1" customWidth="1"/>
    <col min="21" max="16384" width="11.5703125" style="22" hidden="1"/>
  </cols>
  <sheetData>
    <row r="1" spans="1:16" ht="9.9499999999999993" customHeight="1" thickBot="1" x14ac:dyDescent="0.25">
      <c r="B1" s="71"/>
      <c r="C1" s="72"/>
      <c r="D1" s="73"/>
      <c r="E1" s="74"/>
      <c r="F1" s="74"/>
      <c r="G1" s="74"/>
      <c r="H1" s="74"/>
      <c r="I1" s="74"/>
      <c r="J1" s="74"/>
      <c r="K1" s="75"/>
      <c r="L1" s="76"/>
    </row>
    <row r="2" spans="1:16" ht="18" customHeight="1" thickBot="1" x14ac:dyDescent="0.25">
      <c r="A2" s="276" t="s">
        <v>25</v>
      </c>
      <c r="B2" s="77"/>
      <c r="C2" s="78"/>
      <c r="D2" s="23"/>
      <c r="E2" s="79"/>
      <c r="F2" s="79"/>
      <c r="G2" s="79"/>
      <c r="H2" s="79"/>
      <c r="I2" s="79"/>
      <c r="J2" s="24"/>
      <c r="K2" s="80"/>
      <c r="L2" s="81"/>
    </row>
    <row r="3" spans="1:16" ht="18" customHeight="1" thickBot="1" x14ac:dyDescent="0.25">
      <c r="A3" s="277" t="str">
        <f>+Peugeot!A3</f>
        <v>JUNIO</v>
      </c>
      <c r="B3" s="77"/>
      <c r="C3" s="719" t="str">
        <f>"     "&amp;"ACCIONES COMERCIALES B2B RED"&amp;" - "&amp;A3&amp;" 2026"</f>
        <v xml:space="preserve">     ACCIONES COMERCIALES B2B RED - JUNIO 2026</v>
      </c>
      <c r="D3" s="719"/>
      <c r="E3" s="719"/>
      <c r="F3" s="719"/>
      <c r="G3" s="719"/>
      <c r="H3" s="719"/>
      <c r="I3" s="719"/>
      <c r="J3" s="719"/>
      <c r="K3" s="719"/>
      <c r="L3" s="81"/>
    </row>
    <row r="4" spans="1:16" ht="18" customHeight="1" x14ac:dyDescent="0.2">
      <c r="B4" s="77"/>
      <c r="C4" s="719"/>
      <c r="D4" s="719"/>
      <c r="E4" s="719"/>
      <c r="F4" s="719"/>
      <c r="G4" s="719"/>
      <c r="H4" s="719"/>
      <c r="I4" s="719"/>
      <c r="J4" s="719"/>
      <c r="K4" s="719"/>
      <c r="L4" s="81"/>
    </row>
    <row r="5" spans="1:16" ht="9.9499999999999993" customHeight="1" thickBot="1" x14ac:dyDescent="0.25">
      <c r="B5" s="77"/>
      <c r="C5" s="78"/>
      <c r="D5" s="23"/>
      <c r="E5" s="24"/>
      <c r="F5" s="24"/>
      <c r="G5" s="24"/>
      <c r="H5" s="24"/>
      <c r="I5" s="24"/>
      <c r="J5" s="24"/>
      <c r="K5" s="80"/>
      <c r="L5" s="81"/>
    </row>
    <row r="6" spans="1:16" ht="18" customHeight="1" thickBot="1" x14ac:dyDescent="0.25">
      <c r="B6" s="77"/>
      <c r="C6" s="720" t="s">
        <v>0</v>
      </c>
      <c r="D6" s="721"/>
      <c r="E6" s="722"/>
      <c r="F6" s="726" t="s">
        <v>10</v>
      </c>
      <c r="G6" s="727"/>
      <c r="H6" s="728" t="s">
        <v>11</v>
      </c>
      <c r="I6" s="729"/>
      <c r="J6" s="278"/>
      <c r="K6" s="279"/>
      <c r="L6" s="81"/>
    </row>
    <row r="7" spans="1:16" ht="18" customHeight="1" thickBot="1" x14ac:dyDescent="0.25">
      <c r="B7" s="77"/>
      <c r="C7" s="723"/>
      <c r="D7" s="724"/>
      <c r="E7" s="725"/>
      <c r="F7" s="730" t="s">
        <v>6</v>
      </c>
      <c r="G7" s="717" t="s">
        <v>7</v>
      </c>
      <c r="H7" s="732" t="s">
        <v>6</v>
      </c>
      <c r="I7" s="733" t="s">
        <v>7</v>
      </c>
      <c r="J7" s="278"/>
      <c r="K7" s="717" t="s">
        <v>8</v>
      </c>
      <c r="L7" s="81"/>
      <c r="N7" s="715" t="s">
        <v>51</v>
      </c>
      <c r="O7" s="713" t="s">
        <v>52</v>
      </c>
      <c r="P7" s="713" t="s">
        <v>53</v>
      </c>
    </row>
    <row r="8" spans="1:16" ht="18" customHeight="1" thickBot="1" x14ac:dyDescent="0.25">
      <c r="B8" s="77"/>
      <c r="C8" s="275" t="s">
        <v>1</v>
      </c>
      <c r="D8" s="275" t="s">
        <v>12</v>
      </c>
      <c r="E8" s="505" t="s">
        <v>9</v>
      </c>
      <c r="F8" s="731"/>
      <c r="G8" s="718"/>
      <c r="H8" s="732"/>
      <c r="I8" s="718"/>
      <c r="J8" s="280"/>
      <c r="K8" s="718"/>
      <c r="L8" s="81"/>
      <c r="N8" s="716"/>
      <c r="O8" s="714"/>
      <c r="P8" s="714"/>
    </row>
    <row r="9" spans="1:16" ht="18" customHeight="1" x14ac:dyDescent="0.2">
      <c r="A9" s="467" t="s">
        <v>34</v>
      </c>
      <c r="B9" s="77"/>
      <c r="C9" s="299" t="s">
        <v>58</v>
      </c>
      <c r="D9" s="281">
        <f>VLOOKUP(A9,[4]Gestión!$D:$H,5,FALSE)</f>
        <v>0.1</v>
      </c>
      <c r="E9" s="504" t="s">
        <v>2</v>
      </c>
      <c r="F9" s="283">
        <f>+VLOOKUP(A9,'[4]B2B Red'!$C:$FG,MATCH($A$3,'[4]B2B Red'!$BG$6:$CU$6,0)+56,0)</f>
        <v>0.14000000000000001</v>
      </c>
      <c r="G9" s="284">
        <f>+VLOOKUP(A9,'[4]B2B Red'!$C:$FG,MATCH($A$3,'[4]B2B Red'!$BG$6:$CU$6,0)+57,0)</f>
        <v>0.18</v>
      </c>
      <c r="H9" s="283">
        <f>+F9</f>
        <v>0.14000000000000001</v>
      </c>
      <c r="I9" s="284">
        <f>+G9</f>
        <v>0.18</v>
      </c>
      <c r="J9" s="539"/>
      <c r="K9" s="540">
        <f>+VLOOKUP(A9,'[4]B2B Red'!$C:$FG,MATCH($A$3,'[4]B2B Red'!$BG$6:$CU$6,0)+58,0)+4%</f>
        <v>0.26</v>
      </c>
      <c r="L9" s="82"/>
      <c r="N9" s="285">
        <f>IF((F9-VLOOKUP($A9,[2]Citroën!$A:$L,COLUMNS([2]Citroën!$A$9:$F$9),0))*100=0,"ISO",(F9-VLOOKUP($A9,[2]Citroën!$A:$L,COLUMNS([2]Citroën!$A$9:$F$9),0))*100)</f>
        <v>2.0000000000000018</v>
      </c>
      <c r="O9" s="286">
        <f>IF((G9-VLOOKUP($A9,[2]Citroën!$A:$L,COLUMNS([2]Citroën!$A$9:$G$9),0))*100=0,"ISO",(G9-VLOOKUP($A9,[2]Citroën!$A:$L,COLUMNS([2]Citroën!$A$9:$G$9),0))*100)</f>
        <v>1.9999999999999991</v>
      </c>
      <c r="P9" s="286">
        <f>IF((K9-VLOOKUP($A9,[2]Citroën!$A:$L,COLUMNS([2]Citroën!$A$9:$K$9),0))*100=0,"ISO",(K9-VLOOKUP($A9,[2]Citroën!$A:$L,COLUMNS([2]Citroën!$A$9:$K$9),0))*100)</f>
        <v>1.9999999999999991</v>
      </c>
    </row>
    <row r="10" spans="1:16" ht="18" customHeight="1" thickBot="1" x14ac:dyDescent="0.25">
      <c r="A10" s="21" t="s">
        <v>28</v>
      </c>
      <c r="B10" s="77"/>
      <c r="C10" s="30"/>
      <c r="D10" s="31"/>
      <c r="E10" s="297" t="s">
        <v>5</v>
      </c>
      <c r="F10" s="287">
        <f>+F9-F11</f>
        <v>9.5000000000000001E-2</v>
      </c>
      <c r="G10" s="288">
        <f t="shared" ref="G10:I10" si="0">+G9-G11</f>
        <v>0.13</v>
      </c>
      <c r="H10" s="287">
        <f t="shared" si="0"/>
        <v>8.5000000000000006E-2</v>
      </c>
      <c r="I10" s="288">
        <f t="shared" si="0"/>
        <v>0.12</v>
      </c>
      <c r="J10" s="537"/>
      <c r="K10" s="541">
        <f>+K9-K11</f>
        <v>0.18</v>
      </c>
      <c r="L10" s="289"/>
      <c r="M10" s="290"/>
      <c r="N10" s="291">
        <f>+IF((ROUND(F10-HLOOKUP(F$7,[2]Citroën!$F$7:$G$86,MATCH($A9,[2]Citroën!$A$7:$A$86,0)+1,0),3))*100=0,"ISO",(F10-HLOOKUP(F$7,[2]Citroën!$F$7:$G$86,MATCH($A9,[2]Citroën!$A$7:$A$86,0)+1,0))*100)</f>
        <v>2.0000000000000018</v>
      </c>
      <c r="O10" s="292">
        <f>+IF((ROUND(G10-HLOOKUP(G$7,[2]Citroën!$F$7:$G$86,MATCH($A9,[2]Citroën!$A$7:$A$86,0)+1,0),3))*100=0,"ISO",(G10-HLOOKUP(G$7,[2]Citroën!$F$7:$G$86,MATCH($A9,[2]Citroën!$A$7:$A$86,0)+1,0))*100)</f>
        <v>2.0000000000000004</v>
      </c>
      <c r="P10" s="292">
        <f>IF((ROUND(K10-HLOOKUP(K$7,[2]Citroën!$K$7:$L$86,MATCH($A9,[2]Citroën!$A$7:$A$86,0)+1,0),3))*100=0,"ISO",(K10-HLOOKUP(K$7,[2]Citroën!$K$7:$L$86,MATCH($A9,[2]Citroën!$A$7:$A$86,0)+1,0))*100)</f>
        <v>0.99999999999999811</v>
      </c>
    </row>
    <row r="11" spans="1:16" ht="18" customHeight="1" thickBot="1" x14ac:dyDescent="0.25">
      <c r="B11" s="77"/>
      <c r="C11" s="32"/>
      <c r="D11" s="33"/>
      <c r="E11" s="298" t="s">
        <v>3</v>
      </c>
      <c r="F11" s="293">
        <f>+D9-VLOOKUP(A9,'[4]B2B Red'!$C:$FG,MATCH($A$3,'[4]B2B Red'!$CV$6:$EE$6,0)+97,0)</f>
        <v>4.5000000000000005E-2</v>
      </c>
      <c r="G11" s="294">
        <f>+D9-VLOOKUP(A9,'[4]B2B Red'!$C:$FG,MATCH($A$3,'[4]B2B Red'!$CV$6:$EE$6,0)+98,0)</f>
        <v>0.05</v>
      </c>
      <c r="H11" s="293">
        <f>+F11+1%</f>
        <v>5.5000000000000007E-2</v>
      </c>
      <c r="I11" s="294">
        <f>+G11+1%</f>
        <v>6.0000000000000005E-2</v>
      </c>
      <c r="J11" s="537"/>
      <c r="K11" s="542">
        <f>+D9-VLOOKUP(A9,'[4]B2B Red'!$C:$FG,MATCH($A$3,'[4]B2B Red'!$CV$6:$EE$6,0)+99,0)+1%</f>
        <v>0.08</v>
      </c>
      <c r="L11" s="289"/>
      <c r="M11" s="290"/>
      <c r="N11" s="502" t="str">
        <f>+IF((ROUND(F11-HLOOKUP(F$7,[2]Citroën!$F$7:$G$86,MATCH($A9,[2]Citroën!$A$7:$A$86,0)+2,0),3))*100=0,"ISO",(F11-HLOOKUP(F$7,[2]Citroën!$F$7:$G$86,MATCH($A9,[2]Citroën!$A$7:$A$86,0)+2,0))*100)</f>
        <v>ISO</v>
      </c>
      <c r="O11" s="296" t="str">
        <f>IF((ROUND(G11-HLOOKUP(G$7,[2]Citroën!$F$7:$G$86,MATCH($A9,[2]Citroën!$A$7:$A$86,0)+2,0),3))*100=0,"ISO",(G11-HLOOKUP(G$7,[2]Citroën!$F$7:$G$86,MATCH($A9,[2]Citroën!$A$7:$A$86,0)+2,0))*100)</f>
        <v>ISO</v>
      </c>
      <c r="P11" s="296">
        <f>IF((ROUND(K11-HLOOKUP(K$7,[2]Citroën!$K$7:$L$86,MATCH($A9,[2]Citroën!$A$7:$A$86,0)+2,0),3))*100=0,"ISO",(K11-HLOOKUP(K$7,[2]Citroën!$K$7:$L$86,MATCH($A9,[2]Citroën!$A$7:$A$86,0)+2,0))*100)</f>
        <v>0.99999999999999956</v>
      </c>
    </row>
    <row r="12" spans="1:16" ht="3.75" customHeight="1" thickBot="1" x14ac:dyDescent="0.25">
      <c r="B12" s="77"/>
      <c r="C12" s="83"/>
      <c r="D12" s="34"/>
      <c r="E12" s="274"/>
      <c r="F12" s="35"/>
      <c r="G12" s="35"/>
      <c r="H12" s="35"/>
      <c r="I12" s="35"/>
      <c r="J12" s="29"/>
      <c r="K12" s="35"/>
      <c r="L12" s="81"/>
    </row>
    <row r="13" spans="1:16" ht="18" customHeight="1" x14ac:dyDescent="0.2">
      <c r="A13" s="467" t="s">
        <v>35</v>
      </c>
      <c r="B13" s="77"/>
      <c r="C13" s="301" t="s">
        <v>59</v>
      </c>
      <c r="D13" s="302">
        <f>VLOOKUP(A13,[4]Gestión!$D:$H,5,FALSE)</f>
        <v>0.1</v>
      </c>
      <c r="E13" s="303" t="s">
        <v>2</v>
      </c>
      <c r="F13" s="304">
        <f>+VLOOKUP(A13,'[4]B2B Red'!$C:$FG,MATCH($A$3,'[4]B2B Red'!$BG$6:$CU$6,0)+56,0)</f>
        <v>0.14000000000000001</v>
      </c>
      <c r="G13" s="305">
        <f>+VLOOKUP(A13,'[4]B2B Red'!$C:$FG,MATCH($A$3,'[4]B2B Red'!$BG$6:$CU$6,0)+57,0)</f>
        <v>0.18</v>
      </c>
      <c r="H13" s="304">
        <f>+F13</f>
        <v>0.14000000000000001</v>
      </c>
      <c r="I13" s="306">
        <f>+G13</f>
        <v>0.18</v>
      </c>
      <c r="J13" s="24"/>
      <c r="K13" s="543">
        <f>+VLOOKUP(A13,'[4]B2B Red'!$C:$FG,MATCH($A$3,'[4]B2B Red'!$BG$6:$CU$6,0)+58,0)+4%</f>
        <v>0.26</v>
      </c>
      <c r="L13" s="82"/>
      <c r="N13" s="285">
        <f>IF((F13-VLOOKUP($A13,[2]Citroën!$A:$L,COLUMNS([2]Citroën!$A$9:$F$9),0))*100=0,"ISO",(F13-VLOOKUP($A13,[2]Citroën!$A:$L,COLUMNS([2]Citroën!$A$9:$F$9),0))*100)</f>
        <v>2.0000000000000018</v>
      </c>
      <c r="O13" s="286">
        <f>IF((G13-VLOOKUP($A13,[2]Citroën!$A:$L,COLUMNS([2]Citroën!$A$9:$G$9),0))*100=0,"ISO",(G13-VLOOKUP($A13,[2]Citroën!$A:$L,COLUMNS([2]Citroën!$A$9:$G$9),0))*100)</f>
        <v>1.9999999999999991</v>
      </c>
      <c r="P13" s="286">
        <f>IF((K13-VLOOKUP($A13,[2]Citroën!$A:$L,COLUMNS([2]Citroën!$A$9:$K$9),0))*100=0,"ISO",(K13-VLOOKUP($A13,[2]Citroën!$A:$L,COLUMNS([2]Citroën!$A$9:$K$9),0))*100)</f>
        <v>1.9999999999999991</v>
      </c>
    </row>
    <row r="14" spans="1:16" s="290" customFormat="1" ht="18" customHeight="1" thickBot="1" x14ac:dyDescent="0.25">
      <c r="A14" s="312" t="s">
        <v>28</v>
      </c>
      <c r="B14" s="313"/>
      <c r="C14" s="314"/>
      <c r="D14" s="315"/>
      <c r="E14" s="297" t="s">
        <v>5</v>
      </c>
      <c r="F14" s="287">
        <f>+F13-F15</f>
        <v>9.5000000000000001E-2</v>
      </c>
      <c r="G14" s="288">
        <f t="shared" ref="G14:I14" si="1">+G13-G15</f>
        <v>0.13</v>
      </c>
      <c r="H14" s="287">
        <f t="shared" si="1"/>
        <v>8.5000000000000006E-2</v>
      </c>
      <c r="I14" s="307">
        <f t="shared" si="1"/>
        <v>0.12</v>
      </c>
      <c r="J14" s="324"/>
      <c r="K14" s="541">
        <f>+K13-K15</f>
        <v>0.18</v>
      </c>
      <c r="L14" s="289"/>
      <c r="N14" s="291">
        <f>+IF((ROUND(F14-HLOOKUP(F$7,[2]Citroën!$F$7:$G$86,MATCH($A13,[2]Citroën!$A$7:$A$86,0)+1,0),3))*100=0,"ISO",(F14-HLOOKUP(F$7,[2]Citroën!$F$7:$G$86,MATCH($A13,[2]Citroën!$A$7:$A$86,0)+1,0))*100)</f>
        <v>2.0000000000000018</v>
      </c>
      <c r="O14" s="292">
        <f>+IF((ROUND(G14-HLOOKUP(G$7,[2]Citroën!$F$7:$G$86,MATCH($A13,[2]Citroën!$A$7:$A$86,0)+1,0),3))*100=0,"ISO",(G14-HLOOKUP(G$7,[2]Citroën!$F$7:$G$86,MATCH($A13,[2]Citroën!$A$7:$A$86,0)+1,0))*100)</f>
        <v>2.0000000000000004</v>
      </c>
      <c r="P14" s="292">
        <f>IF((ROUND(K14-HLOOKUP(K$7,[2]Citroën!$K$7:$L$86,MATCH($A13,[2]Citroën!$A$7:$A$86,0)+1,0),3))*100=0,"ISO",(K14-HLOOKUP(K$7,[2]Citroën!$K$7:$L$86,MATCH($A13,[2]Citroën!$A$7:$A$86,0)+1,0))*100)</f>
        <v>0.99999999999999811</v>
      </c>
    </row>
    <row r="15" spans="1:16" s="290" customFormat="1" ht="18" customHeight="1" thickBot="1" x14ac:dyDescent="0.25">
      <c r="A15" s="312"/>
      <c r="B15" s="313"/>
      <c r="C15" s="316"/>
      <c r="D15" s="317"/>
      <c r="E15" s="308" t="s">
        <v>3</v>
      </c>
      <c r="F15" s="309">
        <f>+D13-VLOOKUP(A13,'[4]B2B Red'!$C:$FG,MATCH($A$3,'[4]B2B Red'!$CV$6:$EE$6,0)+97,0)</f>
        <v>4.5000000000000005E-2</v>
      </c>
      <c r="G15" s="310">
        <f>+D13-VLOOKUP(A13,'[4]B2B Red'!$C:$FG,MATCH($A$3,'[4]B2B Red'!$CV$6:$EE$6,0)+98,0)</f>
        <v>0.05</v>
      </c>
      <c r="H15" s="309">
        <f>+F15+1%</f>
        <v>5.5000000000000007E-2</v>
      </c>
      <c r="I15" s="311">
        <f>+G15+1%</f>
        <v>6.0000000000000005E-2</v>
      </c>
      <c r="J15" s="324"/>
      <c r="K15" s="542">
        <f>+D13-VLOOKUP(A13,'[4]B2B Red'!$C:$FG,MATCH($A$3,'[4]B2B Red'!$CV$6:$EE$6,0)+99,0)+1%</f>
        <v>0.08</v>
      </c>
      <c r="L15" s="289"/>
      <c r="N15" s="295" t="str">
        <f>+IF((ROUND(F15-HLOOKUP(F$7,[2]Citroën!$F$7:$G$86,MATCH($A13,[2]Citroën!$A$7:$A$86,0)+2,0),3))*100=0,"ISO",(F15-HLOOKUP(F$7,[2]Citroën!$F$7:$G$86,MATCH($A13,[2]Citroën!$A$7:$A$86,0)+2,0))*100)</f>
        <v>ISO</v>
      </c>
      <c r="O15" s="296" t="str">
        <f>IF((ROUND(G15-HLOOKUP(G$7,[2]Citroën!$F$7:$G$86,MATCH($A13,[2]Citroën!$A$7:$A$86,0)+2,0),3))*100=0,"ISO",(G15-HLOOKUP(G$7,[2]Citroën!$F$7:$G$86,MATCH($A13,[2]Citroën!$A$7:$A$86,0)+2,0))*100)</f>
        <v>ISO</v>
      </c>
      <c r="P15" s="296">
        <f>IF((ROUND(K15-HLOOKUP(K$7,[2]Citroën!$K$7:$L$86,MATCH($A13,[2]Citroën!$A$7:$A$86,0)+2,0),3))*100=0,"ISO",(K15-HLOOKUP(K$7,[2]Citroën!$K$7:$L$86,MATCH($A13,[2]Citroën!$A$7:$A$86,0)+2,0))*100)</f>
        <v>0.99999999999999956</v>
      </c>
    </row>
    <row r="16" spans="1:16" ht="3.75" customHeight="1" thickBot="1" x14ac:dyDescent="0.25">
      <c r="B16" s="77"/>
      <c r="C16" s="84"/>
      <c r="D16" s="85"/>
      <c r="E16" s="84"/>
      <c r="F16" s="84"/>
      <c r="G16" s="84"/>
      <c r="H16" s="84"/>
      <c r="I16" s="84"/>
      <c r="J16" s="24"/>
      <c r="K16" s="544"/>
      <c r="L16" s="81"/>
    </row>
    <row r="17" spans="1:16" s="346" customFormat="1" ht="18" customHeight="1" thickBot="1" x14ac:dyDescent="0.25">
      <c r="A17" s="467" t="s">
        <v>45</v>
      </c>
      <c r="B17" s="341"/>
      <c r="C17" s="352" t="s">
        <v>60</v>
      </c>
      <c r="D17" s="342">
        <f>VLOOKUP(A17,[4]Gestión!$D:$H,5,FALSE)</f>
        <v>0.1</v>
      </c>
      <c r="E17" s="282" t="s">
        <v>2</v>
      </c>
      <c r="F17" s="283">
        <f>+VLOOKUP(A17,'[4]B2B Red'!$C:$FG,MATCH($A$3,'[4]B2B Red'!$BG$6:$CU$6,0)+56,0)</f>
        <v>0.14000000000000001</v>
      </c>
      <c r="G17" s="284">
        <f>+VLOOKUP(A17,'[4]B2B Red'!$C:$FG,MATCH($A$3,'[4]B2B Red'!$BG$6:$CU$6,0)+57,0)</f>
        <v>0.14000000000000001</v>
      </c>
      <c r="H17" s="343">
        <f>+F17</f>
        <v>0.14000000000000001</v>
      </c>
      <c r="I17" s="284">
        <f>+G17</f>
        <v>0.14000000000000001</v>
      </c>
      <c r="J17" s="344"/>
      <c r="K17" s="543">
        <f>+VLOOKUP(A17,'[4]B2B Red'!$C:$FG,MATCH($A$3,'[4]B2B Red'!$BG$6:$CU$6,0)+58,0)</f>
        <v>0.16</v>
      </c>
      <c r="L17" s="345"/>
      <c r="N17" s="285" t="str">
        <f>IF((F17-VLOOKUP($A17,[2]Citroën!$A:$L,COLUMNS([2]Citroën!$A$9:$F$9),0))*100=0,"ISO",(F17-VLOOKUP($A17,[2]Citroën!$A:$L,COLUMNS([2]Citroën!$A$9:$F$9),0))*100)</f>
        <v>ISO</v>
      </c>
      <c r="O17" s="286" t="str">
        <f>IF((G17-VLOOKUP($A17,[2]Citroën!$A:$L,COLUMNS([2]Citroën!$A$9:$G$9),0))*100=0,"ISO",(G17-VLOOKUP($A17,[2]Citroën!$A:$L,COLUMNS([2]Citroën!$A$9:$G$9),0))*100)</f>
        <v>ISO</v>
      </c>
      <c r="P17" s="286" t="str">
        <f>IF((K17-VLOOKUP($A17,[2]Citroën!$A:$L,COLUMNS([2]Citroën!$A$9:$K$9),0))*100=0,"ISO",(K17-VLOOKUP($A17,[2]Citroën!$A:$L,COLUMNS([2]Citroën!$A$9:$K$9),0))*100)</f>
        <v>ISO</v>
      </c>
    </row>
    <row r="18" spans="1:16" s="290" customFormat="1" ht="18" customHeight="1" x14ac:dyDescent="0.2">
      <c r="A18" s="312" t="s">
        <v>29</v>
      </c>
      <c r="B18" s="313"/>
      <c r="C18" s="318"/>
      <c r="D18" s="319"/>
      <c r="E18" s="297" t="s">
        <v>5</v>
      </c>
      <c r="F18" s="287">
        <f>+F17-F19</f>
        <v>9.0000000000000011E-2</v>
      </c>
      <c r="G18" s="288">
        <f t="shared" ref="G18:I18" si="2">+G17-G19</f>
        <v>9.0000000000000011E-2</v>
      </c>
      <c r="H18" s="287">
        <f t="shared" si="2"/>
        <v>8.0000000000000016E-2</v>
      </c>
      <c r="I18" s="288">
        <f t="shared" si="2"/>
        <v>8.0000000000000016E-2</v>
      </c>
      <c r="J18" s="537"/>
      <c r="K18" s="541">
        <f>+K17-K19</f>
        <v>0.1</v>
      </c>
      <c r="L18" s="289"/>
      <c r="N18" s="291" t="str">
        <f>+IF((ROUND(F18-HLOOKUP(F$7,[2]Citroën!$F$7:$G$86,MATCH($A17,[2]Citroën!$A$7:$A$86,0)+1,0),3))*100=0,"ISO",(F18-HLOOKUP(F$7,[2]Citroën!$F$7:$G$86,MATCH($A17,[2]Citroën!$A$7:$A$86,0)+1,0))*100)</f>
        <v>ISO</v>
      </c>
      <c r="O18" s="292" t="str">
        <f>+IF((ROUND(G18-HLOOKUP(G$7,[2]Citroën!$F$7:$G$86,MATCH($A17,[2]Citroën!$A$7:$A$86,0)+1,0),3))*100=0,"ISO",(G18-HLOOKUP(G$7,[2]Citroën!$F$7:$G$86,MATCH($A17,[2]Citroën!$A$7:$A$86,0)+1,0))*100)</f>
        <v>ISO</v>
      </c>
      <c r="P18" s="292" t="str">
        <f>IF((ROUND(K18-HLOOKUP(K$7,[2]Citroën!$K$7:$L$86,MATCH($A17,[2]Citroën!$A$7:$A$86,0)+1,0),3))*100=0,"ISO",(K18-HLOOKUP(K$7,[2]Citroën!$K$7:$L$86,MATCH($A17,[2]Citroën!$A$7:$A$86,0)+1,0))*100)</f>
        <v>ISO</v>
      </c>
    </row>
    <row r="19" spans="1:16" s="290" customFormat="1" ht="18" customHeight="1" thickBot="1" x14ac:dyDescent="0.25">
      <c r="A19" s="312"/>
      <c r="B19" s="313"/>
      <c r="C19" s="320"/>
      <c r="D19" s="321"/>
      <c r="E19" s="298" t="s">
        <v>3</v>
      </c>
      <c r="F19" s="293">
        <f>+D17-VLOOKUP(A17,'[4]B2B Red'!$C:$FG,MATCH($A$3,'[4]B2B Red'!$CV$6:$EE$6,0)+97,0)</f>
        <v>0.05</v>
      </c>
      <c r="G19" s="294">
        <f>+D17-VLOOKUP(A17,'[4]B2B Red'!$C:$FG,MATCH($A$3,'[4]B2B Red'!$CV$6:$EE$6,0)+98,0)</f>
        <v>0.05</v>
      </c>
      <c r="H19" s="293">
        <f>+F19+1%</f>
        <v>6.0000000000000005E-2</v>
      </c>
      <c r="I19" s="294">
        <f>+G19+1%</f>
        <v>6.0000000000000005E-2</v>
      </c>
      <c r="J19" s="537"/>
      <c r="K19" s="542">
        <f>+D17-VLOOKUP(A17,'[4]B2B Red'!$C:$FG,MATCH($A$3,'[4]B2B Red'!$CV$6:$EE$6,0)+99,0)</f>
        <v>6.0000000000000005E-2</v>
      </c>
      <c r="L19" s="289"/>
      <c r="N19" s="295" t="str">
        <f>+IF((ROUND(F19-HLOOKUP(F$7,[2]Citroën!$F$7:$G$86,MATCH($A17,[2]Citroën!$A$7:$A$86,0)+2,0),3))*100=0,"ISO",(F19-HLOOKUP(F$7,[2]Citroën!$F$7:$G$86,MATCH($A17,[2]Citroën!$A$7:$A$86,0)+2,0))*100)</f>
        <v>ISO</v>
      </c>
      <c r="O19" s="296" t="str">
        <f>IF((ROUND(G19-HLOOKUP(G$7,[2]Citroën!$F$7:$G$86,MATCH($A17,[2]Citroën!$A$7:$A$86,0)+2,0),3))*100=0,"ISO",(G19-HLOOKUP(G$7,[2]Citroën!$F$7:$G$86,MATCH($A17,[2]Citroën!$A$7:$A$86,0)+2,0))*100)</f>
        <v>ISO</v>
      </c>
      <c r="P19" s="296" t="str">
        <f>IF((ROUND(K19-HLOOKUP(K$7,[2]Citroën!$K$7:$L$86,MATCH($A17,[2]Citroën!$A$7:$A$86,0)+2,0),3))*100=0,"ISO",(K19-HLOOKUP(K$7,[2]Citroën!$K$7:$L$86,MATCH($A17,[2]Citroën!$A$7:$A$86,0)+2,0))*100)</f>
        <v>ISO</v>
      </c>
    </row>
    <row r="20" spans="1:16" s="290" customFormat="1" ht="3.75" customHeight="1" thickBot="1" x14ac:dyDescent="0.25">
      <c r="A20" s="312"/>
      <c r="B20" s="313"/>
      <c r="C20" s="322"/>
      <c r="D20" s="323"/>
      <c r="E20" s="322"/>
      <c r="F20" s="322"/>
      <c r="G20" s="322"/>
      <c r="H20" s="322"/>
      <c r="I20" s="322"/>
      <c r="J20" s="324"/>
      <c r="K20" s="545"/>
      <c r="L20" s="289"/>
    </row>
    <row r="21" spans="1:16" s="346" customFormat="1" ht="18" customHeight="1" thickBot="1" x14ac:dyDescent="0.25">
      <c r="A21" s="467" t="s">
        <v>48</v>
      </c>
      <c r="B21" s="341"/>
      <c r="C21" s="351" t="s">
        <v>91</v>
      </c>
      <c r="D21" s="342">
        <f>VLOOKUP(A21,[4]Gestión!$D:$H,5,FALSE)</f>
        <v>0.1</v>
      </c>
      <c r="E21" s="282" t="s">
        <v>2</v>
      </c>
      <c r="F21" s="283">
        <f>+VLOOKUP(A21,'[4]B2B Red'!$C:$FG,MATCH($A$3,'[4]B2B Red'!$BG$6:$CU$6,0)+56,0)</f>
        <v>0.14000000000000001</v>
      </c>
      <c r="G21" s="284">
        <f>+VLOOKUP(A21,'[4]B2B Red'!$C:$FG,MATCH($A$3,'[4]B2B Red'!$BG$6:$CU$6,0)+57,0)</f>
        <v>0.14000000000000001</v>
      </c>
      <c r="H21" s="343">
        <f>+F21</f>
        <v>0.14000000000000001</v>
      </c>
      <c r="I21" s="284">
        <f>+G21</f>
        <v>0.14000000000000001</v>
      </c>
      <c r="J21" s="344"/>
      <c r="K21" s="543">
        <f>+VLOOKUP(A21,'[4]B2B Red'!$C:$FG,MATCH($A$3,'[4]B2B Red'!$BG$6:$CU$6,0)+58,0)</f>
        <v>0.16</v>
      </c>
      <c r="L21" s="345"/>
      <c r="N21" s="285" t="str">
        <f>IF((F21-VLOOKUP($A21,[2]Citroën!$A:$L,COLUMNS([2]Citroën!$A$9:$F$9),0))*100=0,"ISO",(F21-VLOOKUP($A21,[2]Citroën!$A:$L,COLUMNS([2]Citroën!$A$9:$F$9),0))*100)</f>
        <v>ISO</v>
      </c>
      <c r="O21" s="286" t="str">
        <f>IF((G21-VLOOKUP($A21,[2]Citroën!$A:$L,COLUMNS([2]Citroën!$A$9:$G$9),0))*100=0,"ISO",(G21-VLOOKUP($A21,[2]Citroën!$A:$L,COLUMNS([2]Citroën!$A$9:$G$9),0))*100)</f>
        <v>ISO</v>
      </c>
      <c r="P21" s="286" t="str">
        <f>IF((K21-VLOOKUP($A21,[2]Citroën!$A:$L,COLUMNS([2]Citroën!$A$9:$K$9),0))*100=0,"ISO",(K21-VLOOKUP($A21,[2]Citroën!$A:$L,COLUMNS([2]Citroën!$A$9:$K$9),0))*100)</f>
        <v>ISO</v>
      </c>
    </row>
    <row r="22" spans="1:16" s="290" customFormat="1" ht="18" customHeight="1" x14ac:dyDescent="0.2">
      <c r="A22" s="312" t="s">
        <v>49</v>
      </c>
      <c r="B22" s="313"/>
      <c r="C22" s="325"/>
      <c r="D22" s="319"/>
      <c r="E22" s="297" t="s">
        <v>5</v>
      </c>
      <c r="F22" s="287">
        <f>+F21-F23</f>
        <v>9.0000000000000011E-2</v>
      </c>
      <c r="G22" s="288">
        <f t="shared" ref="G22:I22" si="3">+G21-G23</f>
        <v>9.0000000000000011E-2</v>
      </c>
      <c r="H22" s="287">
        <f t="shared" si="3"/>
        <v>8.0000000000000016E-2</v>
      </c>
      <c r="I22" s="288">
        <f t="shared" si="3"/>
        <v>8.0000000000000016E-2</v>
      </c>
      <c r="J22" s="537"/>
      <c r="K22" s="541">
        <f>+K21-K23</f>
        <v>0.1</v>
      </c>
      <c r="L22" s="289"/>
      <c r="N22" s="291" t="str">
        <f>+IF((ROUND(F22-HLOOKUP(F$7,[2]Citroën!$F$7:$G$86,MATCH($A21,[2]Citroën!$A$7:$A$86,0)+1,0),3))*100=0,"ISO",(F22-HLOOKUP(F$7,[2]Citroën!$F$7:$G$86,MATCH($A21,[2]Citroën!$A$7:$A$86,0)+1,0))*100)</f>
        <v>ISO</v>
      </c>
      <c r="O22" s="292" t="str">
        <f>+IF((ROUND(G22-HLOOKUP(G$7,[2]Citroën!$F$7:$G$86,MATCH($A21,[2]Citroën!$A$7:$A$86,0)+1,0),3))*100=0,"ISO",(G22-HLOOKUP(G$7,[2]Citroën!$F$7:$G$86,MATCH($A21,[2]Citroën!$A$7:$A$86,0)+1,0))*100)</f>
        <v>ISO</v>
      </c>
      <c r="P22" s="292" t="str">
        <f>IF((ROUND(K22-HLOOKUP(K$7,[2]Citroën!$K$7:$L$86,MATCH($A21,[2]Citroën!$A$7:$A$86,0)+1,0),3))*100=0,"ISO",(K22-HLOOKUP(K$7,[2]Citroën!$K$7:$L$86,MATCH($A21,[2]Citroën!$A$7:$A$86,0)+1,0))*100)</f>
        <v>ISO</v>
      </c>
    </row>
    <row r="23" spans="1:16" s="290" customFormat="1" ht="18" customHeight="1" thickBot="1" x14ac:dyDescent="0.25">
      <c r="A23" s="312"/>
      <c r="B23" s="313"/>
      <c r="C23" s="320"/>
      <c r="D23" s="321"/>
      <c r="E23" s="298" t="s">
        <v>3</v>
      </c>
      <c r="F23" s="293">
        <f>+D21-VLOOKUP(A21,'[4]B2B Red'!$C:$FG,MATCH($A$3,'[4]B2B Red'!$CV$6:$EE$6,0)+97,0)</f>
        <v>0.05</v>
      </c>
      <c r="G23" s="294">
        <f>+D21-VLOOKUP(A21,'[4]B2B Red'!$C:$FG,MATCH($A$3,'[4]B2B Red'!$CV$6:$EE$6,0)+98,0)</f>
        <v>0.05</v>
      </c>
      <c r="H23" s="293">
        <f>+F23+1%</f>
        <v>6.0000000000000005E-2</v>
      </c>
      <c r="I23" s="294">
        <f>+G23+1%</f>
        <v>6.0000000000000005E-2</v>
      </c>
      <c r="J23" s="537"/>
      <c r="K23" s="542">
        <f>+D21-VLOOKUP(A21,'[4]B2B Red'!$C:$FG,MATCH($A$3,'[4]B2B Red'!$CV$6:$EE$6,0)+99,0)</f>
        <v>6.0000000000000005E-2</v>
      </c>
      <c r="L23" s="289"/>
      <c r="N23" s="295" t="str">
        <f>+IF((ROUND(F23-HLOOKUP(F$7,[2]Citroën!$F$7:$G$86,MATCH($A21,[2]Citroën!$A$7:$A$86,0)+2,0),3))*100=0,"ISO",(F23-HLOOKUP(F$7,[2]Citroën!$F$7:$G$86,MATCH($A21,[2]Citroën!$A$7:$A$86,0)+2,0))*100)</f>
        <v>ISO</v>
      </c>
      <c r="O23" s="296" t="str">
        <f>IF((ROUND(G23-HLOOKUP(G$7,[2]Citroën!$F$7:$G$86,MATCH($A21,[2]Citroën!$A$7:$A$86,0)+2,0),3))*100=0,"ISO",(G23-HLOOKUP(G$7,[2]Citroën!$F$7:$G$86,MATCH($A21,[2]Citroën!$A$7:$A$86,0)+2,0))*100)</f>
        <v>ISO</v>
      </c>
      <c r="P23" s="296" t="str">
        <f>IF((ROUND(K23-HLOOKUP(K$7,[2]Citroën!$K$7:$L$86,MATCH($A21,[2]Citroën!$A$7:$A$86,0)+2,0),3))*100=0,"ISO",(K23-HLOOKUP(K$7,[2]Citroën!$K$7:$L$86,MATCH($A21,[2]Citroën!$A$7:$A$86,0)+2,0))*100)</f>
        <v>ISO</v>
      </c>
    </row>
    <row r="24" spans="1:16" s="290" customFormat="1" ht="3.75" customHeight="1" thickBot="1" x14ac:dyDescent="0.25">
      <c r="A24" s="312"/>
      <c r="B24" s="313"/>
      <c r="C24" s="322"/>
      <c r="D24" s="323"/>
      <c r="E24" s="322"/>
      <c r="F24" s="322"/>
      <c r="G24" s="322"/>
      <c r="H24" s="322"/>
      <c r="I24" s="322"/>
      <c r="J24" s="324"/>
      <c r="K24" s="545"/>
      <c r="L24" s="289"/>
    </row>
    <row r="25" spans="1:16" s="346" customFormat="1" ht="18" customHeight="1" x14ac:dyDescent="0.2">
      <c r="A25" s="467" t="s">
        <v>64</v>
      </c>
      <c r="B25" s="341"/>
      <c r="C25" s="468" t="s">
        <v>100</v>
      </c>
      <c r="D25" s="469">
        <f>VLOOKUP(A25,[4]Gestión!$D:$H,5,FALSE)</f>
        <v>0.1</v>
      </c>
      <c r="E25" s="303" t="s">
        <v>2</v>
      </c>
      <c r="F25" s="304">
        <f>+VLOOKUP(A25,'[4]B2B Red'!$C:$FG,MATCH($A$3,'[4]B2B Red'!$BG$6:$CU$6,0)+56,0)</f>
        <v>0.15</v>
      </c>
      <c r="G25" s="304">
        <f>+VLOOKUP(A25,'[4]B2B Red'!$C:$FG,MATCH($A$3,'[4]B2B Red'!$BG$6:$CU$6,0)+57,0)</f>
        <v>0.17</v>
      </c>
      <c r="H25" s="470">
        <f>+F25</f>
        <v>0.15</v>
      </c>
      <c r="I25" s="306">
        <f>+G25</f>
        <v>0.17</v>
      </c>
      <c r="J25" s="344"/>
      <c r="K25" s="543">
        <f>+VLOOKUP(A25,'[4]B2B Red'!$C:$FG,MATCH($A$3,'[4]B2B Red'!$BG$6:$CU$6,0)+58,0)</f>
        <v>0.21</v>
      </c>
      <c r="L25" s="345"/>
      <c r="N25" s="285" t="s">
        <v>57</v>
      </c>
      <c r="O25" s="286" t="s">
        <v>57</v>
      </c>
      <c r="P25" s="286" t="s">
        <v>57</v>
      </c>
    </row>
    <row r="26" spans="1:16" s="290" customFormat="1" ht="18" customHeight="1" x14ac:dyDescent="0.2">
      <c r="A26" s="312"/>
      <c r="B26" s="313"/>
      <c r="C26" s="471"/>
      <c r="D26" s="319"/>
      <c r="E26" s="326" t="s">
        <v>5</v>
      </c>
      <c r="F26" s="327">
        <f>+F25-F27</f>
        <v>0.10999999999999999</v>
      </c>
      <c r="G26" s="327">
        <f t="shared" ref="G26:I26" si="4">+G25-G27</f>
        <v>0.12000000000000001</v>
      </c>
      <c r="H26" s="328">
        <f t="shared" si="4"/>
        <v>9.9999999999999978E-2</v>
      </c>
      <c r="I26" s="472">
        <f t="shared" si="4"/>
        <v>0.11000000000000001</v>
      </c>
      <c r="J26" s="324"/>
      <c r="K26" s="546">
        <f>+K25-K27</f>
        <v>0.14499999999999999</v>
      </c>
      <c r="L26" s="289"/>
      <c r="N26" s="291">
        <f>+IF((ROUND(F26-HLOOKUP(F$7,[2]Citroën!$F$7:$G$86,MATCH($A25,[2]Citroën!$A$7:$A$86,0)+1,0),3))*100=0,"ISO",(F26-HLOOKUP(F$7,[2]Citroën!$F$7:$G$86,MATCH($A25,[2]Citroën!$A$7:$A$86,0)+1,0))*100)</f>
        <v>0.99999999999999811</v>
      </c>
      <c r="O26" s="292">
        <f>+IF((ROUND(G26-HLOOKUP(G$7,[2]Citroën!$F$7:$G$86,MATCH($A25,[2]Citroën!$A$7:$A$86,0)+1,0),3))*100=0,"ISO",(G26-HLOOKUP(G$7,[2]Citroën!$F$7:$G$86,MATCH($A25,[2]Citroën!$A$7:$A$86,0)+1,0))*100)</f>
        <v>1.0000000000000009</v>
      </c>
      <c r="P26" s="292">
        <f>IF((ROUND(K26-HLOOKUP(K$7,[2]Citroën!$K$7:$L$86,MATCH($A25,[2]Citroën!$A$7:$A$86,0)+1,0),3))*100=0,"ISO",(K26-HLOOKUP(K$7,[2]Citroën!$K$7:$L$86,MATCH($A25,[2]Citroën!$A$7:$A$86,0)+1,0))*100)</f>
        <v>0.99999999999999811</v>
      </c>
    </row>
    <row r="27" spans="1:16" s="290" customFormat="1" ht="18" customHeight="1" thickBot="1" x14ac:dyDescent="0.25">
      <c r="A27" s="312"/>
      <c r="B27" s="313"/>
      <c r="C27" s="473"/>
      <c r="D27" s="474"/>
      <c r="E27" s="475" t="s">
        <v>3</v>
      </c>
      <c r="F27" s="476">
        <f>+D25-VLOOKUP(A25,'[4]B2B Red'!$C:$FG,MATCH($A$3,'[4]B2B Red'!$CV$6:$EE$6,0)+97,0)</f>
        <v>4.0000000000000008E-2</v>
      </c>
      <c r="G27" s="476">
        <f>+D25-VLOOKUP(A25,'[4]B2B Red'!$C:$FG,MATCH($A$3,'[4]B2B Red'!$CV$6:$EE$6,0)+98,0)</f>
        <v>0.05</v>
      </c>
      <c r="H27" s="477">
        <f>+F27+1%</f>
        <v>5.000000000000001E-2</v>
      </c>
      <c r="I27" s="478">
        <f>+G27+1%</f>
        <v>6.0000000000000005E-2</v>
      </c>
      <c r="J27" s="324"/>
      <c r="K27" s="547">
        <f>+D25-VLOOKUP(A25,'[4]B2B Red'!$C:$FG,MATCH($A$3,'[4]B2B Red'!$CV$6:$EE$6,0)+99,0)</f>
        <v>6.5000000000000002E-2</v>
      </c>
      <c r="L27" s="289"/>
      <c r="N27" s="295" t="str">
        <f>+IF((ROUND(F27-HLOOKUP(F$7,[2]Citroën!$F$7:$G$86,MATCH($A25,[2]Citroën!$A$7:$A$86,0)+2,0),3))*100=0,"ISO",(F27-HLOOKUP(F$7,[2]Citroën!$F$7:$G$86,MATCH($A25,[2]Citroën!$A$7:$A$86,0)+2,0))*100)</f>
        <v>ISO</v>
      </c>
      <c r="O27" s="296" t="str">
        <f>IF((ROUND(G27-HLOOKUP(G$7,[2]Citroën!$F$7:$G$86,MATCH($A25,[2]Citroën!$A$7:$A$86,0)+2,0),3))*100=0,"ISO",(G27-HLOOKUP(G$7,[2]Citroën!$F$7:$G$86,MATCH($A25,[2]Citroën!$A$7:$A$86,0)+2,0))*100)</f>
        <v>ISO</v>
      </c>
      <c r="P27" s="296" t="str">
        <f>IF((ROUND(K27-HLOOKUP(K$7,[2]Citroën!$K$7:$L$86,MATCH($A25,[2]Citroën!$A$7:$A$86,0)+2,0),3))*100=0,"ISO",(K27-HLOOKUP(K$7,[2]Citroën!$K$7:$L$86,MATCH($A25,[2]Citroën!$A$7:$A$86,0)+2,0))*100)</f>
        <v>ISO</v>
      </c>
    </row>
    <row r="28" spans="1:16" s="290" customFormat="1" ht="6" customHeight="1" x14ac:dyDescent="0.2">
      <c r="A28" s="312"/>
      <c r="B28" s="313"/>
      <c r="C28" s="324"/>
      <c r="D28" s="333"/>
      <c r="E28" s="324"/>
      <c r="F28" s="324"/>
      <c r="G28" s="324"/>
      <c r="H28" s="324"/>
      <c r="I28" s="324"/>
      <c r="J28" s="324"/>
      <c r="K28" s="548"/>
      <c r="L28" s="289"/>
    </row>
    <row r="29" spans="1:16" s="290" customFormat="1" ht="15" hidden="1" x14ac:dyDescent="0.2">
      <c r="A29" s="312"/>
      <c r="B29" s="313"/>
      <c r="C29" s="334" t="s">
        <v>4</v>
      </c>
      <c r="D29" s="333"/>
      <c r="E29" s="324"/>
      <c r="F29" s="324"/>
      <c r="G29" s="324"/>
      <c r="H29" s="324"/>
      <c r="I29" s="324"/>
      <c r="J29" s="324"/>
      <c r="K29" s="548"/>
      <c r="L29" s="289"/>
    </row>
    <row r="30" spans="1:16" s="290" customFormat="1" ht="3.75" customHeight="1" thickBot="1" x14ac:dyDescent="0.25">
      <c r="A30" s="312"/>
      <c r="B30" s="313"/>
      <c r="C30" s="322"/>
      <c r="D30" s="323"/>
      <c r="E30" s="322"/>
      <c r="F30" s="322"/>
      <c r="G30" s="322"/>
      <c r="H30" s="322"/>
      <c r="I30" s="322"/>
      <c r="J30" s="324"/>
      <c r="K30" s="545"/>
      <c r="L30" s="289"/>
    </row>
    <row r="31" spans="1:16" s="346" customFormat="1" ht="18" customHeight="1" x14ac:dyDescent="0.2">
      <c r="A31" s="467" t="s">
        <v>36</v>
      </c>
      <c r="B31" s="341"/>
      <c r="C31" s="350" t="s">
        <v>90</v>
      </c>
      <c r="D31" s="347">
        <f>VLOOKUP(A31,[4]Gestión!$D:$H,5,FALSE)</f>
        <v>0.09</v>
      </c>
      <c r="E31" s="282" t="s">
        <v>2</v>
      </c>
      <c r="F31" s="343">
        <f>+VLOOKUP(A31,'[4]B2B Red'!$C:$FG,MATCH($A$3,'[4]B2B Red'!$BG$6:$CU$6,0)+56,0)</f>
        <v>0.06</v>
      </c>
      <c r="G31" s="284">
        <f>+VLOOKUP(A31,'[4]B2B Red'!$C:$FG,MATCH($A$3,'[4]B2B Red'!$BG$6:$CU$6,0)+57,0)</f>
        <v>0.08</v>
      </c>
      <c r="H31" s="283">
        <f>+F31</f>
        <v>0.06</v>
      </c>
      <c r="I31" s="284">
        <f>+G31</f>
        <v>0.08</v>
      </c>
      <c r="J31" s="536"/>
      <c r="K31" s="540">
        <f>+VLOOKUP(A31,'[4]B2B Red'!$C:$FG,MATCH($A$3,'[4]B2B Red'!$BG$6:$CU$6,0)+58,0)</f>
        <v>0.1</v>
      </c>
      <c r="L31" s="348"/>
      <c r="N31" s="285" t="str">
        <f>IF((F31-VLOOKUP($A31,[2]Citroën!$A:$L,COLUMNS([2]Citroën!$A$9:$F$9),0))*100=0,"ISO",(F31-VLOOKUP($A31,[2]Citroën!$A:$L,COLUMNS([2]Citroën!$A$9:$F$9),0))*100)</f>
        <v>ISO</v>
      </c>
      <c r="O31" s="286" t="str">
        <f>IF((G31-VLOOKUP($A31,[2]Citroën!$A:$L,COLUMNS([2]Citroën!$A$9:$G$9),0))*100=0,"ISO",(G31-VLOOKUP($A31,[2]Citroën!$A:$L,COLUMNS([2]Citroën!$A$9:$G$9),0))*100)</f>
        <v>ISO</v>
      </c>
      <c r="P31" s="286" t="str">
        <f>IF((K31-VLOOKUP($A31,[2]Citroën!$A:$L,COLUMNS([2]Citroën!$A$9:$K$9),0))*100=0,"ISO",(K31-VLOOKUP($A31,[2]Citroën!$A:$L,COLUMNS([2]Citroën!$A$9:$K$9),0))*100)</f>
        <v>ISO</v>
      </c>
    </row>
    <row r="32" spans="1:16" s="290" customFormat="1" ht="18" customHeight="1" x14ac:dyDescent="0.2">
      <c r="A32" s="312" t="s">
        <v>26</v>
      </c>
      <c r="B32" s="313"/>
      <c r="C32" s="336"/>
      <c r="D32" s="337"/>
      <c r="E32" s="297" t="s">
        <v>5</v>
      </c>
      <c r="F32" s="338">
        <f>+F31-F33</f>
        <v>3.5000000000000003E-2</v>
      </c>
      <c r="G32" s="288">
        <f t="shared" ref="G32:I32" si="5">+G31-G33</f>
        <v>4.5000000000000005E-2</v>
      </c>
      <c r="H32" s="287">
        <f t="shared" si="5"/>
        <v>2.5000000000000001E-2</v>
      </c>
      <c r="I32" s="288">
        <f t="shared" si="5"/>
        <v>3.5000000000000003E-2</v>
      </c>
      <c r="J32" s="537"/>
      <c r="K32" s="541">
        <f>+K31-K33</f>
        <v>4.0000000000000008E-2</v>
      </c>
      <c r="L32" s="335"/>
      <c r="N32" s="291" t="str">
        <f>+IF((ROUND(F32-HLOOKUP(F$7,[2]Citroën!$F$7:$G$86,MATCH($A31,[2]Citroën!$A$7:$A$86,0)+1,0),3))*100=0,"ISO",(F32-HLOOKUP(F$7,[2]Citroën!$F$7:$G$86,MATCH($A31,[2]Citroën!$A$7:$A$86,0)+1,0))*100)</f>
        <v>ISO</v>
      </c>
      <c r="O32" s="292" t="str">
        <f>+IF((ROUND(G32-HLOOKUP(G$7,[2]Citroën!$F$7:$G$86,MATCH($A31,[2]Citroën!$A$7:$A$86,0)+1,0),3))*100=0,"ISO",(G32-HLOOKUP(G$7,[2]Citroën!$F$7:$G$86,MATCH($A31,[2]Citroën!$A$7:$A$86,0)+1,0))*100)</f>
        <v>ISO</v>
      </c>
      <c r="P32" s="292" t="str">
        <f>IF((ROUND(K32-HLOOKUP(K$7,[2]Citroën!$K$7:$L$86,MATCH($A31,[2]Citroën!$A$7:$A$86,0)+1,0),3))*100=0,"ISO",(K32-HLOOKUP(K$7,[2]Citroën!$K$7:$L$86,MATCH($A31,[2]Citroën!$A$7:$A$86,0)+1,0))*100)</f>
        <v>ISO</v>
      </c>
    </row>
    <row r="33" spans="1:16" s="290" customFormat="1" ht="18" customHeight="1" thickBot="1" x14ac:dyDescent="0.25">
      <c r="A33" s="312"/>
      <c r="B33" s="313"/>
      <c r="C33" s="339"/>
      <c r="D33" s="340"/>
      <c r="E33" s="298" t="s">
        <v>3</v>
      </c>
      <c r="F33" s="300">
        <f>+D31-VLOOKUP(A31,'[4]B2B Red'!$C:$FG,MATCH($A$3,'[4]B2B Red'!$CV$6:$EE$6,0)+97,0)</f>
        <v>2.4999999999999994E-2</v>
      </c>
      <c r="G33" s="294">
        <f>+D31-VLOOKUP(A31,'[4]B2B Red'!$C:$FG,MATCH($A$3,'[4]B2B Red'!$CV$6:$EE$6,0)+98,0)</f>
        <v>3.4999999999999996E-2</v>
      </c>
      <c r="H33" s="293">
        <f>+F33+1%</f>
        <v>3.4999999999999996E-2</v>
      </c>
      <c r="I33" s="294">
        <f>+G33+1%</f>
        <v>4.4999999999999998E-2</v>
      </c>
      <c r="J33" s="537"/>
      <c r="K33" s="542">
        <f>+D31-VLOOKUP(A31,'[4]B2B Red'!$C:$FG,MATCH($A$3,'[4]B2B Red'!$CV$6:$EE$6,0)+99,0)</f>
        <v>0.06</v>
      </c>
      <c r="L33" s="335"/>
      <c r="N33" s="295" t="str">
        <f>+IF((ROUND(F33-HLOOKUP(F$7,[2]Citroën!$F$7:$G$86,MATCH($A31,[2]Citroën!$A$7:$A$86,0)+2,0),3))*100=0,"ISO",(F33-HLOOKUP(F$7,[2]Citroën!$F$7:$G$86,MATCH($A31,[2]Citroën!$A$7:$A$86,0)+2,0))*100)</f>
        <v>ISO</v>
      </c>
      <c r="O33" s="296" t="str">
        <f>IF((ROUND(G33-HLOOKUP(G$7,[2]Citroën!$F$7:$G$86,MATCH($A31,[2]Citroën!$A$7:$A$86,0)+2,0),3))*100=0,"ISO",(G33-HLOOKUP(G$7,[2]Citroën!$F$7:$G$86,MATCH($A31,[2]Citroën!$A$7:$A$86,0)+2,0))*100)</f>
        <v>ISO</v>
      </c>
      <c r="P33" s="296" t="str">
        <f>IF((ROUND(K33-HLOOKUP(K$7,[2]Citroën!$K$7:$L$86,MATCH($A31,[2]Citroën!$A$7:$A$86,0)+2,0),3))*100=0,"ISO",(K33-HLOOKUP(K$7,[2]Citroën!$K$7:$L$86,MATCH($A31,[2]Citroën!$A$7:$A$86,0)+2,0))*100)</f>
        <v>ISO</v>
      </c>
    </row>
    <row r="34" spans="1:16" s="346" customFormat="1" ht="18" customHeight="1" x14ac:dyDescent="0.2">
      <c r="A34" s="467" t="s">
        <v>110</v>
      </c>
      <c r="B34" s="341"/>
      <c r="C34" s="350" t="s">
        <v>89</v>
      </c>
      <c r="D34" s="347">
        <f>VLOOKUP(A34,[4]Gestión!$D:$H,5,FALSE)</f>
        <v>0.09</v>
      </c>
      <c r="E34" s="282" t="s">
        <v>2</v>
      </c>
      <c r="F34" s="343">
        <f>+VLOOKUP(A34,'[4]B2B Red'!$C:$FG,MATCH($A$3,'[4]B2B Red'!$BG$6:$CU$6,0)+56,0)</f>
        <v>0.06</v>
      </c>
      <c r="G34" s="284">
        <f>+VLOOKUP(A34,'[4]B2B Red'!$C:$FG,MATCH($A$3,'[4]B2B Red'!$BG$6:$CU$6,0)+57,0)</f>
        <v>0.08</v>
      </c>
      <c r="H34" s="283">
        <f>+F34</f>
        <v>0.06</v>
      </c>
      <c r="I34" s="284">
        <f>+G34</f>
        <v>0.08</v>
      </c>
      <c r="J34" s="536"/>
      <c r="K34" s="540">
        <f>+VLOOKUP(A34,'[4]B2B Red'!$C:$FG,MATCH($A$3,'[4]B2B Red'!$BG$6:$CU$6,0)+58,0)</f>
        <v>0.1</v>
      </c>
      <c r="L34" s="348"/>
      <c r="N34" s="285" t="str">
        <f>IF((F34-VLOOKUP($A34,[2]Citroën!$A:$L,COLUMNS([2]Citroën!$A$9:$F$9),0))*100=0,"ISO",(F34-VLOOKUP($A34,[2]Citroën!$A:$L,COLUMNS([2]Citroën!$A$9:$F$9),0))*100)</f>
        <v>ISO</v>
      </c>
      <c r="O34" s="286" t="str">
        <f>IF((G34-VLOOKUP($A34,[2]Citroën!$A:$L,COLUMNS([2]Citroën!$A$9:$G$9),0))*100=0,"ISO",(G34-VLOOKUP($A34,[2]Citroën!$A:$L,COLUMNS([2]Citroën!$A$9:$G$9),0))*100)</f>
        <v>ISO</v>
      </c>
      <c r="P34" s="286" t="str">
        <f>IF((K34-VLOOKUP($A34,[2]Citroën!$A:$L,COLUMNS([2]Citroën!$A$9:$K$9),0))*100=0,"ISO",(K34-VLOOKUP($A34,[2]Citroën!$A:$L,COLUMNS([2]Citroën!$A$9:$K$9),0))*100)</f>
        <v>ISO</v>
      </c>
    </row>
    <row r="35" spans="1:16" s="290" customFormat="1" ht="18" customHeight="1" x14ac:dyDescent="0.2">
      <c r="A35" s="312" t="s">
        <v>54</v>
      </c>
      <c r="B35" s="313"/>
      <c r="C35" s="336"/>
      <c r="D35" s="337"/>
      <c r="E35" s="297" t="s">
        <v>5</v>
      </c>
      <c r="F35" s="338">
        <f>+F34-F36</f>
        <v>3.5000000000000003E-2</v>
      </c>
      <c r="G35" s="288">
        <f t="shared" ref="G35:I35" si="6">+G34-G36</f>
        <v>4.5000000000000005E-2</v>
      </c>
      <c r="H35" s="287">
        <f t="shared" si="6"/>
        <v>2.5000000000000001E-2</v>
      </c>
      <c r="I35" s="288">
        <f t="shared" si="6"/>
        <v>3.5000000000000003E-2</v>
      </c>
      <c r="J35" s="537"/>
      <c r="K35" s="541">
        <f>+K34-K36</f>
        <v>4.0000000000000008E-2</v>
      </c>
      <c r="L35" s="335"/>
      <c r="N35" s="291" t="str">
        <f>+IF((ROUND(F35-HLOOKUP(F$7,[2]Citroën!$F$7:$G$86,MATCH($A34,[2]Citroën!$A$7:$A$86,0)+1,0),3))*100=0,"ISO",(F35-HLOOKUP(F$7,[2]Citroën!$F$7:$G$86,MATCH($A34,[2]Citroën!$A$7:$A$86,0)+1,0))*100)</f>
        <v>ISO</v>
      </c>
      <c r="O35" s="292" t="str">
        <f>+IF((ROUND(G35-HLOOKUP(G$7,[2]Citroën!$F$7:$G$86,MATCH($A34,[2]Citroën!$A$7:$A$86,0)+1,0),3))*100=0,"ISO",(G35-HLOOKUP(G$7,[2]Citroën!$F$7:$G$86,MATCH($A34,[2]Citroën!$A$7:$A$86,0)+1,0))*100)</f>
        <v>ISO</v>
      </c>
      <c r="P35" s="292" t="str">
        <f>IF((ROUND(K35-HLOOKUP(K$7,[2]Citroën!$K$7:$L$86,MATCH($A34,[2]Citroën!$A$7:$A$86,0)+1,0),3))*100=0,"ISO",(K35-HLOOKUP(K$7,[2]Citroën!$K$7:$L$86,MATCH($A34,[2]Citroën!$A$7:$A$86,0)+1,0))*100)</f>
        <v>ISO</v>
      </c>
    </row>
    <row r="36" spans="1:16" s="290" customFormat="1" ht="18" customHeight="1" thickBot="1" x14ac:dyDescent="0.25">
      <c r="A36" s="312"/>
      <c r="B36" s="313"/>
      <c r="C36" s="339"/>
      <c r="D36" s="340"/>
      <c r="E36" s="298" t="s">
        <v>3</v>
      </c>
      <c r="F36" s="300">
        <f>+D34-VLOOKUP(A34,'[4]B2B Red'!$C:$FG,MATCH($A$3,'[4]B2B Red'!$CV$6:$EE$6,0)+97,0)-0.01</f>
        <v>2.4999999999999994E-2</v>
      </c>
      <c r="G36" s="294">
        <f>+D34-VLOOKUP(A34,'[4]B2B Red'!$C:$FG,MATCH($A$3,'[4]B2B Red'!$CV$6:$EE$6,0)+98,0)-0.01</f>
        <v>3.4999999999999996E-2</v>
      </c>
      <c r="H36" s="293">
        <f>+F36+1%</f>
        <v>3.4999999999999996E-2</v>
      </c>
      <c r="I36" s="294">
        <f>+G36+1%</f>
        <v>4.4999999999999998E-2</v>
      </c>
      <c r="J36" s="537"/>
      <c r="K36" s="542">
        <f>+D34-VLOOKUP(A34,'[4]B2B Red'!$C:$FG,MATCH($A$3,'[4]B2B Red'!$CV$6:$EE$6,0)+99,0)</f>
        <v>0.06</v>
      </c>
      <c r="L36" s="335"/>
      <c r="N36" s="295" t="str">
        <f>+IF((ROUND(F36-HLOOKUP(F$7,[2]Citroën!$F$7:$G$86,MATCH($A34,[2]Citroën!$A$7:$A$86,0)+2,0),3))*100=0,"ISO",(F36-HLOOKUP(F$7,[2]Citroën!$F$7:$G$86,MATCH($A34,[2]Citroën!$A$7:$A$86,0)+2,0))*100)</f>
        <v>ISO</v>
      </c>
      <c r="O36" s="296" t="str">
        <f>IF((ROUND(G36-HLOOKUP(G$7,[2]Citroën!$F$7:$G$86,MATCH($A34,[2]Citroën!$A$7:$A$86,0)+2,0),3))*100=0,"ISO",(G36-HLOOKUP(G$7,[2]Citroën!$F$7:$G$86,MATCH($A34,[2]Citroën!$A$7:$A$86,0)+2,0))*100)</f>
        <v>ISO</v>
      </c>
      <c r="P36" s="296" t="str">
        <f>IF((ROUND(K36-HLOOKUP(K$7,[2]Citroën!$K$7:$L$86,MATCH($A34,[2]Citroën!$A$7:$A$86,0)+2,0),3))*100=0,"ISO",(K36-HLOOKUP(K$7,[2]Citroën!$K$7:$L$86,MATCH($A34,[2]Citroën!$A$7:$A$86,0)+2,0))*100)</f>
        <v>ISO</v>
      </c>
    </row>
    <row r="37" spans="1:16" s="346" customFormat="1" ht="18" customHeight="1" x14ac:dyDescent="0.2">
      <c r="A37" s="467" t="s">
        <v>37</v>
      </c>
      <c r="B37" s="341"/>
      <c r="C37" s="350" t="s">
        <v>108</v>
      </c>
      <c r="D37" s="347">
        <f>VLOOKUP(A37,[4]Gestión!$D:$H,5,FALSE)</f>
        <v>0.09</v>
      </c>
      <c r="E37" s="282" t="s">
        <v>2</v>
      </c>
      <c r="F37" s="343">
        <f>+VLOOKUP(A37,'[4]B2B Red'!$C:$FG,MATCH($A$3,'[4]B2B Red'!$BG$6:$CU$6,0)+56,0)</f>
        <v>0.06</v>
      </c>
      <c r="G37" s="284">
        <f>+VLOOKUP(A37,'[4]B2B Red'!$C:$FG,MATCH($A$3,'[4]B2B Red'!$BG$6:$CU$6,0)+57,0)</f>
        <v>0.08</v>
      </c>
      <c r="H37" s="283">
        <f>+F37</f>
        <v>0.06</v>
      </c>
      <c r="I37" s="284">
        <f>+G37</f>
        <v>0.08</v>
      </c>
      <c r="J37" s="536"/>
      <c r="K37" s="540">
        <f>+VLOOKUP(A37,'[4]B2B Red'!$C:$FG,MATCH($A$3,'[4]B2B Red'!$BG$6:$CU$6,0)+58,0)</f>
        <v>0.1</v>
      </c>
      <c r="L37" s="348"/>
      <c r="N37" s="285" t="str">
        <f>IF((F37-VLOOKUP($A37,[2]Citroën!$A:$L,COLUMNS([2]Citroën!$A$9:$F$9),0))*100=0,"ISO",(F37-VLOOKUP($A37,[2]Citroën!$A:$L,COLUMNS([2]Citroën!$A$9:$F$9),0))*100)</f>
        <v>ISO</v>
      </c>
      <c r="O37" s="286" t="str">
        <f>IF((G37-VLOOKUP($A37,[2]Citroën!$A:$L,COLUMNS([2]Citroën!$A$9:$G$9),0))*100=0,"ISO",(G37-VLOOKUP($A37,[2]Citroën!$A:$L,COLUMNS([2]Citroën!$A$9:$G$9),0))*100)</f>
        <v>ISO</v>
      </c>
      <c r="P37" s="286" t="str">
        <f>IF((K37-VLOOKUP($A37,[2]Citroën!$A:$L,COLUMNS([2]Citroën!$A$9:$K$9),0))*100=0,"ISO",(K37-VLOOKUP($A37,[2]Citroën!$A:$L,COLUMNS([2]Citroën!$A$9:$K$9),0))*100)</f>
        <v>ISO</v>
      </c>
    </row>
    <row r="38" spans="1:16" s="290" customFormat="1" ht="18" customHeight="1" x14ac:dyDescent="0.2">
      <c r="A38" s="312" t="s">
        <v>27</v>
      </c>
      <c r="B38" s="313"/>
      <c r="C38" s="336"/>
      <c r="D38" s="337"/>
      <c r="E38" s="297" t="s">
        <v>5</v>
      </c>
      <c r="F38" s="338">
        <f>+F37-F39</f>
        <v>3.5000000000000003E-2</v>
      </c>
      <c r="G38" s="288">
        <f t="shared" ref="G38:I38" si="7">+G37-G39</f>
        <v>4.5000000000000005E-2</v>
      </c>
      <c r="H38" s="287">
        <f t="shared" si="7"/>
        <v>2.5000000000000001E-2</v>
      </c>
      <c r="I38" s="288">
        <f t="shared" si="7"/>
        <v>3.5000000000000003E-2</v>
      </c>
      <c r="J38" s="537"/>
      <c r="K38" s="541">
        <f>+K37-K39</f>
        <v>4.0000000000000008E-2</v>
      </c>
      <c r="L38" s="335"/>
      <c r="N38" s="501" t="str">
        <f>+IF((ROUND(F38-HLOOKUP(F$7,[2]Citroën!$F$7:$G$86,MATCH($A37,[2]Citroën!$A$7:$A$86,0)+1,0),3))*100=0,"ISO",(F38-HLOOKUP(F$7,[2]Citroën!$F$7:$G$86,MATCH($A37,[2]Citroën!$A$7:$A$86,0)+1,0))*100)</f>
        <v>ISO</v>
      </c>
      <c r="O38" s="292" t="str">
        <f>+IF((ROUND(G38-HLOOKUP(G$7,[2]Citroën!$F$7:$G$86,MATCH($A37,[2]Citroën!$A$7:$A$86,0)+1,0),3))*100=0,"ISO",(G38-HLOOKUP(G$7,[2]Citroën!$F$7:$G$86,MATCH($A37,[2]Citroën!$A$7:$A$86,0)+1,0))*100)</f>
        <v>ISO</v>
      </c>
      <c r="P38" s="292" t="str">
        <f>IF((ROUND(K38-HLOOKUP(K$7,[2]Citroën!$K$7:$L$86,MATCH($A37,[2]Citroën!$A$7:$A$86,0)+1,0),3))*100=0,"ISO",(K38-HLOOKUP(K$7,[2]Citroën!$K$7:$L$86,MATCH($A37,[2]Citroën!$A$7:$A$86,0)+1,0))*100)</f>
        <v>ISO</v>
      </c>
    </row>
    <row r="39" spans="1:16" s="290" customFormat="1" ht="18" customHeight="1" thickBot="1" x14ac:dyDescent="0.25">
      <c r="A39" s="312"/>
      <c r="B39" s="313"/>
      <c r="C39" s="339"/>
      <c r="D39" s="340"/>
      <c r="E39" s="298" t="s">
        <v>3</v>
      </c>
      <c r="F39" s="300">
        <f>+D37-VLOOKUP(A37,'[4]B2B Red'!$C:$FG,MATCH($A$3,'[4]B2B Red'!$CV$6:$EE$6,0)+97,0)-0.01</f>
        <v>2.4999999999999994E-2</v>
      </c>
      <c r="G39" s="294">
        <f>+D37-VLOOKUP(A37,'[4]B2B Red'!$C:$FG,MATCH($A$3,'[4]B2B Red'!$CV$6:$EE$6,0)+98,0)</f>
        <v>3.4999999999999996E-2</v>
      </c>
      <c r="H39" s="293">
        <f>+F39+1%</f>
        <v>3.4999999999999996E-2</v>
      </c>
      <c r="I39" s="294">
        <f>+G39+1%</f>
        <v>4.4999999999999998E-2</v>
      </c>
      <c r="J39" s="537"/>
      <c r="K39" s="542">
        <f>+D37-VLOOKUP(A37,'[4]B2B Red'!$C:$FG,MATCH($A$3,'[4]B2B Red'!$CV$6:$EE$6,0)+99,0)</f>
        <v>0.06</v>
      </c>
      <c r="L39" s="335"/>
      <c r="N39" s="295" t="str">
        <f>+IF((ROUND(F39-HLOOKUP(F$7,[2]Citroën!$F$7:$G$86,MATCH($A37,[2]Citroën!$A$7:$A$86,0)+2,0),3))*100=0,"ISO",(F39-HLOOKUP(F$7,[2]Citroën!$F$7:$G$86,MATCH($A37,[2]Citroën!$A$7:$A$86,0)+2,0))*100)</f>
        <v>ISO</v>
      </c>
      <c r="O39" s="296" t="str">
        <f>IF((ROUND(G39-HLOOKUP(G$7,[2]Citroën!$F$7:$G$86,MATCH($A37,[2]Citroën!$A$7:$A$86,0)+2,0),3))*100=0,"ISO",(G39-HLOOKUP(G$7,[2]Citroën!$F$7:$G$86,MATCH($A37,[2]Citroën!$A$7:$A$86,0)+2,0))*100)</f>
        <v>ISO</v>
      </c>
      <c r="P39" s="296" t="str">
        <f>IF((ROUND(K39-HLOOKUP(K$7,[2]Citroën!$K$7:$L$86,MATCH($A37,[2]Citroën!$A$7:$A$86,0)+2,0),3))*100=0,"ISO",(K39-HLOOKUP(K$7,[2]Citroën!$K$7:$L$86,MATCH($A37,[2]Citroën!$A$7:$A$86,0)+2,0))*100)</f>
        <v>ISO</v>
      </c>
    </row>
    <row r="40" spans="1:16" s="346" customFormat="1" ht="18" customHeight="1" x14ac:dyDescent="0.2">
      <c r="A40" s="467" t="s">
        <v>101</v>
      </c>
      <c r="B40" s="341"/>
      <c r="C40" s="350" t="s">
        <v>88</v>
      </c>
      <c r="D40" s="347">
        <f>VLOOKUP(A40,[4]Gestión!$D:$H,5,FALSE)</f>
        <v>0.09</v>
      </c>
      <c r="E40" s="282" t="s">
        <v>2</v>
      </c>
      <c r="F40" s="283">
        <f>+VLOOKUP(A40,'[4]B2B Red'!$C:$FG,MATCH($A$3,'[4]B2B Red'!$BG$6:$CU$6,0)+56,0)</f>
        <v>0.06</v>
      </c>
      <c r="G40" s="284">
        <f>+VLOOKUP(A40,'[4]B2B Red'!$C:$FG,MATCH($A$3,'[4]B2B Red'!$BG$6:$CU$6,0)+57,0)</f>
        <v>0.08</v>
      </c>
      <c r="H40" s="283">
        <f>+F40</f>
        <v>0.06</v>
      </c>
      <c r="I40" s="284">
        <f>+G40</f>
        <v>0.08</v>
      </c>
      <c r="J40" s="538"/>
      <c r="K40" s="540">
        <f>+VLOOKUP(A40,'[4]B2B Red'!$C:$FG,MATCH($A$3,'[4]B2B Red'!$BG$6:$CU$6,0)+58,0)</f>
        <v>0.1</v>
      </c>
      <c r="L40" s="348"/>
      <c r="N40" s="285" t="str">
        <f>IF((F40-VLOOKUP($A40,[2]Citroën!$A:$L,COLUMNS([2]Citroën!$A$9:$F$9),0))*100=0,"ISO",(F40-VLOOKUP($A40,[2]Citroën!$A:$L,COLUMNS([2]Citroën!$A$9:$F$9),0))*100)</f>
        <v>ISO</v>
      </c>
      <c r="O40" s="286" t="str">
        <f>IF((G40-VLOOKUP($A40,[2]Citroën!$A:$L,COLUMNS([2]Citroën!$A$9:$G$9),0))*100=0,"ISO",(G40-VLOOKUP($A40,[2]Citroën!$A:$L,COLUMNS([2]Citroën!$A$9:$G$9),0))*100)</f>
        <v>ISO</v>
      </c>
      <c r="P40" s="286" t="str">
        <f>IF((K40-VLOOKUP($A40,[2]Citroën!$A:$L,COLUMNS([2]Citroën!$A$9:$K$9),0))*100=0,"ISO",(K40-VLOOKUP($A40,[2]Citroën!$A:$L,COLUMNS([2]Citroën!$A$9:$K$9),0))*100)</f>
        <v>ISO</v>
      </c>
    </row>
    <row r="41" spans="1:16" s="290" customFormat="1" ht="18" customHeight="1" x14ac:dyDescent="0.2">
      <c r="A41" s="312" t="s">
        <v>38</v>
      </c>
      <c r="B41" s="313"/>
      <c r="C41" s="336"/>
      <c r="D41" s="337"/>
      <c r="E41" s="326" t="s">
        <v>5</v>
      </c>
      <c r="F41" s="327">
        <f>+F40-F42</f>
        <v>3.5000000000000003E-2</v>
      </c>
      <c r="G41" s="329">
        <f t="shared" ref="G41:I41" si="8">+G40-G42</f>
        <v>4.5000000000000005E-2</v>
      </c>
      <c r="H41" s="327">
        <f t="shared" si="8"/>
        <v>2.5000000000000001E-2</v>
      </c>
      <c r="I41" s="329">
        <f t="shared" si="8"/>
        <v>3.5000000000000003E-2</v>
      </c>
      <c r="J41" s="537"/>
      <c r="K41" s="546">
        <f>+K40-K42</f>
        <v>4.0000000000000008E-2</v>
      </c>
      <c r="L41" s="335"/>
      <c r="N41" s="291" t="str">
        <f>+IF((ROUND(F41-HLOOKUP(F$7,[2]Citroën!$F$7:$G$86,MATCH($A40,[2]Citroën!$A$7:$A$86,0)+1,0),3))*100=0,"ISO",(F41-HLOOKUP(F$7,[2]Citroën!$F$7:$G$86,MATCH($A40,[2]Citroën!$A$7:$A$86,0)+1,0))*100)</f>
        <v>ISO</v>
      </c>
      <c r="O41" s="292" t="str">
        <f>+IF((ROUND(G41-HLOOKUP(G$7,[2]Citroën!$F$7:$G$86,MATCH($A40,[2]Citroën!$A$7:$A$86,0)+1,0),3))*100=0,"ISO",(G41-HLOOKUP(G$7,[2]Citroën!$F$7:$G$86,MATCH($A40,[2]Citroën!$A$7:$A$86,0)+1,0))*100)</f>
        <v>ISO</v>
      </c>
      <c r="P41" s="292" t="str">
        <f>IF((ROUND(K41-HLOOKUP(K$7,[2]Citroën!$K$7:$L$86,MATCH($A40,[2]Citroën!$A$7:$A$86,0)+1,0),3))*100=0,"ISO",(K41-HLOOKUP(K$7,[2]Citroën!$K$7:$L$86,MATCH($A40,[2]Citroën!$A$7:$A$86,0)+1,0))*100)</f>
        <v>ISO</v>
      </c>
    </row>
    <row r="42" spans="1:16" s="290" customFormat="1" ht="18" customHeight="1" thickBot="1" x14ac:dyDescent="0.25">
      <c r="A42" s="312"/>
      <c r="B42" s="313"/>
      <c r="C42" s="339"/>
      <c r="D42" s="340"/>
      <c r="E42" s="331" t="s">
        <v>3</v>
      </c>
      <c r="F42" s="332">
        <f>+D40-VLOOKUP(A40,'[4]B2B Red'!$C:$FG,MATCH($A$3,'[4]B2B Red'!$CV$6:$EE$6,0)+97,0)</f>
        <v>2.4999999999999994E-2</v>
      </c>
      <c r="G42" s="330">
        <f>+D40-VLOOKUP(A40,'[4]B2B Red'!$C:$FG,MATCH($A$3,'[4]B2B Red'!$CV$6:$EE$6,0)+98,0)</f>
        <v>3.4999999999999996E-2</v>
      </c>
      <c r="H42" s="332">
        <f>+F42+1%</f>
        <v>3.4999999999999996E-2</v>
      </c>
      <c r="I42" s="330">
        <f>+G42+1%</f>
        <v>4.4999999999999998E-2</v>
      </c>
      <c r="J42" s="537"/>
      <c r="K42" s="547">
        <f>+D40-VLOOKUP(A40,'[4]B2B Red'!$C:$FG,MATCH($A$3,'[4]B2B Red'!$CV$6:$EE$6,0)+99,0)</f>
        <v>0.06</v>
      </c>
      <c r="L42" s="335"/>
      <c r="N42" s="295" t="str">
        <f>+IF((ROUND(F42-HLOOKUP(F$7,[2]Citroën!$F$7:$G$86,MATCH($A40,[2]Citroën!$A$7:$A$86,0)+2,0),3))*100=0,"ISO",(F42-HLOOKUP(F$7,[2]Citroën!$F$7:$G$86,MATCH($A40,[2]Citroën!$A$7:$A$86,0)+2,0))*100)</f>
        <v>ISO</v>
      </c>
      <c r="O42" s="296" t="str">
        <f>IF((ROUND(G42-HLOOKUP(G$7,[2]Citroën!$F$7:$G$86,MATCH($A40,[2]Citroën!$A$7:$A$86,0)+2,0),3))*100=0,"ISO",(G42-HLOOKUP(G$7,[2]Citroën!$F$7:$G$86,MATCH($A40,[2]Citroën!$A$7:$A$86,0)+2,0))*100)</f>
        <v>ISO</v>
      </c>
      <c r="P42" s="296" t="str">
        <f>IF((ROUND(K42-HLOOKUP(K$7,[2]Citroën!$K$7:$L$86,MATCH($A40,[2]Citroën!$A$7:$A$86,0)+2,0),3))*100=0,"ISO",(K42-HLOOKUP(K$7,[2]Citroën!$K$7:$L$86,MATCH($A40,[2]Citroën!$A$7:$A$86,0)+2,0))*100)</f>
        <v>ISO</v>
      </c>
    </row>
    <row r="43" spans="1:16" s="346" customFormat="1" ht="18" customHeight="1" x14ac:dyDescent="0.2">
      <c r="A43" s="467" t="s">
        <v>102</v>
      </c>
      <c r="B43" s="341"/>
      <c r="C43" s="350" t="s">
        <v>109</v>
      </c>
      <c r="D43" s="349">
        <f>VLOOKUP(A43,[4]Gestión!$D:$H,5,FALSE)</f>
        <v>0.09</v>
      </c>
      <c r="E43" s="282" t="s">
        <v>2</v>
      </c>
      <c r="F43" s="343">
        <f>+VLOOKUP(A43,'[4]B2B Red'!$C:$FG,MATCH($A$3,'[4]B2B Red'!$BG$6:$CU$6,0)+56,0)</f>
        <v>0.06</v>
      </c>
      <c r="G43" s="284">
        <f>+VLOOKUP(A43,'[4]B2B Red'!$C:$FG,MATCH($A$3,'[4]B2B Red'!$BG$6:$CU$6,0)+57,0)</f>
        <v>0.08</v>
      </c>
      <c r="H43" s="283">
        <f>+F43</f>
        <v>0.06</v>
      </c>
      <c r="I43" s="284">
        <f>+G43</f>
        <v>0.08</v>
      </c>
      <c r="J43" s="536"/>
      <c r="K43" s="540">
        <f>+VLOOKUP(A43,'[4]B2B Red'!$C:$FG,MATCH($A$3,'[4]B2B Red'!$BG$6:$CU$6,0)+58,0)</f>
        <v>0.1</v>
      </c>
      <c r="L43" s="348"/>
      <c r="N43" s="285" t="str">
        <f>IF((F43-VLOOKUP($A43,[2]Citroën!$A:$L,COLUMNS([2]Citroën!$A$9:$F$9),0))*100=0,"ISO",(F43-VLOOKUP($A43,[2]Citroën!$A:$L,COLUMNS([2]Citroën!$A$9:$F$9),0))*100)</f>
        <v>ISO</v>
      </c>
      <c r="O43" s="286" t="str">
        <f>IF((G43-VLOOKUP($A43,[2]Citroën!$A:$L,COLUMNS([2]Citroën!$A$9:$G$9),0))*100=0,"ISO",(G43-VLOOKUP($A43,[2]Citroën!$A:$L,COLUMNS([2]Citroën!$A$9:$G$9),0))*100)</f>
        <v>ISO</v>
      </c>
      <c r="P43" s="286" t="str">
        <f>IF((K43-VLOOKUP($A43,[2]Citroën!$A:$L,COLUMNS([2]Citroën!$A$9:$K$9),0))*100=0,"ISO",(K43-VLOOKUP($A43,[2]Citroën!$A:$L,COLUMNS([2]Citroën!$A$9:$K$9),0))*100)</f>
        <v>ISO</v>
      </c>
    </row>
    <row r="44" spans="1:16" s="290" customFormat="1" ht="18" customHeight="1" x14ac:dyDescent="0.2">
      <c r="A44" s="312" t="s">
        <v>39</v>
      </c>
      <c r="B44" s="313"/>
      <c r="C44" s="336"/>
      <c r="D44" s="337"/>
      <c r="E44" s="297" t="s">
        <v>5</v>
      </c>
      <c r="F44" s="338">
        <f>+F43-F45</f>
        <v>3.5000000000000003E-2</v>
      </c>
      <c r="G44" s="288">
        <f t="shared" ref="G44:I44" si="9">+G43-G45</f>
        <v>4.5000000000000005E-2</v>
      </c>
      <c r="H44" s="287">
        <f t="shared" si="9"/>
        <v>2.5000000000000001E-2</v>
      </c>
      <c r="I44" s="288">
        <f t="shared" si="9"/>
        <v>3.5000000000000003E-2</v>
      </c>
      <c r="J44" s="537"/>
      <c r="K44" s="541">
        <f>+K43-K45</f>
        <v>4.0000000000000008E-2</v>
      </c>
      <c r="L44" s="335"/>
      <c r="N44" s="291" t="str">
        <f>+IF((ROUND(F44-HLOOKUP(F$7,[2]Citroën!$F$7:$G$86,MATCH($A43,[2]Citroën!$A$7:$A$86,0)+1,0),3))*100=0,"ISO",(F44-HLOOKUP(F$7,[2]Citroën!$F$7:$G$86,MATCH($A43,[2]Citroën!$A$7:$A$86,0)+1,0))*100)</f>
        <v>ISO</v>
      </c>
      <c r="O44" s="292" t="str">
        <f>+IF((ROUND(G44-HLOOKUP(G$7,[2]Citroën!$F$7:$G$86,MATCH($A43,[2]Citroën!$A$7:$A$86,0)+1,0),3))*100=0,"ISO",(G44-HLOOKUP(G$7,[2]Citroën!$F$7:$G$86,MATCH($A43,[2]Citroën!$A$7:$A$86,0)+1,0))*100)</f>
        <v>ISO</v>
      </c>
      <c r="P44" s="292" t="str">
        <f>IF((ROUND(K44-HLOOKUP(K$7,[2]Citroën!$K$7:$L$86,MATCH($A43,[2]Citroën!$A$7:$A$86,0)+1,0),3))*100=0,"ISO",(K44-HLOOKUP(K$7,[2]Citroën!$K$7:$L$86,MATCH($A43,[2]Citroën!$A$7:$A$86,0)+1,0))*100)</f>
        <v>ISO</v>
      </c>
    </row>
    <row r="45" spans="1:16" s="290" customFormat="1" ht="18" customHeight="1" thickBot="1" x14ac:dyDescent="0.25">
      <c r="A45" s="312"/>
      <c r="B45" s="313"/>
      <c r="C45" s="339"/>
      <c r="D45" s="340"/>
      <c r="E45" s="298" t="s">
        <v>3</v>
      </c>
      <c r="F45" s="300">
        <f>+D43-VLOOKUP(A43,'[4]B2B Red'!$C:$FG,MATCH($A$3,'[4]B2B Red'!$CV$6:$EE$6,0)+97,0)</f>
        <v>2.4999999999999994E-2</v>
      </c>
      <c r="G45" s="294">
        <f>+D43-VLOOKUP(A43,'[4]B2B Red'!$C:$FG,MATCH($A$3,'[4]B2B Red'!$CV$6:$EE$6,0)+98,0)</f>
        <v>3.4999999999999996E-2</v>
      </c>
      <c r="H45" s="293">
        <f>+F45+1%</f>
        <v>3.4999999999999996E-2</v>
      </c>
      <c r="I45" s="294">
        <f>+G45+1%</f>
        <v>4.4999999999999998E-2</v>
      </c>
      <c r="J45" s="537"/>
      <c r="K45" s="542">
        <f>+D43-VLOOKUP(A43,'[4]B2B Red'!$C:$FG,MATCH($A$3,'[4]B2B Red'!$CV$6:$EE$6,0)+99,0)</f>
        <v>0.06</v>
      </c>
      <c r="L45" s="335"/>
      <c r="N45" s="295" t="str">
        <f>+IF((ROUND(F45-HLOOKUP(F$7,[2]Citroën!$F$7:$G$86,MATCH($A43,[2]Citroën!$A$7:$A$86,0)+2,0),3))*100=0,"ISO",(F45-HLOOKUP(F$7,[2]Citroën!$F$7:$G$86,MATCH($A43,[2]Citroën!$A$7:$A$86,0)+2,0))*100)</f>
        <v>ISO</v>
      </c>
      <c r="O45" s="296" t="str">
        <f>IF((ROUND(G45-HLOOKUP(G$7,[2]Citroën!$F$7:$G$86,MATCH($A43,[2]Citroën!$A$7:$A$86,0)+2,0),3))*100=0,"ISO",(G45-HLOOKUP(G$7,[2]Citroën!$F$7:$G$86,MATCH($A43,[2]Citroën!$A$7:$A$86,0)+2,0))*100)</f>
        <v>ISO</v>
      </c>
      <c r="P45" s="296" t="str">
        <f>IF((ROUND(K45-HLOOKUP(K$7,[2]Citroën!$K$7:$L$86,MATCH($A43,[2]Citroën!$A$7:$A$86,0)+2,0),3))*100=0,"ISO",(K45-HLOOKUP(K$7,[2]Citroën!$K$7:$L$86,MATCH($A43,[2]Citroën!$A$7:$A$86,0)+2,0))*100)</f>
        <v>ISO</v>
      </c>
    </row>
    <row r="46" spans="1:16" s="346" customFormat="1" ht="18" customHeight="1" x14ac:dyDescent="0.2">
      <c r="A46" s="467" t="s">
        <v>103</v>
      </c>
      <c r="B46" s="341"/>
      <c r="C46" s="350" t="s">
        <v>87</v>
      </c>
      <c r="D46" s="349">
        <f>VLOOKUP(A46,[4]Gestión!$D:$H,5,FALSE)</f>
        <v>0.09</v>
      </c>
      <c r="E46" s="282" t="s">
        <v>2</v>
      </c>
      <c r="F46" s="343">
        <f>+VLOOKUP(A46,'[4]B2B Red'!$C:$FG,MATCH($A$3,'[4]B2B Red'!$BG$6:$CU$6,0)+56,0)</f>
        <v>9.9999999999999992E-2</v>
      </c>
      <c r="G46" s="284">
        <f>+VLOOKUP(A46,'[4]B2B Red'!$C:$FG,MATCH($A$3,'[4]B2B Red'!$BG$6:$CU$6,0)+57,0)</f>
        <v>9.9999999999999992E-2</v>
      </c>
      <c r="H46" s="283">
        <f>+F46</f>
        <v>9.9999999999999992E-2</v>
      </c>
      <c r="I46" s="284">
        <f>+G46</f>
        <v>9.9999999999999992E-2</v>
      </c>
      <c r="J46" s="538"/>
      <c r="K46" s="540">
        <f>+VLOOKUP(A46,'[4]B2B Red'!$C:$FG,MATCH($A$3,'[4]B2B Red'!$BG$6:$CU$6,0)+58,0)</f>
        <v>0.14000000000000001</v>
      </c>
      <c r="L46" s="348"/>
      <c r="N46" s="285" t="str">
        <f>IF((F46-VLOOKUP($A46,[2]Citroën!$A:$L,COLUMNS([2]Citroën!$A$9:$F$9),0))*100=0,"ISO",(F46-VLOOKUP($A46,[2]Citroën!$A:$L,COLUMNS([2]Citroën!$A$9:$F$9),0))*100)</f>
        <v>ISO</v>
      </c>
      <c r="O46" s="286" t="str">
        <f>IF((G46-VLOOKUP($A46,[2]Citroën!$A:$L,COLUMNS([2]Citroën!$A$9:$G$9),0))*100=0,"ISO",(G46-VLOOKUP($A46,[2]Citroën!$A:$L,COLUMNS([2]Citroën!$A$9:$G$9),0))*100)</f>
        <v>ISO</v>
      </c>
      <c r="P46" s="286" t="str">
        <f>IF((K46-VLOOKUP($A46,[2]Citroën!$A:$L,COLUMNS([2]Citroën!$A$9:$K$9),0))*100=0,"ISO",(K46-VLOOKUP($A46,[2]Citroën!$A:$L,COLUMNS([2]Citroën!$A$9:$K$9),0))*100)</f>
        <v>ISO</v>
      </c>
    </row>
    <row r="47" spans="1:16" s="290" customFormat="1" ht="18" customHeight="1" x14ac:dyDescent="0.2">
      <c r="A47" s="312" t="s">
        <v>40</v>
      </c>
      <c r="B47" s="313"/>
      <c r="C47" s="336"/>
      <c r="D47" s="337"/>
      <c r="E47" s="297" t="s">
        <v>5</v>
      </c>
      <c r="F47" s="338">
        <f>+F46-F48</f>
        <v>5.4999999999999993E-2</v>
      </c>
      <c r="G47" s="288">
        <f t="shared" ref="G47:I47" si="10">+G46-G48</f>
        <v>5.4999999999999993E-2</v>
      </c>
      <c r="H47" s="287">
        <f t="shared" si="10"/>
        <v>4.4999999999999991E-2</v>
      </c>
      <c r="I47" s="288">
        <f t="shared" si="10"/>
        <v>4.4999999999999991E-2</v>
      </c>
      <c r="J47" s="537"/>
      <c r="K47" s="541">
        <f>+K46-K48</f>
        <v>8.0000000000000016E-2</v>
      </c>
      <c r="L47" s="335"/>
      <c r="N47" s="291" t="str">
        <f>+IF((ROUND(F47-HLOOKUP(F$7,[2]Citroën!$F$7:$G$86,MATCH($A46,[2]Citroën!$A$7:$A$86,0)+1,0),3))*100=0,"ISO",(F47-HLOOKUP(F$7,[2]Citroën!$F$7:$G$86,MATCH($A46,[2]Citroën!$A$7:$A$86,0)+1,0))*100)</f>
        <v>ISO</v>
      </c>
      <c r="O47" s="292" t="str">
        <f>+IF((ROUND(G47-HLOOKUP(G$7,[2]Citroën!$F$7:$G$86,MATCH($A46,[2]Citroën!$A$7:$A$86,0)+1,0),3))*100=0,"ISO",(G47-HLOOKUP(G$7,[2]Citroën!$F$7:$G$86,MATCH($A46,[2]Citroën!$A$7:$A$86,0)+1,0))*100)</f>
        <v>ISO</v>
      </c>
      <c r="P47" s="292" t="str">
        <f>IF((ROUND(K47-HLOOKUP(K$7,[2]Citroën!$K$7:$L$86,MATCH($A46,[2]Citroën!$A$7:$A$86,0)+1,0),3))*100=0,"ISO",(K47-HLOOKUP(K$7,[2]Citroën!$K$7:$L$86,MATCH($A46,[2]Citroën!$A$7:$A$86,0)+1,0))*100)</f>
        <v>ISO</v>
      </c>
    </row>
    <row r="48" spans="1:16" s="290" customFormat="1" ht="18" customHeight="1" thickBot="1" x14ac:dyDescent="0.25">
      <c r="A48" s="312"/>
      <c r="B48" s="313"/>
      <c r="C48" s="339"/>
      <c r="D48" s="340"/>
      <c r="E48" s="298" t="s">
        <v>3</v>
      </c>
      <c r="F48" s="300">
        <f>+D46-VLOOKUP(A46,'[4]B2B Red'!$C:$FG,MATCH($A$3,'[4]B2B Red'!$CV$6:$EE$6,0)+97,0)</f>
        <v>4.4999999999999998E-2</v>
      </c>
      <c r="G48" s="294">
        <f>+D46-VLOOKUP(A46,'[4]B2B Red'!$C:$FG,MATCH($A$3,'[4]B2B Red'!$CV$6:$EE$6,0)+98,0)</f>
        <v>4.4999999999999998E-2</v>
      </c>
      <c r="H48" s="293">
        <f>+F48+1%</f>
        <v>5.5E-2</v>
      </c>
      <c r="I48" s="294">
        <f>+G48+1%</f>
        <v>5.5E-2</v>
      </c>
      <c r="J48" s="537"/>
      <c r="K48" s="542">
        <f>+D46-VLOOKUP(A46,'[4]B2B Red'!$C:$FG,MATCH($A$3,'[4]B2B Red'!$CV$6:$EE$6,0)+99,0)</f>
        <v>0.06</v>
      </c>
      <c r="L48" s="335"/>
      <c r="N48" s="295" t="str">
        <f>+IF((ROUND(F48-HLOOKUP(F$7,[2]Citroën!$F$7:$G$86,MATCH($A46,[2]Citroën!$A$7:$A$86,0)+2,0),3))*100=0,"ISO",(F48-HLOOKUP(F$7,[2]Citroën!$F$7:$G$86,MATCH($A46,[2]Citroën!$A$7:$A$86,0)+2,0))*100)</f>
        <v>ISO</v>
      </c>
      <c r="O48" s="296" t="str">
        <f>IF((ROUND(G48-HLOOKUP(G$7,[2]Citroën!$F$7:$G$86,MATCH($A46,[2]Citroën!$A$7:$A$86,0)+2,0),3))*100=0,"ISO",(G48-HLOOKUP(G$7,[2]Citroën!$F$7:$G$86,MATCH($A46,[2]Citroën!$A$7:$A$86,0)+2,0))*100)</f>
        <v>ISO</v>
      </c>
      <c r="P48" s="296" t="str">
        <f>IF((ROUND(K48-HLOOKUP(K$7,[2]Citroën!$K$7:$L$86,MATCH($A46,[2]Citroën!$A$7:$A$86,0)+2,0),3))*100=0,"ISO",(K48-HLOOKUP(K$7,[2]Citroën!$K$7:$L$86,MATCH($A46,[2]Citroën!$A$7:$A$86,0)+2,0))*100)</f>
        <v>ISO</v>
      </c>
    </row>
    <row r="49" spans="2:12" ht="8.25" customHeight="1" x14ac:dyDescent="0.2">
      <c r="B49" s="77"/>
      <c r="C49" s="78"/>
      <c r="D49" s="23"/>
      <c r="E49" s="24"/>
      <c r="F49" s="24"/>
      <c r="G49" s="24"/>
      <c r="H49" s="24"/>
      <c r="I49" s="24"/>
      <c r="J49" s="24"/>
      <c r="K49" s="80"/>
      <c r="L49" s="86"/>
    </row>
    <row r="50" spans="2:12" ht="18" customHeight="1" x14ac:dyDescent="0.2">
      <c r="B50" s="77"/>
      <c r="C50" s="712" t="s">
        <v>46</v>
      </c>
      <c r="D50" s="712"/>
      <c r="E50" s="712"/>
      <c r="F50" s="712"/>
      <c r="G50" s="712"/>
      <c r="H50" s="712"/>
      <c r="I50" s="712"/>
      <c r="J50" s="712"/>
      <c r="K50" s="712"/>
      <c r="L50" s="86"/>
    </row>
    <row r="51" spans="2:12" ht="18" customHeight="1" x14ac:dyDescent="0.2">
      <c r="B51" s="77"/>
      <c r="C51" s="712"/>
      <c r="D51" s="712"/>
      <c r="E51" s="712"/>
      <c r="F51" s="712"/>
      <c r="G51" s="712"/>
      <c r="H51" s="712"/>
      <c r="I51" s="712"/>
      <c r="J51" s="712"/>
      <c r="K51" s="712"/>
      <c r="L51" s="86"/>
    </row>
    <row r="52" spans="2:12" ht="18" customHeight="1" x14ac:dyDescent="0.2">
      <c r="B52" s="87"/>
      <c r="C52" s="88"/>
      <c r="D52" s="89"/>
      <c r="E52" s="90"/>
      <c r="F52" s="90"/>
      <c r="G52" s="90"/>
      <c r="H52" s="90"/>
      <c r="I52" s="90"/>
      <c r="J52" s="90"/>
      <c r="K52" s="91"/>
      <c r="L52" s="92"/>
    </row>
    <row r="53" spans="2:12" ht="15" hidden="1" customHeight="1" x14ac:dyDescent="0.2">
      <c r="F53" s="27"/>
      <c r="G53" s="28"/>
    </row>
    <row r="54" spans="2:12" ht="15" customHeight="1" x14ac:dyDescent="0.2"/>
    <row r="55" spans="2:12" ht="15" customHeight="1" x14ac:dyDescent="0.2"/>
    <row r="56" spans="2:12" ht="15" customHeight="1" x14ac:dyDescent="0.2"/>
    <row r="57" spans="2:12" ht="15" customHeight="1" x14ac:dyDescent="0.2"/>
    <row r="58" spans="2:12" ht="15" customHeight="1" x14ac:dyDescent="0.2"/>
    <row r="59" spans="2:12" ht="15" customHeight="1" x14ac:dyDescent="0.2"/>
  </sheetData>
  <mergeCells count="13">
    <mergeCell ref="C3:K4"/>
    <mergeCell ref="C6:E7"/>
    <mergeCell ref="F6:G6"/>
    <mergeCell ref="H6:I6"/>
    <mergeCell ref="F7:F8"/>
    <mergeCell ref="G7:G8"/>
    <mergeCell ref="H7:H8"/>
    <mergeCell ref="I7:I8"/>
    <mergeCell ref="C50:K51"/>
    <mergeCell ref="O7:O8"/>
    <mergeCell ref="P7:P8"/>
    <mergeCell ref="N7:N8"/>
    <mergeCell ref="K7:K8"/>
  </mergeCells>
  <printOptions horizontalCentered="1"/>
  <pageMargins left="0.70866141732283472" right="0.70866141732283472" top="0.74803149606299213" bottom="0.74803149606299213" header="0.31496062992125984" footer="0.31496062992125984"/>
  <pageSetup scale="5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2E3E7152-59FB-4D17-9E39-F2258D0D0CE2}">
          <x14:formula1>
            <xm:f>MES!$B$2:$B$13</xm:f>
          </x14:formula1>
          <xm:sqref>A3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1D398-3C23-435A-A2AC-64AE536E73A4}">
  <sheetPr>
    <tabColor rgb="FFFFD966"/>
    <pageSetUpPr fitToPage="1"/>
  </sheetPr>
  <dimension ref="A1:T28"/>
  <sheetViews>
    <sheetView showGridLines="0" topLeftCell="B1" zoomScaleNormal="100" zoomScaleSheetLayoutView="100" workbookViewId="0">
      <pane ySplit="8" topLeftCell="A9" activePane="bottomLeft" state="frozen"/>
      <selection activeCell="O7" sqref="O7:Q8"/>
      <selection pane="bottomLeft" activeCell="N4" sqref="N4"/>
    </sheetView>
  </sheetViews>
  <sheetFormatPr baseColWidth="10" defaultColWidth="0" defaultRowHeight="0" customHeight="1" zeroHeight="1" outlineLevelCol="1" x14ac:dyDescent="0.2"/>
  <cols>
    <col min="1" max="1" width="50.7109375" style="12" hidden="1" customWidth="1" outlineLevel="1"/>
    <col min="2" max="2" width="5.7109375" style="13" customWidth="1" collapsed="1"/>
    <col min="3" max="3" width="50.7109375" style="17" customWidth="1"/>
    <col min="4" max="4" width="13.7109375" style="18" hidden="1" customWidth="1" outlineLevel="1"/>
    <col min="5" max="5" width="10.7109375" style="13" customWidth="1" collapsed="1"/>
    <col min="6" max="9" width="13.7109375" style="13" customWidth="1"/>
    <col min="10" max="10" width="1" style="13" customWidth="1"/>
    <col min="11" max="11" width="16.85546875" style="12" customWidth="1"/>
    <col min="12" max="12" width="3" style="12" customWidth="1"/>
    <col min="13" max="13" width="5.7109375" style="13" customWidth="1"/>
    <col min="14" max="16" width="13.7109375" style="13" customWidth="1"/>
    <col min="17" max="17" width="5.7109375" style="13" customWidth="1"/>
    <col min="18" max="20" width="0" style="13" hidden="1" customWidth="1"/>
    <col min="21" max="16384" width="11.5703125" style="13" hidden="1"/>
  </cols>
  <sheetData>
    <row r="1" spans="1:16" ht="9.9499999999999993" customHeight="1" thickBot="1" x14ac:dyDescent="0.25">
      <c r="B1" s="49"/>
      <c r="C1" s="50"/>
      <c r="D1" s="51"/>
      <c r="E1" s="52"/>
      <c r="F1" s="52"/>
      <c r="G1" s="52"/>
      <c r="H1" s="52"/>
      <c r="I1" s="52"/>
      <c r="J1" s="52"/>
      <c r="K1" s="53"/>
      <c r="L1" s="54"/>
    </row>
    <row r="2" spans="1:16" ht="18" customHeight="1" thickBot="1" x14ac:dyDescent="0.25">
      <c r="A2" s="254" t="s">
        <v>25</v>
      </c>
      <c r="B2" s="55"/>
      <c r="C2" s="56"/>
      <c r="D2" s="14"/>
      <c r="E2" s="57"/>
      <c r="F2" s="57"/>
      <c r="G2" s="57"/>
      <c r="H2" s="57"/>
      <c r="I2" s="57"/>
      <c r="J2" s="15"/>
      <c r="K2" s="58"/>
      <c r="L2" s="59"/>
    </row>
    <row r="3" spans="1:16" ht="18" customHeight="1" thickBot="1" x14ac:dyDescent="0.25">
      <c r="A3" s="255" t="str">
        <f>+Peugeot!A3</f>
        <v>JUNIO</v>
      </c>
      <c r="B3" s="55"/>
      <c r="C3" s="742" t="str">
        <f>"     "&amp;"ACCIONES COMERCIALES B2B RED"&amp;" - "&amp;A3&amp;" 2026"</f>
        <v xml:space="preserve">     ACCIONES COMERCIALES B2B RED - JUNIO 2026</v>
      </c>
      <c r="D3" s="742"/>
      <c r="E3" s="742"/>
      <c r="F3" s="742"/>
      <c r="G3" s="742"/>
      <c r="H3" s="742"/>
      <c r="I3" s="742"/>
      <c r="J3" s="742"/>
      <c r="K3" s="742"/>
      <c r="L3" s="59"/>
    </row>
    <row r="4" spans="1:16" ht="18" customHeight="1" x14ac:dyDescent="0.2">
      <c r="B4" s="55"/>
      <c r="C4" s="742"/>
      <c r="D4" s="742"/>
      <c r="E4" s="742"/>
      <c r="F4" s="742"/>
      <c r="G4" s="742"/>
      <c r="H4" s="742"/>
      <c r="I4" s="742"/>
      <c r="J4" s="742"/>
      <c r="K4" s="742"/>
      <c r="L4" s="59"/>
    </row>
    <row r="5" spans="1:16" ht="9.9499999999999993" customHeight="1" thickBot="1" x14ac:dyDescent="0.25">
      <c r="B5" s="55"/>
      <c r="C5" s="56"/>
      <c r="D5" s="14"/>
      <c r="E5" s="15"/>
      <c r="F5" s="15"/>
      <c r="G5" s="15"/>
      <c r="H5" s="15"/>
      <c r="I5" s="15"/>
      <c r="J5" s="15"/>
      <c r="K5" s="58"/>
      <c r="L5" s="59"/>
    </row>
    <row r="6" spans="1:16" ht="18" customHeight="1" thickBot="1" x14ac:dyDescent="0.25">
      <c r="B6" s="55"/>
      <c r="C6" s="743" t="s">
        <v>0</v>
      </c>
      <c r="D6" s="744"/>
      <c r="E6" s="744"/>
      <c r="F6" s="747" t="s">
        <v>10</v>
      </c>
      <c r="G6" s="748"/>
      <c r="H6" s="749" t="s">
        <v>11</v>
      </c>
      <c r="I6" s="750"/>
      <c r="J6" s="256"/>
      <c r="K6" s="257"/>
      <c r="L6" s="258"/>
      <c r="M6" s="259"/>
      <c r="N6" s="259"/>
      <c r="O6" s="259"/>
      <c r="P6" s="259"/>
    </row>
    <row r="7" spans="1:16" ht="18" customHeight="1" thickBot="1" x14ac:dyDescent="0.25">
      <c r="B7" s="55"/>
      <c r="C7" s="745"/>
      <c r="D7" s="746"/>
      <c r="E7" s="746"/>
      <c r="F7" s="751" t="s">
        <v>6</v>
      </c>
      <c r="G7" s="751" t="s">
        <v>7</v>
      </c>
      <c r="H7" s="753" t="s">
        <v>6</v>
      </c>
      <c r="I7" s="755" t="s">
        <v>7</v>
      </c>
      <c r="J7" s="256"/>
      <c r="K7" s="740" t="s">
        <v>8</v>
      </c>
      <c r="L7" s="258"/>
      <c r="M7" s="259"/>
      <c r="N7" s="734" t="s">
        <v>51</v>
      </c>
      <c r="O7" s="736" t="s">
        <v>52</v>
      </c>
      <c r="P7" s="738" t="s">
        <v>53</v>
      </c>
    </row>
    <row r="8" spans="1:16" ht="18" customHeight="1" thickBot="1" x14ac:dyDescent="0.25">
      <c r="B8" s="55"/>
      <c r="C8" s="260" t="s">
        <v>1</v>
      </c>
      <c r="D8" s="261" t="s">
        <v>12</v>
      </c>
      <c r="E8" s="262" t="s">
        <v>9</v>
      </c>
      <c r="F8" s="752"/>
      <c r="G8" s="752"/>
      <c r="H8" s="754"/>
      <c r="I8" s="739"/>
      <c r="J8" s="263"/>
      <c r="K8" s="741"/>
      <c r="L8" s="258"/>
      <c r="M8" s="259"/>
      <c r="N8" s="735"/>
      <c r="O8" s="737"/>
      <c r="P8" s="739"/>
    </row>
    <row r="9" spans="1:16" ht="18" customHeight="1" x14ac:dyDescent="0.2">
      <c r="A9" s="12" t="s">
        <v>55</v>
      </c>
      <c r="B9" s="55"/>
      <c r="C9" s="272" t="s">
        <v>56</v>
      </c>
      <c r="D9" s="264">
        <f>VLOOKUP(A9,[1]Gestión!$D:$H,5,FALSE)</f>
        <v>0.1</v>
      </c>
      <c r="E9" s="265" t="s">
        <v>2</v>
      </c>
      <c r="F9" s="266">
        <f>+VLOOKUP(A9,'[1]B2B Red'!$C:$FG,MATCH($A$3,'[1]B2B Red'!$BG$6:$CU$6,0)+56,0)</f>
        <v>0.15</v>
      </c>
      <c r="G9" s="267">
        <f>+VLOOKUP(A9,'[1]B2B Red'!$C:$FG,MATCH($A$3,'[1]B2B Red'!$BG$6:$CU$6,0)+57,0)</f>
        <v>0.19</v>
      </c>
      <c r="H9" s="266">
        <f>+F9</f>
        <v>0.15</v>
      </c>
      <c r="I9" s="267">
        <f>+G9</f>
        <v>0.19</v>
      </c>
      <c r="J9" s="529"/>
      <c r="K9" s="268">
        <f>+VLOOKUP(A9,'[1]B2B Red'!$C:$FG,MATCH($A$3,'[1]B2B Red'!$BG$6:$CU$6,0)+58,0)</f>
        <v>0.27</v>
      </c>
      <c r="L9" s="60"/>
      <c r="N9" s="269">
        <f>IF((F9-VLOOKUP($C9,[2]Opel!$C:$L,COLUMNS([2]Opel!$C$9:$F$9),0))*100=0,"ISO",(F9-VLOOKUP($C9,[2]Opel!$C:$L,COLUMNS([2]Opel!$C$9:$F$9),0))*100)</f>
        <v>1.9999999999999991</v>
      </c>
      <c r="O9" s="270">
        <f>IF((G9-VLOOKUP($C9,[2]Opel!$C:$L,COLUMNS([2]Opel!$C$9:$G$9),0))*100=0,"ISO",(G9-VLOOKUP($C9,[2]Opel!$C:$L,COLUMNS([2]Opel!$C$9:$G$9),0))*100)</f>
        <v>1.9999999999999991</v>
      </c>
      <c r="P9" s="270">
        <f>IF((K9-VLOOKUP($C9,[2]Opel!$C:$L,COLUMNS([2]Opel!$C$9:$K$9),0))*100=0,"ISO",(K9-VLOOKUP($C9,[2]Opel!$C:$L,COLUMNS([2]Opel!$C$9:$K$9),0))*100)</f>
        <v>2.0000000000000018</v>
      </c>
    </row>
    <row r="10" spans="1:16" ht="18" customHeight="1" thickBot="1" x14ac:dyDescent="0.25">
      <c r="B10" s="55"/>
      <c r="C10" s="36"/>
      <c r="D10" s="37"/>
      <c r="E10" s="252" t="s">
        <v>5</v>
      </c>
      <c r="F10" s="38">
        <f>+F9-F11</f>
        <v>0.10499999999999998</v>
      </c>
      <c r="G10" s="39">
        <f t="shared" ref="G10:I10" si="0">+G9-G11</f>
        <v>0.14000000000000001</v>
      </c>
      <c r="H10" s="38">
        <f t="shared" si="0"/>
        <v>9.4999999999999987E-2</v>
      </c>
      <c r="I10" s="39">
        <f t="shared" si="0"/>
        <v>0.13</v>
      </c>
      <c r="J10" s="530"/>
      <c r="K10" s="532">
        <f>+K9-K11</f>
        <v>0.2</v>
      </c>
      <c r="L10" s="59"/>
      <c r="N10" s="113">
        <f>+IF((ROUND(F10-HLOOKUP(F$7,[2]Opel!$F$7:$G$86,MATCH($C9,[2]Opel!$C$7:$C$86,0)+1,0),3))*100=0,"ISO",(F10-HLOOKUP(F$7,[2]Opel!$F$7:$G$86,MATCH($C9,[2]Opel!$C$7:$C$86,0)+1,0))*100)</f>
        <v>1.9999999999999991</v>
      </c>
      <c r="O10" s="114">
        <f>+IF((ROUND(G10-HLOOKUP(G$7,[2]Opel!$F$7:$G$86,MATCH($C9,[2]Opel!$C$7:$C$86,0)+1,0),3))*100=0,"ISO",(G10-HLOOKUP(G$7,[2]Opel!$F$7:$G$86,MATCH($C9,[2]Opel!$C$7:$C$86,0)+1,0))*100)</f>
        <v>2.0000000000000004</v>
      </c>
      <c r="P10" s="114">
        <f>IF((ROUND(K10-HLOOKUP(K$7,[2]Opel!$K$7:$L$86,MATCH($C9,[2]Opel!$C$7:$C$86,0)+1,0),3))*100=0,"ISO",(K10-HLOOKUP(K$7,[2]Opel!$K$7:$L$86,MATCH($C9,[2]Opel!$C$7:$C$86,0)+1,0))*100)</f>
        <v>2.0000000000000018</v>
      </c>
    </row>
    <row r="11" spans="1:16" ht="18" customHeight="1" thickBot="1" x14ac:dyDescent="0.25">
      <c r="B11" s="55"/>
      <c r="C11" s="40"/>
      <c r="D11" s="41"/>
      <c r="E11" s="253" t="s">
        <v>3</v>
      </c>
      <c r="F11" s="42">
        <f>+D9-VLOOKUP(A9,'[1]B2B Red'!$C:$FG,MATCH($A$3,'[1]B2B Red'!$CV$6:$EE$6,0)+97,0)</f>
        <v>4.5000000000000005E-2</v>
      </c>
      <c r="G11" s="117">
        <f>+D9-VLOOKUP(A9,'[1]B2B Red'!$C:$FG,MATCH($A$3,'[1]B2B Red'!$CV$6:$EE$6,0)+98,0)</f>
        <v>0.05</v>
      </c>
      <c r="H11" s="42">
        <f>+F11+1%</f>
        <v>5.5000000000000007E-2</v>
      </c>
      <c r="I11" s="117">
        <f>+G11+1%</f>
        <v>6.0000000000000005E-2</v>
      </c>
      <c r="J11" s="530"/>
      <c r="K11" s="533">
        <f>+D9-VLOOKUP(A9,'[1]B2B Red'!$C:$FG,MATCH($A$3,'[1]B2B Red'!$CV$6:$EE$6,0)+99,0)</f>
        <v>7.0000000000000007E-2</v>
      </c>
      <c r="L11" s="59"/>
      <c r="N11" s="115" t="str">
        <f>+IF((ROUND(F11-HLOOKUP(F$7,[2]Opel!$F$7:$G$86,MATCH($C9,[2]Opel!$C$7:$C$86,0)+2,0),3))*100=0,"ISO",(F11-HLOOKUP(F$7,[2]Opel!$F$7:$G$86,MATCH($C9,[2]Opel!$C$7:$C$86,0)+2,0))*100)</f>
        <v>ISO</v>
      </c>
      <c r="O11" s="116" t="str">
        <f>IF((ROUND(G11-HLOOKUP(G$7,[2]Opel!$F$7:$G$86,MATCH($C9,[2]Opel!$C$7:$C$86,0)+2,0),3))*100=0,"ISO",(G11-HLOOKUP(G$7,[2]Opel!$F$7:$G$86,MATCH($C9,[2]Opel!$C$7:$C$86,0)+2,0))*100)</f>
        <v>ISO</v>
      </c>
      <c r="P11" s="116" t="str">
        <f>IF((ROUND(K11-HLOOKUP(K$7,[2]Opel!$K$7:$L$86,MATCH($C9,[2]Opel!$C$7:$C$86,0)+2,0),3))*100=0,"ISO",(K11-HLOOKUP(K$7,[2]Opel!$K$7:$L$86,MATCH($C9,[2]Opel!$C$7:$C$86,0)+2,0))*100)</f>
        <v>ISO</v>
      </c>
    </row>
    <row r="12" spans="1:16" ht="18" customHeight="1" x14ac:dyDescent="0.2">
      <c r="B12" s="55"/>
      <c r="C12" s="61" t="s">
        <v>4</v>
      </c>
      <c r="D12" s="16"/>
      <c r="E12" s="15"/>
      <c r="F12" s="15"/>
      <c r="G12" s="15"/>
      <c r="H12" s="15"/>
      <c r="I12" s="15"/>
      <c r="J12" s="15"/>
      <c r="K12" s="58"/>
      <c r="L12" s="59"/>
    </row>
    <row r="13" spans="1:16" ht="5.0999999999999996" customHeight="1" thickBot="1" x14ac:dyDescent="0.25">
      <c r="B13" s="55"/>
      <c r="C13" s="62"/>
      <c r="D13" s="63"/>
      <c r="E13" s="62"/>
      <c r="F13" s="62"/>
      <c r="G13" s="62"/>
      <c r="H13" s="62"/>
      <c r="I13" s="62"/>
      <c r="J13" s="15"/>
      <c r="K13" s="63"/>
      <c r="L13" s="59"/>
    </row>
    <row r="14" spans="1:16" ht="18" customHeight="1" x14ac:dyDescent="0.2">
      <c r="A14" s="12" t="s">
        <v>104</v>
      </c>
      <c r="B14" s="55"/>
      <c r="C14" s="273" t="s">
        <v>65</v>
      </c>
      <c r="D14" s="271">
        <f>VLOOKUP(A14,[1]Gestión!$D:$H,5,FALSE)</f>
        <v>0.09</v>
      </c>
      <c r="E14" s="265" t="s">
        <v>2</v>
      </c>
      <c r="F14" s="266">
        <f>+VLOOKUP(A14,'[1]B2B Red'!$C:$FG,MATCH($A$3,'[1]B2B Red'!$BG$6:$CU$6,0)+56,0)</f>
        <v>6.0000000000000005E-2</v>
      </c>
      <c r="G14" s="267">
        <f>+VLOOKUP(A14,'[1]B2B Red'!$C:$FG,MATCH($A$3,'[1]B2B Red'!$BG$6:$CU$6,0)+57,0)</f>
        <v>7.9999999999999988E-2</v>
      </c>
      <c r="H14" s="266">
        <f t="shared" ref="H14" si="1">+F14</f>
        <v>6.0000000000000005E-2</v>
      </c>
      <c r="I14" s="267">
        <f t="shared" ref="I14" si="2">+G14</f>
        <v>7.9999999999999988E-2</v>
      </c>
      <c r="J14" s="529"/>
      <c r="K14" s="268">
        <f>+VLOOKUP(A14,'[1]B2B Red'!$C:$FG,MATCH($A$3,'[1]B2B Red'!$BG$6:$CU$6,0)+58,0)</f>
        <v>9.9999999999999992E-2</v>
      </c>
      <c r="L14" s="64"/>
      <c r="N14" s="269" t="str">
        <f>IF((F14-VLOOKUP($C14,[2]Opel!$C:$L,COLUMNS([2]Opel!$C$9:$F$9),0))*100=0,"ISO",(F14-VLOOKUP($C14,[2]Opel!$C:$L,COLUMNS([2]Opel!$C$9:$F$9),0))*100)</f>
        <v>ISO</v>
      </c>
      <c r="O14" s="270" t="str">
        <f>IF((G14-VLOOKUP($C14,[2]Opel!$C:$L,COLUMNS([2]Opel!$C$9:$G$9),0))*100=0,"ISO",(G14-VLOOKUP($C14,[2]Opel!$C:$L,COLUMNS([2]Opel!$C$9:$G$9),0))*100)</f>
        <v>ISO</v>
      </c>
      <c r="P14" s="270" t="str">
        <f>IF((K14-VLOOKUP($C14,[2]Opel!$C:$L,COLUMNS([2]Opel!$C$9:$K$9),0))*100=0,"ISO",(K14-VLOOKUP($C14,[2]Opel!$C:$L,COLUMNS([2]Opel!$C$9:$K$9),0))*100)</f>
        <v>ISO</v>
      </c>
    </row>
    <row r="15" spans="1:16" ht="18" customHeight="1" x14ac:dyDescent="0.2">
      <c r="B15" s="55"/>
      <c r="C15" s="43"/>
      <c r="D15" s="44"/>
      <c r="E15" s="252" t="s">
        <v>5</v>
      </c>
      <c r="F15" s="38">
        <f t="shared" ref="F15:I15" si="3">+F14-F16</f>
        <v>3.500000000000001E-2</v>
      </c>
      <c r="G15" s="39">
        <f t="shared" si="3"/>
        <v>4.4999999999999991E-2</v>
      </c>
      <c r="H15" s="38">
        <f t="shared" si="3"/>
        <v>2.5000000000000008E-2</v>
      </c>
      <c r="I15" s="39">
        <f t="shared" si="3"/>
        <v>3.4999999999999989E-2</v>
      </c>
      <c r="J15" s="530"/>
      <c r="K15" s="532">
        <f t="shared" ref="K15" si="4">+K14-K16</f>
        <v>4.9999999999999996E-2</v>
      </c>
      <c r="L15" s="64"/>
      <c r="N15" s="113" t="str">
        <f>+IF((ROUND(F15-HLOOKUP(F$7,[2]Opel!$F$7:$G$86,MATCH($C14,[2]Opel!$C$7:$C$86,0)+1,0),3))*100=0,"ISO",(F15-HLOOKUP(F$7,[2]Opel!$F$7:$G$86,MATCH($C14,[2]Opel!$C$7:$C$86,0)+1,0))*100)</f>
        <v>ISO</v>
      </c>
      <c r="O15" s="114" t="str">
        <f>+IF((ROUND(G15-HLOOKUP(G$7,[2]Opel!$F$7:$G$86,MATCH($C14,[2]Opel!$C$7:$C$86,0)+1,0),3))*100=0,"ISO",(G15-HLOOKUP(G$7,[2]Opel!$F$7:$G$86,MATCH($C14,[2]Opel!$C$7:$C$86,0)+1,0))*100)</f>
        <v>ISO</v>
      </c>
      <c r="P15" s="114" t="str">
        <f>IF((ROUND(K15-HLOOKUP(K$7,[2]Opel!$K$7:$L$86,MATCH($C14,[2]Opel!$C$7:$C$86,0)+1,0),3))*100=0,"ISO",(K15-HLOOKUP(K$7,[2]Opel!$K$7:$L$86,MATCH($C14,[2]Opel!$C$7:$C$86,0)+1,0))*100)</f>
        <v>ISO</v>
      </c>
    </row>
    <row r="16" spans="1:16" ht="18" customHeight="1" thickBot="1" x14ac:dyDescent="0.25">
      <c r="B16" s="55"/>
      <c r="C16" s="45"/>
      <c r="D16" s="46"/>
      <c r="E16" s="253" t="s">
        <v>3</v>
      </c>
      <c r="F16" s="497">
        <f>+D14-VLOOKUP(A14,'[1]B2B Red'!$C:$FG,MATCH($A$3,'[1]B2B Red'!$CV$6:$EE$6,0)+97,0)</f>
        <v>2.4999999999999994E-2</v>
      </c>
      <c r="G16" s="498">
        <f>+D14-VLOOKUP(A14,'[1]B2B Red'!$C:$FG,MATCH($A$3,'[1]B2B Red'!$CV$6:$EE$6,0)+98,0)</f>
        <v>3.4999999999999996E-2</v>
      </c>
      <c r="H16" s="497">
        <f t="shared" ref="H16" si="5">+F16+1%</f>
        <v>3.4999999999999996E-2</v>
      </c>
      <c r="I16" s="498">
        <f t="shared" ref="I16" si="6">+G16+1%</f>
        <v>4.4999999999999998E-2</v>
      </c>
      <c r="J16" s="531"/>
      <c r="K16" s="534">
        <f>+D14-VLOOKUP(A14,'[1]B2B Red'!$C:$FG,MATCH($A$3,'[1]B2B Red'!$CV$6:$EE$6,0)+99,0)</f>
        <v>4.9999999999999996E-2</v>
      </c>
      <c r="L16" s="64"/>
      <c r="N16" s="115" t="str">
        <f>+IF((ROUND(F16-HLOOKUP(F$7,[2]Opel!$F$7:$G$86,MATCH($C14,[2]Opel!$C$7:$C$86,0)+2,0),3))*100=0,"ISO",(F16-HLOOKUP(F$7,[2]Opel!$F$7:$G$86,MATCH($C14,[2]Opel!$C$7:$C$86,0)+2,0))*100)</f>
        <v>ISO</v>
      </c>
      <c r="O16" s="116" t="str">
        <f>IF((ROUND(G16-HLOOKUP(G$7,[2]Opel!$F$7:$G$86,MATCH($C14,[2]Opel!$C$7:$C$86,0)+2,0),3))*100=0,"ISO",(G16-HLOOKUP(G$7,[2]Opel!$F$7:$G$86,MATCH($C14,[2]Opel!$C$7:$C$86,0)+2,0))*100)</f>
        <v>ISO</v>
      </c>
      <c r="P16" s="116" t="str">
        <f>IF((ROUND(K16-HLOOKUP(K$7,[2]Opel!$K$7:$L$86,MATCH($C14,[2]Opel!$C$7:$C$86,0)+2,0),3))*100=0,"ISO",(K16-HLOOKUP(K$7,[2]Opel!$K$7:$L$86,MATCH($C14,[2]Opel!$C$7:$C$86,0)+2,0))*100)</f>
        <v>ISO</v>
      </c>
    </row>
    <row r="17" spans="1:16" ht="18" customHeight="1" x14ac:dyDescent="0.2">
      <c r="A17" s="12" t="s">
        <v>105</v>
      </c>
      <c r="B17" s="55"/>
      <c r="C17" s="273" t="s">
        <v>86</v>
      </c>
      <c r="D17" s="271">
        <f>VLOOKUP(A17,[1]Gestión!$D:$H,5,FALSE)</f>
        <v>0.09</v>
      </c>
      <c r="E17" s="265" t="s">
        <v>2</v>
      </c>
      <c r="F17" s="266">
        <f>+VLOOKUP(A17,'[1]B2B Red'!$C:$FG,MATCH($A$3,'[1]B2B Red'!$BG$6:$CU$6,0)+56,0)</f>
        <v>6.0000000000000005E-2</v>
      </c>
      <c r="G17" s="267">
        <f>+VLOOKUP(A17,'[1]B2B Red'!$C:$FG,MATCH($A$3,'[1]B2B Red'!$BG$6:$CU$6,0)+57,0)</f>
        <v>7.9999999999999988E-2</v>
      </c>
      <c r="H17" s="266">
        <f t="shared" ref="H17" si="7">+F17</f>
        <v>6.0000000000000005E-2</v>
      </c>
      <c r="I17" s="267">
        <f t="shared" ref="I17" si="8">+G17</f>
        <v>7.9999999999999988E-2</v>
      </c>
      <c r="J17" s="529"/>
      <c r="K17" s="268">
        <f>+VLOOKUP(A17,'[1]B2B Red'!$C:$FG,MATCH($A$3,'[1]B2B Red'!$BG$6:$CU$6,0)+58,0)</f>
        <v>9.9999999999999992E-2</v>
      </c>
      <c r="L17" s="64"/>
      <c r="N17" s="269" t="str">
        <f>IF((F17-VLOOKUP($C17,[2]Opel!$C:$L,COLUMNS([2]Opel!$C$9:$F$9),0))*100=0,"ISO",(F17-VLOOKUP($C17,[2]Opel!$C:$L,COLUMNS([2]Opel!$C$9:$F$9),0))*100)</f>
        <v>ISO</v>
      </c>
      <c r="O17" s="270" t="str">
        <f>IF((G17-VLOOKUP($C17,[2]Opel!$C:$L,COLUMNS([2]Opel!$C$9:$G$9),0))*100=0,"ISO",(G17-VLOOKUP($C17,[2]Opel!$C:$L,COLUMNS([2]Opel!$C$9:$G$9),0))*100)</f>
        <v>ISO</v>
      </c>
      <c r="P17" s="270" t="str">
        <f>IF((K17-VLOOKUP($C17,[2]Opel!$C:$L,COLUMNS([2]Opel!$C$9:$K$9),0))*100=0,"ISO",(K17-VLOOKUP($C17,[2]Opel!$C:$L,COLUMNS([2]Opel!$C$9:$K$9),0))*100)</f>
        <v>ISO</v>
      </c>
    </row>
    <row r="18" spans="1:16" ht="18" customHeight="1" x14ac:dyDescent="0.2">
      <c r="B18" s="55"/>
      <c r="C18" s="43"/>
      <c r="D18" s="44"/>
      <c r="E18" s="252" t="s">
        <v>5</v>
      </c>
      <c r="F18" s="38">
        <f t="shared" ref="F18:I18" si="9">+F17-F19</f>
        <v>3.5000000000000003E-2</v>
      </c>
      <c r="G18" s="39">
        <f t="shared" si="9"/>
        <v>4.4999999999999991E-2</v>
      </c>
      <c r="H18" s="38">
        <f t="shared" si="9"/>
        <v>2.5000000000000008E-2</v>
      </c>
      <c r="I18" s="39">
        <f t="shared" si="9"/>
        <v>3.4999999999999989E-2</v>
      </c>
      <c r="J18" s="530"/>
      <c r="K18" s="532">
        <f t="shared" ref="K18" si="10">+K17-K19</f>
        <v>4.9999999999999996E-2</v>
      </c>
      <c r="L18" s="64"/>
      <c r="N18" s="113" t="str">
        <f>+IF((ROUND(F18-HLOOKUP(F$7,[2]Opel!$F$7:$G$86,MATCH($C17,[2]Opel!$C$7:$C$86,0)+1,0),3))*100=0,"ISO",(F18-HLOOKUP(F$7,[2]Opel!$F$7:$G$86,MATCH($C17,[2]Opel!$C$7:$C$86,0)+1,0))*100)</f>
        <v>ISO</v>
      </c>
      <c r="O18" s="114" t="str">
        <f>+IF((ROUND(G18-HLOOKUP(G$7,[2]Opel!$F$7:$G$86,MATCH($C17,[2]Opel!$C$7:$C$86,0)+1,0),3))*100=0,"ISO",(G18-HLOOKUP(G$7,[2]Opel!$F$7:$G$86,MATCH($C17,[2]Opel!$C$7:$C$86,0)+1,0))*100)</f>
        <v>ISO</v>
      </c>
      <c r="P18" s="114" t="str">
        <f>IF((ROUND(K18-HLOOKUP(K$7,[2]Opel!$K$7:$L$86,MATCH($C17,[2]Opel!$C$7:$C$86,0)+1,0),3))*100=0,"ISO",(K18-HLOOKUP(K$7,[2]Opel!$K$7:$L$86,MATCH($C17,[2]Opel!$C$7:$C$86,0)+1,0))*100)</f>
        <v>ISO</v>
      </c>
    </row>
    <row r="19" spans="1:16" ht="18" customHeight="1" thickBot="1" x14ac:dyDescent="0.25">
      <c r="B19" s="55"/>
      <c r="C19" s="47"/>
      <c r="D19" s="48"/>
      <c r="E19" s="253" t="s">
        <v>3</v>
      </c>
      <c r="F19" s="497">
        <f>+D17-VLOOKUP(A17,'[1]B2B Red'!$C:$FG,MATCH($A$3,'[1]B2B Red'!$CV$6:$EE$6,0)+97,0)-0.005</f>
        <v>2.4999999999999998E-2</v>
      </c>
      <c r="G19" s="498">
        <f>+D17-VLOOKUP(A17,'[1]B2B Red'!$C:$FG,MATCH($A$3,'[1]B2B Red'!$CV$6:$EE$6,0)+98,0)-0.005</f>
        <v>3.4999999999999996E-2</v>
      </c>
      <c r="H19" s="497">
        <f t="shared" ref="H19" si="11">+F19+1%</f>
        <v>3.4999999999999996E-2</v>
      </c>
      <c r="I19" s="498">
        <f t="shared" ref="I19" si="12">+G19+1%</f>
        <v>4.4999999999999998E-2</v>
      </c>
      <c r="J19" s="531"/>
      <c r="K19" s="534">
        <f>+D17-VLOOKUP(A17,'[1]B2B Red'!$C:$FG,MATCH($A$3,'[1]B2B Red'!$CV$6:$EE$6,0)+99,0)-0.01</f>
        <v>4.9999999999999996E-2</v>
      </c>
      <c r="L19" s="64"/>
      <c r="N19" s="115" t="str">
        <f>+IF((ROUND(F19-HLOOKUP(F$7,[2]Opel!$F$7:$G$86,MATCH($C17,[2]Opel!$C$7:$C$86,0)+2,0),3))*100=0,"ISO",(F19-HLOOKUP(F$7,[2]Opel!$F$7:$G$86,MATCH($C17,[2]Opel!$C$7:$C$86,0)+2,0))*100)</f>
        <v>ISO</v>
      </c>
      <c r="O19" s="116" t="str">
        <f>IF((ROUND(G19-HLOOKUP(G$7,[2]Opel!$F$7:$G$86,MATCH($C17,[2]Opel!$C$7:$C$86,0)+2,0),3))*100=0,"ISO",(G19-HLOOKUP(G$7,[2]Opel!$F$7:$G$86,MATCH($C17,[2]Opel!$C$7:$C$86,0)+2,0))*100)</f>
        <v>ISO</v>
      </c>
      <c r="P19" s="116" t="str">
        <f>IF((ROUND(K19-HLOOKUP(K$7,[2]Opel!$K$7:$L$86,MATCH($C17,[2]Opel!$C$7:$C$86,0)+2,0),3))*100=0,"ISO",(K19-HLOOKUP(K$7,[2]Opel!$K$7:$L$86,MATCH($C17,[2]Opel!$C$7:$C$86,0)+2,0))*100)</f>
        <v>ISO</v>
      </c>
    </row>
    <row r="20" spans="1:16" ht="18" customHeight="1" x14ac:dyDescent="0.2">
      <c r="A20" s="12" t="s">
        <v>106</v>
      </c>
      <c r="B20" s="55"/>
      <c r="C20" s="273" t="s">
        <v>66</v>
      </c>
      <c r="D20" s="271">
        <f>VLOOKUP(A20,[1]Gestión!$D:$H,5,FALSE)</f>
        <v>0.09</v>
      </c>
      <c r="E20" s="265" t="s">
        <v>2</v>
      </c>
      <c r="F20" s="266">
        <f>+VLOOKUP(A20,'[1]B2B Red'!$C:$FG,MATCH($A$3,'[1]B2B Red'!$BG$6:$CU$6,0)+56,0)</f>
        <v>6.0000000000000005E-2</v>
      </c>
      <c r="G20" s="267">
        <f>+VLOOKUP(A20,'[1]B2B Red'!$C:$FG,MATCH($A$3,'[1]B2B Red'!$BG$6:$CU$6,0)+57,0)</f>
        <v>7.9999999999999988E-2</v>
      </c>
      <c r="H20" s="266">
        <f t="shared" ref="H20" si="13">+F20</f>
        <v>6.0000000000000005E-2</v>
      </c>
      <c r="I20" s="267">
        <f t="shared" ref="I20" si="14">+G20</f>
        <v>7.9999999999999988E-2</v>
      </c>
      <c r="J20" s="529"/>
      <c r="K20" s="268">
        <f>+VLOOKUP(A20,'[1]B2B Red'!$C:$FG,MATCH($A$3,'[1]B2B Red'!$BG$6:$CU$6,0)+58,0)</f>
        <v>9.9999999999999992E-2</v>
      </c>
      <c r="L20" s="64"/>
      <c r="N20" s="269" t="str">
        <f>IF((F20-VLOOKUP($C20,[2]Opel!$C:$L,COLUMNS([2]Opel!$C$9:$F$9),0))*100=0,"ISO",(F20-VLOOKUP($C20,[2]Opel!$C:$L,COLUMNS([2]Opel!$C$9:$F$9),0))*100)</f>
        <v>ISO</v>
      </c>
      <c r="O20" s="270" t="str">
        <f>IF((G20-VLOOKUP($C20,[2]Opel!$C:$L,COLUMNS([2]Opel!$C$9:$G$9),0))*100=0,"ISO",(G20-VLOOKUP($C20,[2]Opel!$C:$L,COLUMNS([2]Opel!$C$9:$G$9),0))*100)</f>
        <v>ISO</v>
      </c>
      <c r="P20" s="270" t="str">
        <f>IF((K20-VLOOKUP($C20,[2]Opel!$C:$L,COLUMNS([2]Opel!$C$9:$K$9),0))*100=0,"ISO",(K20-VLOOKUP($C20,[2]Opel!$C:$L,COLUMNS([2]Opel!$C$9:$K$9),0))*100)</f>
        <v>ISO</v>
      </c>
    </row>
    <row r="21" spans="1:16" ht="18" customHeight="1" x14ac:dyDescent="0.2">
      <c r="B21" s="55"/>
      <c r="C21" s="43"/>
      <c r="D21" s="44"/>
      <c r="E21" s="252" t="s">
        <v>5</v>
      </c>
      <c r="F21" s="499">
        <f t="shared" ref="F21:I21" si="15">+F20-F22</f>
        <v>3.5000000000000003E-2</v>
      </c>
      <c r="G21" s="500">
        <f t="shared" si="15"/>
        <v>4.4999999999999991E-2</v>
      </c>
      <c r="H21" s="499">
        <f t="shared" si="15"/>
        <v>2.5000000000000008E-2</v>
      </c>
      <c r="I21" s="500">
        <f t="shared" si="15"/>
        <v>3.4999999999999989E-2</v>
      </c>
      <c r="J21" s="531"/>
      <c r="K21" s="535">
        <f t="shared" ref="K21" si="16">+K20-K22</f>
        <v>4.9999999999999996E-2</v>
      </c>
      <c r="L21" s="64"/>
      <c r="N21" s="113" t="str">
        <f>+IF((ROUND(F21-HLOOKUP(F$7,[2]Opel!$F$7:$G$86,MATCH($C20,[2]Opel!$C$7:$C$86,0)+1,0),3))*100=0,"ISO",(F21-HLOOKUP(F$7,[2]Opel!$F$7:$G$86,MATCH($C20,[2]Opel!$C$7:$C$86,0)+1,0))*100)</f>
        <v>ISO</v>
      </c>
      <c r="O21" s="114" t="str">
        <f>+IF((ROUND(G21-HLOOKUP(G$7,[2]Opel!$F$7:$G$86,MATCH($C20,[2]Opel!$C$7:$C$86,0)+1,0),3))*100=0,"ISO",(G21-HLOOKUP(G$7,[2]Opel!$F$7:$G$86,MATCH($C20,[2]Opel!$C$7:$C$86,0)+1,0))*100)</f>
        <v>ISO</v>
      </c>
      <c r="P21" s="114" t="str">
        <f>IF((ROUND(K21-HLOOKUP(K$7,[2]Opel!$K$7:$L$86,MATCH($C20,[2]Opel!$C$7:$C$86,0)+1,0),3))*100=0,"ISO",(K21-HLOOKUP(K$7,[2]Opel!$K$7:$L$86,MATCH($C20,[2]Opel!$C$7:$C$86,0)+1,0))*100)</f>
        <v>ISO</v>
      </c>
    </row>
    <row r="22" spans="1:16" ht="18" customHeight="1" thickBot="1" x14ac:dyDescent="0.25">
      <c r="B22" s="55"/>
      <c r="C22" s="47"/>
      <c r="D22" s="48"/>
      <c r="E22" s="253" t="s">
        <v>3</v>
      </c>
      <c r="F22" s="497">
        <f>+D20-VLOOKUP(A20,'[1]B2B Red'!$C:$FG,MATCH($A$3,'[1]B2B Red'!$CV$6:$EE$6,0)+97,0)-0.005</f>
        <v>2.4999999999999998E-2</v>
      </c>
      <c r="G22" s="498">
        <f>+D20-VLOOKUP(A20,'[1]B2B Red'!$C:$FG,MATCH($A$3,'[1]B2B Red'!$CV$6:$EE$6,0)+98,0)-0.005</f>
        <v>3.4999999999999996E-2</v>
      </c>
      <c r="H22" s="497">
        <f t="shared" ref="H22" si="17">+F22+1%</f>
        <v>3.4999999999999996E-2</v>
      </c>
      <c r="I22" s="498">
        <f t="shared" ref="I22" si="18">+G22+1%</f>
        <v>4.4999999999999998E-2</v>
      </c>
      <c r="J22" s="531"/>
      <c r="K22" s="534">
        <f>+D20-VLOOKUP(A20,'[1]B2B Red'!$C:$FG,MATCH($A$3,'[1]B2B Red'!$CV$6:$EE$6,0)+99,0)-0.01</f>
        <v>4.9999999999999996E-2</v>
      </c>
      <c r="L22" s="64"/>
      <c r="N22" s="115" t="str">
        <f>+IF((ROUND(F22-HLOOKUP(F$7,[2]Opel!$F$7:$G$86,MATCH($C20,[2]Opel!$C$7:$C$86,0)+2,0),3))*100=0,"ISO",(F22-HLOOKUP(F$7,[2]Opel!$F$7:$G$86,MATCH($C20,[2]Opel!$C$7:$C$86,0)+2,0))*100)</f>
        <v>ISO</v>
      </c>
      <c r="O22" s="116" t="str">
        <f>IF((ROUND(G22-HLOOKUP(G$7,[2]Opel!$F$7:$G$86,MATCH($C20,[2]Opel!$C$7:$C$86,0)+2,0),3))*100=0,"ISO",(G22-HLOOKUP(G$7,[2]Opel!$F$7:$G$86,MATCH($C20,[2]Opel!$C$7:$C$86,0)+2,0))*100)</f>
        <v>ISO</v>
      </c>
      <c r="P22" s="116" t="str">
        <f>IF((ROUND(K22-HLOOKUP(K$7,[2]Opel!$K$7:$L$86,MATCH($C20,[2]Opel!$C$7:$C$86,0)+2,0),3))*100=0,"ISO",(K22-HLOOKUP(K$7,[2]Opel!$K$7:$L$86,MATCH($C20,[2]Opel!$C$7:$C$86,0)+2,0))*100)</f>
        <v>ISO</v>
      </c>
    </row>
    <row r="23" spans="1:16" ht="18" customHeight="1" x14ac:dyDescent="0.2">
      <c r="A23" s="12" t="s">
        <v>107</v>
      </c>
      <c r="B23" s="55"/>
      <c r="C23" s="273" t="s">
        <v>67</v>
      </c>
      <c r="D23" s="271">
        <f>VLOOKUP(A23,[1]Gestión!$D:$H,5,FALSE)</f>
        <v>0.09</v>
      </c>
      <c r="E23" s="265" t="s">
        <v>2</v>
      </c>
      <c r="F23" s="266">
        <f>+VLOOKUP(A23,'[1]B2B Red'!$C:$FG,MATCH($A$3,'[1]B2B Red'!$BG$6:$CU$6,0)+56,0)</f>
        <v>6.0000000000000005E-2</v>
      </c>
      <c r="G23" s="267">
        <f>+VLOOKUP(A23,'[1]B2B Red'!$C:$FG,MATCH($A$3,'[1]B2B Red'!$BG$6:$CU$6,0)+57,0)</f>
        <v>7.9999999999999988E-2</v>
      </c>
      <c r="H23" s="266">
        <f t="shared" ref="H23" si="19">+F23</f>
        <v>6.0000000000000005E-2</v>
      </c>
      <c r="I23" s="267">
        <f t="shared" ref="I23" si="20">+G23</f>
        <v>7.9999999999999988E-2</v>
      </c>
      <c r="J23" s="529"/>
      <c r="K23" s="268">
        <f>+VLOOKUP(A23,'[1]B2B Red'!$C:$FG,MATCH($A$3,'[1]B2B Red'!$BG$6:$CU$6,0)+58,0)</f>
        <v>9.9999999999999992E-2</v>
      </c>
      <c r="L23" s="64"/>
      <c r="N23" s="269" t="str">
        <f>IF((F23-VLOOKUP($C23,[2]Opel!$C:$L,COLUMNS([2]Opel!$C$9:$F$9),0))*100=0,"ISO",(F23-VLOOKUP($C23,[2]Opel!$C:$L,COLUMNS([2]Opel!$C$9:$F$9),0))*100)</f>
        <v>ISO</v>
      </c>
      <c r="O23" s="270" t="str">
        <f>IF((G23-VLOOKUP($C23,[2]Opel!$C:$L,COLUMNS([2]Opel!$C$9:$G$9),0))*100=0,"ISO",(G23-VLOOKUP($C23,[2]Opel!$C:$L,COLUMNS([2]Opel!$C$9:$G$9),0))*100)</f>
        <v>ISO</v>
      </c>
      <c r="P23" s="270" t="str">
        <f>IF((K23-VLOOKUP($C23,[2]Opel!$C:$L,COLUMNS([2]Opel!$C$9:$K$9),0))*100=0,"ISO",(K23-VLOOKUP($C23,[2]Opel!$C:$L,COLUMNS([2]Opel!$C$9:$K$9),0))*100)</f>
        <v>ISO</v>
      </c>
    </row>
    <row r="24" spans="1:16" ht="18" customHeight="1" x14ac:dyDescent="0.2">
      <c r="B24" s="55"/>
      <c r="C24" s="43"/>
      <c r="D24" s="44"/>
      <c r="E24" s="252" t="s">
        <v>5</v>
      </c>
      <c r="F24" s="38">
        <f t="shared" ref="F24:I24" si="21">+F23-F25</f>
        <v>3.5000000000000003E-2</v>
      </c>
      <c r="G24" s="39">
        <f t="shared" si="21"/>
        <v>4.4999999999999991E-2</v>
      </c>
      <c r="H24" s="38">
        <f t="shared" si="21"/>
        <v>2.5000000000000008E-2</v>
      </c>
      <c r="I24" s="39">
        <f t="shared" si="21"/>
        <v>3.4999999999999989E-2</v>
      </c>
      <c r="J24" s="530"/>
      <c r="K24" s="532">
        <f t="shared" ref="K24" si="22">+K23-K25</f>
        <v>4.9999999999999996E-2</v>
      </c>
      <c r="L24" s="64"/>
      <c r="N24" s="113" t="str">
        <f>+IF((ROUND(F24-HLOOKUP(F$7,[2]Opel!$F$7:$G$86,MATCH($C23,[2]Opel!$C$7:$C$86,0)+1,0),3))*100=0,"ISO",(F24-HLOOKUP(F$7,[2]Opel!$F$7:$G$86,MATCH($C23,[2]Opel!$C$7:$C$86,0)+1,0))*100)</f>
        <v>ISO</v>
      </c>
      <c r="O24" s="114" t="str">
        <f>+IF((ROUND(G24-HLOOKUP(G$7,[2]Opel!$F$7:$G$86,MATCH($C23,[2]Opel!$C$7:$C$86,0)+1,0),3))*100=0,"ISO",(G24-HLOOKUP(G$7,[2]Opel!$F$7:$G$86,MATCH($C23,[2]Opel!$C$7:$C$86,0)+1,0))*100)</f>
        <v>ISO</v>
      </c>
      <c r="P24" s="114" t="str">
        <f>IF((ROUND(K24-HLOOKUP(K$7,[2]Opel!$K$7:$L$86,MATCH($C23,[2]Opel!$C$7:$C$86,0)+1,0),3))*100=0,"ISO",(K24-HLOOKUP(K$7,[2]Opel!$K$7:$L$86,MATCH($C23,[2]Opel!$C$7:$C$86,0)+1,0))*100)</f>
        <v>ISO</v>
      </c>
    </row>
    <row r="25" spans="1:16" ht="18" customHeight="1" thickBot="1" x14ac:dyDescent="0.25">
      <c r="B25" s="55"/>
      <c r="C25" s="45"/>
      <c r="D25" s="46"/>
      <c r="E25" s="253" t="s">
        <v>3</v>
      </c>
      <c r="F25" s="497">
        <f>+D23-VLOOKUP(A23,'[1]B2B Red'!$C:$FG,MATCH($A$3,'[1]B2B Red'!$CV$6:$EE$6,0)+97,0)-0.005</f>
        <v>2.4999999999999998E-2</v>
      </c>
      <c r="G25" s="498">
        <f>+D23-VLOOKUP(A23,'[1]B2B Red'!$C:$FG,MATCH($A$3,'[1]B2B Red'!$CV$6:$EE$6,0)+98,0)-0.005</f>
        <v>3.4999999999999996E-2</v>
      </c>
      <c r="H25" s="497">
        <f t="shared" ref="H25:I25" si="23">+F25+1%</f>
        <v>3.4999999999999996E-2</v>
      </c>
      <c r="I25" s="498">
        <f t="shared" si="23"/>
        <v>4.4999999999999998E-2</v>
      </c>
      <c r="J25" s="531"/>
      <c r="K25" s="534">
        <f>+D23-VLOOKUP(A23,'[1]B2B Red'!$C:$FG,MATCH($A$3,'[1]B2B Red'!$CV$6:$EE$6,0)+99,0)-0.01</f>
        <v>4.9999999999999996E-2</v>
      </c>
      <c r="L25" s="64"/>
      <c r="N25" s="115" t="str">
        <f>+IF((ROUND(F25-HLOOKUP(F$7,[2]Opel!$F$7:$G$86,MATCH($C23,[2]Opel!$C$7:$C$86,0)+2,0),3))*100=0,"ISO",(F25-HLOOKUP(F$7,[2]Opel!$F$7:$G$86,MATCH($C23,[2]Opel!$C$7:$C$86,0)+2,0))*100)</f>
        <v>ISO</v>
      </c>
      <c r="O25" s="116" t="str">
        <f>IF((ROUND(G25-HLOOKUP(G$7,[2]Opel!$F$7:$G$86,MATCH($C23,[2]Opel!$C$7:$C$86,0)+2,0),3))*100=0,"ISO",(G25-HLOOKUP(G$7,[2]Opel!$F$7:$G$86,MATCH($C23,[2]Opel!$C$7:$C$86,0)+2,0))*100)</f>
        <v>ISO</v>
      </c>
      <c r="P25" s="116" t="str">
        <f>IF((ROUND(K25-HLOOKUP(K$7,[2]Opel!$K$7:$L$86,MATCH($C23,[2]Opel!$C$7:$C$86,0)+2,0),3))*100=0,"ISO",(K25-HLOOKUP(K$7,[2]Opel!$K$7:$L$86,MATCH($C23,[2]Opel!$C$7:$C$86,0)+2,0))*100)</f>
        <v>ISO</v>
      </c>
    </row>
    <row r="26" spans="1:16" ht="18" customHeight="1" x14ac:dyDescent="0.2">
      <c r="B26" s="55"/>
      <c r="C26" s="56"/>
      <c r="D26" s="14"/>
      <c r="E26" s="15"/>
      <c r="F26" s="15"/>
      <c r="G26" s="15"/>
      <c r="H26" s="15"/>
      <c r="I26" s="15"/>
      <c r="J26" s="15"/>
      <c r="K26" s="58"/>
      <c r="L26" s="64"/>
    </row>
    <row r="27" spans="1:16" ht="18" customHeight="1" x14ac:dyDescent="0.2">
      <c r="B27" s="65"/>
      <c r="C27" s="66"/>
      <c r="D27" s="67"/>
      <c r="E27" s="68"/>
      <c r="F27" s="68"/>
      <c r="G27" s="68"/>
      <c r="H27" s="68"/>
      <c r="I27" s="68"/>
      <c r="J27" s="68"/>
      <c r="K27" s="69"/>
      <c r="L27" s="70"/>
    </row>
    <row r="28" spans="1:16" ht="15" hidden="1" customHeight="1" x14ac:dyDescent="0.2">
      <c r="F28" s="19"/>
      <c r="G28" s="20"/>
    </row>
  </sheetData>
  <mergeCells count="12">
    <mergeCell ref="N7:N8"/>
    <mergeCell ref="O7:O8"/>
    <mergeCell ref="P7:P8"/>
    <mergeCell ref="K7:K8"/>
    <mergeCell ref="C3:K4"/>
    <mergeCell ref="C6:E7"/>
    <mergeCell ref="F6:G6"/>
    <mergeCell ref="H6:I6"/>
    <mergeCell ref="F7:F8"/>
    <mergeCell ref="G7:G8"/>
    <mergeCell ref="H7:H8"/>
    <mergeCell ref="I7:I8"/>
  </mergeCells>
  <printOptions horizontalCentered="1"/>
  <pageMargins left="0.70866141732283472" right="0.70866141732283472" top="0.74803149606299213" bottom="0.74803149606299213" header="0.31496062992125984" footer="0.31496062992125984"/>
  <pageSetup scale="62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B8FDEFB4-50A8-46BF-B414-88F70B4830D4}">
          <x14:formula1>
            <xm:f>MES!$B$2:$B$13</xm:f>
          </x14:formula1>
          <xm:sqref>A3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0AC2D-EF15-4794-8311-1CE1ACCF4791}">
  <sheetPr>
    <tabColor theme="1"/>
    <pageSetUpPr fitToPage="1"/>
  </sheetPr>
  <dimension ref="A1:P75"/>
  <sheetViews>
    <sheetView showGridLines="0" zoomScaleNormal="100" zoomScaleSheetLayoutView="100" workbookViewId="0">
      <pane ySplit="8" topLeftCell="A9" activePane="bottomLeft" state="frozen"/>
      <selection activeCell="O7" sqref="O7:Q8"/>
      <selection pane="bottomLeft" activeCell="N9" sqref="N9"/>
    </sheetView>
  </sheetViews>
  <sheetFormatPr baseColWidth="10" defaultColWidth="11.5703125" defaultRowHeight="0" customHeight="1" zeroHeight="1" outlineLevelCol="1" x14ac:dyDescent="0.2"/>
  <cols>
    <col min="1" max="1" width="50.7109375" style="359" hidden="1" customWidth="1" outlineLevel="1"/>
    <col min="2" max="2" width="5.7109375" style="364" customWidth="1" collapsed="1"/>
    <col min="3" max="3" width="50.7109375" style="364" customWidth="1"/>
    <col min="4" max="4" width="13.7109375" style="359" hidden="1" customWidth="1" outlineLevel="1"/>
    <col min="5" max="5" width="10.7109375" style="364" customWidth="1" collapsed="1"/>
    <col min="6" max="7" width="13.7109375" style="364" customWidth="1"/>
    <col min="8" max="9" width="13.7109375" style="364" hidden="1" customWidth="1"/>
    <col min="10" max="10" width="1" style="364" customWidth="1"/>
    <col min="11" max="11" width="16.85546875" style="359" customWidth="1"/>
    <col min="12" max="12" width="3" style="359" customWidth="1"/>
    <col min="13" max="13" width="5.7109375" style="364" customWidth="1"/>
    <col min="14" max="16" width="13.7109375" style="364" customWidth="1"/>
    <col min="17" max="17" width="5.7109375" style="364" customWidth="1"/>
    <col min="18" max="16384" width="11.5703125" style="364"/>
  </cols>
  <sheetData>
    <row r="1" spans="1:16" ht="9.9499999999999993" customHeight="1" thickBot="1" x14ac:dyDescent="0.25">
      <c r="B1" s="360"/>
      <c r="C1" s="361"/>
      <c r="D1" s="362"/>
      <c r="E1" s="361"/>
      <c r="F1" s="361"/>
      <c r="G1" s="361"/>
      <c r="H1" s="361"/>
      <c r="I1" s="361"/>
      <c r="J1" s="361"/>
      <c r="K1" s="362"/>
      <c r="L1" s="363"/>
    </row>
    <row r="2" spans="1:16" ht="18" customHeight="1" thickBot="1" x14ac:dyDescent="0.25">
      <c r="A2" s="448" t="s">
        <v>25</v>
      </c>
      <c r="B2" s="365"/>
      <c r="C2" s="365"/>
      <c r="D2" s="366"/>
      <c r="E2" s="393"/>
      <c r="F2" s="393"/>
      <c r="G2" s="393"/>
      <c r="H2" s="393"/>
      <c r="I2" s="393"/>
      <c r="J2" s="365"/>
      <c r="K2" s="366"/>
      <c r="L2" s="367"/>
    </row>
    <row r="3" spans="1:16" ht="18" customHeight="1" thickBot="1" x14ac:dyDescent="0.25">
      <c r="A3" s="368" t="str">
        <f>+Peugeot!A3</f>
        <v>JUNIO</v>
      </c>
      <c r="B3" s="365"/>
      <c r="C3" s="695" t="str">
        <f>"     "&amp;"ACCIONES COMERCIALES B2B RED"&amp;" - "&amp;A3&amp;" 2026"</f>
        <v xml:space="preserve">     ACCIONES COMERCIALES B2B RED - JUNIO 2026</v>
      </c>
      <c r="D3" s="695"/>
      <c r="E3" s="695"/>
      <c r="F3" s="695"/>
      <c r="G3" s="695"/>
      <c r="H3" s="695"/>
      <c r="I3" s="695"/>
      <c r="J3" s="695"/>
      <c r="K3" s="695"/>
      <c r="L3" s="367"/>
    </row>
    <row r="4" spans="1:16" ht="18" customHeight="1" thickBot="1" x14ac:dyDescent="0.25">
      <c r="B4" s="369"/>
      <c r="C4" s="695"/>
      <c r="D4" s="695"/>
      <c r="E4" s="695"/>
      <c r="F4" s="695"/>
      <c r="G4" s="695"/>
      <c r="H4" s="695"/>
      <c r="I4" s="695"/>
      <c r="J4" s="695"/>
      <c r="K4" s="695"/>
      <c r="L4" s="367"/>
    </row>
    <row r="5" spans="1:16" ht="9.9499999999999993" customHeight="1" thickBot="1" x14ac:dyDescent="0.25">
      <c r="B5" s="369"/>
      <c r="C5" s="569"/>
      <c r="D5" s="570"/>
      <c r="E5" s="559"/>
      <c r="F5" s="559"/>
      <c r="G5" s="571"/>
      <c r="H5" s="560"/>
      <c r="I5" s="560"/>
      <c r="J5" s="560"/>
      <c r="K5" s="572"/>
      <c r="L5" s="367"/>
    </row>
    <row r="6" spans="1:16" ht="18" customHeight="1" thickBot="1" x14ac:dyDescent="0.25">
      <c r="B6" s="369"/>
      <c r="C6" s="696" t="s">
        <v>0</v>
      </c>
      <c r="D6" s="697"/>
      <c r="E6" s="697"/>
      <c r="F6" s="756" t="s">
        <v>10</v>
      </c>
      <c r="G6" s="757"/>
      <c r="H6" s="758" t="s">
        <v>11</v>
      </c>
      <c r="I6" s="759"/>
      <c r="J6" s="365"/>
      <c r="K6" s="366"/>
      <c r="L6" s="367"/>
    </row>
    <row r="7" spans="1:16" ht="18" customHeight="1" thickBot="1" x14ac:dyDescent="0.25">
      <c r="B7" s="369"/>
      <c r="C7" s="698"/>
      <c r="D7" s="699"/>
      <c r="E7" s="699"/>
      <c r="F7" s="760" t="s">
        <v>6</v>
      </c>
      <c r="G7" s="762" t="s">
        <v>7</v>
      </c>
      <c r="H7" s="764" t="s">
        <v>6</v>
      </c>
      <c r="I7" s="766" t="s">
        <v>7</v>
      </c>
      <c r="J7" s="365"/>
      <c r="K7" s="710" t="s">
        <v>8</v>
      </c>
      <c r="L7" s="367"/>
      <c r="N7" s="688" t="s">
        <v>51</v>
      </c>
      <c r="O7" s="690" t="s">
        <v>52</v>
      </c>
      <c r="P7" s="692" t="s">
        <v>53</v>
      </c>
    </row>
    <row r="8" spans="1:16" s="585" customFormat="1" ht="18" customHeight="1" thickBot="1" x14ac:dyDescent="0.25">
      <c r="A8" s="578"/>
      <c r="B8" s="579"/>
      <c r="C8" s="580" t="s">
        <v>1</v>
      </c>
      <c r="D8" s="581" t="s">
        <v>12</v>
      </c>
      <c r="E8" s="582" t="s">
        <v>9</v>
      </c>
      <c r="F8" s="761"/>
      <c r="G8" s="763"/>
      <c r="H8" s="765"/>
      <c r="I8" s="767"/>
      <c r="J8" s="583"/>
      <c r="K8" s="711"/>
      <c r="L8" s="584"/>
      <c r="N8" s="689"/>
      <c r="O8" s="691"/>
      <c r="P8" s="693"/>
    </row>
    <row r="9" spans="1:16" s="375" customFormat="1" ht="18" customHeight="1" x14ac:dyDescent="0.2">
      <c r="A9" s="449" t="s">
        <v>114</v>
      </c>
      <c r="B9" s="450"/>
      <c r="C9" s="561" t="s">
        <v>93</v>
      </c>
      <c r="D9" s="456">
        <f>VLOOKUP(A9,[3]Gestión!$D:$H,5,FALSE)</f>
        <v>0.1</v>
      </c>
      <c r="E9" s="457" t="s">
        <v>2</v>
      </c>
      <c r="F9" s="458">
        <f>+VLOOKUP(A9,'[3]B2B Red'!$C:$FG,MATCH($A$3,'[3]B2B Red'!$BG$6:$CU$6,0)+56,0)</f>
        <v>0.12</v>
      </c>
      <c r="G9" s="460">
        <f>+VLOOKUP(A9,'[3]B2B Red'!$C:$FG,MATCH($A$3,'[3]B2B Red'!$BG$6:$CU$6,0)+57,0)</f>
        <v>0.16</v>
      </c>
      <c r="H9" s="453">
        <f>+F9</f>
        <v>0.12</v>
      </c>
      <c r="I9" s="454">
        <f>+G9</f>
        <v>0.16</v>
      </c>
      <c r="J9" s="373"/>
      <c r="K9" s="573">
        <f>+VLOOKUP(A9,'[3]B2B Red'!$C:$FG,MATCH($A$3,'[3]B2B Red'!$BG$6:$CU$6,0)+58,0)</f>
        <v>0.2</v>
      </c>
      <c r="L9" s="374"/>
      <c r="N9" s="462" t="str">
        <f>IF((F9-VLOOKUP($C9,[2]Jeep!$C:$L,COLUMNS([2]Jeep!$C$9:$F$9),0))*100=0,"ISO",(F9-VLOOKUP($C9,[2]Jeep!$C:$L,COLUMNS([2]Jeep!$C$9:$F$9),0))*100)</f>
        <v>ISO</v>
      </c>
      <c r="O9" s="463" t="str">
        <f>IF((G9-VLOOKUP($C9,[2]Jeep!$C:$L,COLUMNS([2]Jeep!$C$9:$G$9),0))*100=0,"ISO",(G9-VLOOKUP($C9,[2]Jeep!$C:$L,COLUMNS([2]Jeep!$C$9:$G$9),0))*100)</f>
        <v>ISO</v>
      </c>
      <c r="P9" s="462" t="str">
        <f>IF((K9-VLOOKUP($C9,[2]Jeep!$C:$L,COLUMNS([2]Jeep!$C$9:$K$9),0))*100=0,"ISO",(K9-VLOOKUP($C9,[2]Jeep!$C:$L,COLUMNS([2]Jeep!$C$9:$K$9),0))*100)</f>
        <v>ISO</v>
      </c>
    </row>
    <row r="10" spans="1:16" s="379" customFormat="1" ht="18" customHeight="1" thickBot="1" x14ac:dyDescent="0.25">
      <c r="A10" s="376"/>
      <c r="B10" s="377"/>
      <c r="C10" s="562"/>
      <c r="D10" s="479"/>
      <c r="E10" s="480" t="s">
        <v>5</v>
      </c>
      <c r="F10" s="481">
        <f>+F9-F11</f>
        <v>7.4999999999999983E-2</v>
      </c>
      <c r="G10" s="563">
        <f t="shared" ref="G10:I10" si="0">+G9-G11</f>
        <v>0.105</v>
      </c>
      <c r="H10" s="481">
        <f t="shared" si="0"/>
        <v>6.4999999999999988E-2</v>
      </c>
      <c r="I10" s="482">
        <f t="shared" si="0"/>
        <v>9.5000000000000001E-2</v>
      </c>
      <c r="J10" s="483"/>
      <c r="K10" s="574">
        <f>+K9-K11</f>
        <v>0.13</v>
      </c>
      <c r="L10" s="378"/>
      <c r="N10" s="406" t="str">
        <f>+IF((ROUND(F10-HLOOKUP(F$7,[2]Jeep!$F$7:$G$86,MATCH($C9,[2]Jeep!$C$7:$C$86,0)+1,0),3))*100=0,"ISO",(F10-HLOOKUP(F$7,[2]Jeep!$F$7:$G$86,MATCH($C9,[2]Jeep!$C$7:$C$86,0)+1,0))*100)</f>
        <v>ISO</v>
      </c>
      <c r="O10" s="407" t="str">
        <f>+IF((ROUND(G10-HLOOKUP(G$7,[2]Jeep!$F$7:$G$86,MATCH($C9,[2]Jeep!$C$7:$C$86,0)+1,0),3))*100=0,"ISO",(G10-HLOOKUP(G$7,[2]Jeep!$F$7:$G$86,MATCH($C9,[2]Jeep!$C$7:$C$86,0)+1,0))*100)</f>
        <v>ISO</v>
      </c>
      <c r="P10" s="406" t="str">
        <f>IF((ROUND(K10-HLOOKUP(K$7,[2]Jeep!$K$7:$L$86,MATCH($C9,[2]Jeep!$C$7:$C$86,0)+1,0),3))*100=0,"ISO",(K10-HLOOKUP(K$7,[2]Jeep!$K$7:$L$86,MATCH($C9,[2]Jeep!$C$7:$C$86,0)+1,0))*100)</f>
        <v>ISO</v>
      </c>
    </row>
    <row r="11" spans="1:16" s="379" customFormat="1" ht="18" customHeight="1" thickBot="1" x14ac:dyDescent="0.25">
      <c r="A11" s="376"/>
      <c r="B11" s="377"/>
      <c r="C11" s="564"/>
      <c r="D11" s="565"/>
      <c r="E11" s="566" t="s">
        <v>3</v>
      </c>
      <c r="F11" s="567">
        <f>+D9-VLOOKUP(A9,'[3]B2B Red'!$C:$FG,MATCH($A$3,'[3]B2B Red'!$CV$6:$EE$6,0)+97,0)</f>
        <v>4.5000000000000005E-2</v>
      </c>
      <c r="G11" s="568">
        <f>+D9-VLOOKUP(A9,'[3]B2B Red'!$C:$FG,MATCH($A$3,'[3]B2B Red'!$CV$6:$EE$6,0)+98,0)</f>
        <v>5.5000000000000007E-2</v>
      </c>
      <c r="H11" s="484">
        <f>+F11+1%</f>
        <v>5.5000000000000007E-2</v>
      </c>
      <c r="I11" s="485">
        <f>+G11+1%</f>
        <v>6.5000000000000002E-2</v>
      </c>
      <c r="J11" s="483"/>
      <c r="K11" s="575">
        <f>+D9-VLOOKUP(A9,'[3]B2B Red'!$C:$FG,MATCH($A$3,'[3]B2B Red'!$CV$6:$EE$6,0)+99,0)</f>
        <v>7.0000000000000007E-2</v>
      </c>
      <c r="L11" s="378"/>
      <c r="N11" s="411" t="str">
        <f>+IF((ROUND(F11-HLOOKUP(F$7,[2]Jeep!$F$7:$G$86,MATCH($C9,[2]Jeep!$C$7:$C$86,0)+2,0),3))*100=0,"ISO",(F11-HLOOKUP(F$7,[2]Jeep!$F$7:$G$86,MATCH($C9,[2]Jeep!$C$7:$C$86,0)+2,0))*100)</f>
        <v>ISO</v>
      </c>
      <c r="O11" s="412" t="str">
        <f>IF((ROUND(G11-HLOOKUP(G$7,[2]Jeep!$F$7:$G$86,MATCH($C9,[2]Jeep!$C$7:$C$86,0)+2,0),3))*100=0,"ISO",(G11-HLOOKUP(G$7,[2]Jeep!$F$7:$G$86,MATCH($C9,[2]Jeep!$C$7:$C$86,0)+2,0))*100)</f>
        <v>ISO</v>
      </c>
      <c r="P11" s="411" t="str">
        <f>IF((ROUND(K11-HLOOKUP(K$7,[2]Jeep!$K$7:$L$86,MATCH($C9,[2]Jeep!$C$7:$C$86,0)+2,0),3))*100=0,"ISO",(K11-HLOOKUP(K$7,[2]Jeep!$K$7:$L$86,MATCH($C9,[2]Jeep!$C$7:$C$86,0)+2,0))*100)</f>
        <v>ISO</v>
      </c>
    </row>
    <row r="12" spans="1:16" ht="5.0999999999999996" customHeight="1" thickBot="1" x14ac:dyDescent="0.25">
      <c r="B12" s="369"/>
      <c r="C12" s="416"/>
      <c r="D12" s="414"/>
      <c r="E12" s="413"/>
      <c r="F12" s="415"/>
      <c r="G12" s="415"/>
      <c r="H12" s="415"/>
      <c r="I12" s="415"/>
      <c r="J12" s="370"/>
      <c r="K12" s="415"/>
      <c r="L12" s="367"/>
      <c r="N12" s="380"/>
      <c r="O12" s="380"/>
      <c r="P12" s="380"/>
    </row>
    <row r="13" spans="1:16" s="375" customFormat="1" ht="18" customHeight="1" x14ac:dyDescent="0.2">
      <c r="A13" s="371" t="s">
        <v>115</v>
      </c>
      <c r="B13" s="372"/>
      <c r="C13" s="455" t="s">
        <v>94</v>
      </c>
      <c r="D13" s="456">
        <f>VLOOKUP(A13,[3]Gestión!$D:$H,5,FALSE)</f>
        <v>0.1</v>
      </c>
      <c r="E13" s="457" t="s">
        <v>2</v>
      </c>
      <c r="F13" s="458">
        <f>+VLOOKUP(A13,'[3]B2B Red'!$C:$FG,MATCH($A$3,'[3]B2B Red'!$BG$6:$CU$6,0)+56,0)</f>
        <v>0.1</v>
      </c>
      <c r="G13" s="459">
        <f>+VLOOKUP(A13,'[3]B2B Red'!$C:$FG,MATCH($A$3,'[3]B2B Red'!$BG$6:$CU$6,0)+57,0)</f>
        <v>0.14000000000000001</v>
      </c>
      <c r="H13" s="458">
        <f>+F13</f>
        <v>0.1</v>
      </c>
      <c r="I13" s="459">
        <f>+G13</f>
        <v>0.14000000000000001</v>
      </c>
      <c r="J13" s="370"/>
      <c r="K13" s="576">
        <f>+VLOOKUP(A13,'[3]B2B Red'!$C:$FG,MATCH($A$3,'[3]B2B Red'!$BG$6:$CU$6,0)+58,0)</f>
        <v>0.18</v>
      </c>
      <c r="L13" s="374"/>
      <c r="N13" s="462" t="str">
        <f>IF((F13-VLOOKUP($C13,[2]Jeep!$C:$L,COLUMNS([2]Jeep!$C$9:$F$9),0))*100=0,"ISO",(F13-VLOOKUP($C13,[2]Jeep!$C:$L,COLUMNS([2]Jeep!$C$9:$F$9),0))*100)</f>
        <v>ISO</v>
      </c>
      <c r="O13" s="463" t="str">
        <f>IF((G13-VLOOKUP($C13,[2]Jeep!$C:$L,COLUMNS([2]Jeep!$C$9:$G$9),0))*100=0,"ISO",(G13-VLOOKUP($C13,[2]Jeep!$C:$L,COLUMNS([2]Jeep!$C$9:$G$9),0))*100)</f>
        <v>ISO</v>
      </c>
      <c r="P13" s="462" t="str">
        <f>IF((K13-VLOOKUP($C13,[2]Jeep!$C:$L,COLUMNS([2]Jeep!$C$9:$K$9),0))*100=0,"ISO",(K13-VLOOKUP($C13,[2]Jeep!$C:$L,COLUMNS([2]Jeep!$C$9:$K$9),0))*100)</f>
        <v>ISO</v>
      </c>
    </row>
    <row r="14" spans="1:16" s="379" customFormat="1" ht="18" customHeight="1" thickBot="1" x14ac:dyDescent="0.25">
      <c r="A14" s="381"/>
      <c r="B14" s="377"/>
      <c r="C14" s="422"/>
      <c r="D14" s="402"/>
      <c r="E14" s="423" t="s">
        <v>5</v>
      </c>
      <c r="F14" s="424">
        <f>+F13-F15</f>
        <v>5.5E-2</v>
      </c>
      <c r="G14" s="425">
        <f t="shared" ref="G14:I14" si="1">+G13-G15</f>
        <v>8.5000000000000006E-2</v>
      </c>
      <c r="H14" s="424">
        <f t="shared" si="1"/>
        <v>4.4999999999999998E-2</v>
      </c>
      <c r="I14" s="425">
        <f t="shared" si="1"/>
        <v>7.5000000000000011E-2</v>
      </c>
      <c r="J14" s="370"/>
      <c r="K14" s="554">
        <f>+K13-K15</f>
        <v>0.10999999999999999</v>
      </c>
      <c r="L14" s="378"/>
      <c r="N14" s="406" t="str">
        <f>+IF((ROUND(F14-HLOOKUP(F$7,[2]Jeep!$F$7:$G$86,MATCH($C13,[2]Jeep!$C$7:$C$86,0)+1,0),3))*100=0,"ISO",(F14-HLOOKUP(F$7,[2]Jeep!$F$7:$G$86,MATCH($C13,[2]Jeep!$C$7:$C$86,0)+1,0))*100)</f>
        <v>ISO</v>
      </c>
      <c r="O14" s="407" t="str">
        <f>+IF((ROUND(G14-HLOOKUP(G$7,[2]Jeep!$F$7:$G$86,MATCH($C13,[2]Jeep!$C$7:$C$86,0)+1,0),3))*100=0,"ISO",(G14-HLOOKUP(G$7,[2]Jeep!$F$7:$G$86,MATCH($C13,[2]Jeep!$C$7:$C$86,0)+1,0))*100)</f>
        <v>ISO</v>
      </c>
      <c r="P14" s="406" t="str">
        <f>IF((ROUND(K14-HLOOKUP(K$7,[2]Jeep!$K$7:$L$86,MATCH($C13,[2]Jeep!$C$7:$C$86,0)+1,0),3))*100=0,"ISO",(K14-HLOOKUP(K$7,[2]Jeep!$K$7:$L$86,MATCH($C13,[2]Jeep!$C$7:$C$86,0)+1,0))*100)</f>
        <v>ISO</v>
      </c>
    </row>
    <row r="15" spans="1:16" s="379" customFormat="1" ht="18" customHeight="1" thickBot="1" x14ac:dyDescent="0.25">
      <c r="A15" s="381"/>
      <c r="B15" s="377"/>
      <c r="C15" s="426"/>
      <c r="D15" s="427"/>
      <c r="E15" s="428" t="s">
        <v>3</v>
      </c>
      <c r="F15" s="429">
        <f>+D13-VLOOKUP(A13,'[3]B2B Red'!$C:$FG,MATCH($A$3,'[3]B2B Red'!$CV$6:$EE$6,0)+97,0)</f>
        <v>4.5000000000000005E-2</v>
      </c>
      <c r="G15" s="430">
        <f>+D13-VLOOKUP(A13,'[3]B2B Red'!$C:$FG,MATCH($A$3,'[3]B2B Red'!$CV$6:$EE$6,0)+98,0)</f>
        <v>5.5000000000000007E-2</v>
      </c>
      <c r="H15" s="429">
        <f>+F15+1%</f>
        <v>5.5000000000000007E-2</v>
      </c>
      <c r="I15" s="430">
        <f>+G15+1%</f>
        <v>6.5000000000000002E-2</v>
      </c>
      <c r="J15" s="370"/>
      <c r="K15" s="556">
        <f>+D13-VLOOKUP(A13,'[3]B2B Red'!$C:$FG,MATCH($A$3,'[3]B2B Red'!$CV$6:$EE$6,0)+99,0)</f>
        <v>7.0000000000000007E-2</v>
      </c>
      <c r="L15" s="378"/>
      <c r="N15" s="411" t="str">
        <f>+IF((ROUND(F15-HLOOKUP(F$7,[2]Jeep!$F$7:$G$86,MATCH($C13,[2]Jeep!$C$7:$C$86,0)+2,0),3))*100=0,"ISO",(F15-HLOOKUP(F$7,[2]Jeep!$F$7:$G$86,MATCH($C13,[2]Jeep!$C$7:$C$86,0)+2,0))*100)</f>
        <v>ISO</v>
      </c>
      <c r="O15" s="412" t="str">
        <f>IF((ROUND(G15-HLOOKUP(G$7,[2]Jeep!$F$7:$G$86,MATCH($C13,[2]Jeep!$C$7:$C$86,0)+2,0),3))*100=0,"ISO",(G15-HLOOKUP(G$7,[2]Jeep!$F$7:$G$86,MATCH($C13,[2]Jeep!$C$7:$C$86,0)+2,0))*100)</f>
        <v>ISO</v>
      </c>
      <c r="P15" s="411" t="str">
        <f>IF((ROUND(K15-HLOOKUP(K$7,[2]Jeep!$K$7:$L$86,MATCH($C13,[2]Jeep!$C$7:$C$86,0)+2,0),3))*100=0,"ISO",(K15-HLOOKUP(K$7,[2]Jeep!$K$7:$L$86,MATCH($C13,[2]Jeep!$C$7:$C$86,0)+2,0))*100)</f>
        <v>ISO</v>
      </c>
    </row>
    <row r="16" spans="1:16" ht="5.0999999999999996" customHeight="1" x14ac:dyDescent="0.2">
      <c r="B16" s="369"/>
      <c r="C16" s="416"/>
      <c r="D16" s="414"/>
      <c r="E16" s="413"/>
      <c r="F16" s="415"/>
      <c r="G16" s="415"/>
      <c r="H16" s="415"/>
      <c r="I16" s="415"/>
      <c r="J16" s="370"/>
      <c r="K16" s="415"/>
      <c r="L16" s="367"/>
      <c r="N16" s="380"/>
      <c r="O16" s="380"/>
      <c r="P16" s="380"/>
    </row>
    <row r="17" spans="1:16" ht="18" customHeight="1" x14ac:dyDescent="0.2">
      <c r="B17" s="369"/>
      <c r="C17" s="464" t="s">
        <v>95</v>
      </c>
      <c r="D17" s="414"/>
      <c r="E17" s="413"/>
      <c r="F17" s="415"/>
      <c r="G17" s="415"/>
      <c r="H17" s="415"/>
      <c r="I17" s="415"/>
      <c r="J17" s="370"/>
      <c r="K17" s="415"/>
      <c r="L17" s="367"/>
      <c r="N17" s="380"/>
      <c r="O17" s="380"/>
      <c r="P17" s="380"/>
    </row>
    <row r="18" spans="1:16" ht="5.0999999999999996" customHeight="1" thickBot="1" x14ac:dyDescent="0.25">
      <c r="B18" s="369"/>
      <c r="C18" s="416"/>
      <c r="D18" s="414"/>
      <c r="E18" s="413"/>
      <c r="F18" s="415"/>
      <c r="G18" s="415"/>
      <c r="H18" s="415"/>
      <c r="I18" s="415"/>
      <c r="J18" s="370"/>
      <c r="K18" s="415"/>
      <c r="L18" s="367"/>
      <c r="N18" s="380"/>
      <c r="O18" s="380"/>
      <c r="P18" s="380"/>
    </row>
    <row r="19" spans="1:16" s="375" customFormat="1" ht="18" customHeight="1" x14ac:dyDescent="0.2">
      <c r="A19" s="371" t="s">
        <v>116</v>
      </c>
      <c r="B19" s="372"/>
      <c r="C19" s="455" t="s">
        <v>96</v>
      </c>
      <c r="D19" s="456">
        <f>VLOOKUP(A19,[3]Gestión!$D:$H,5,FALSE)</f>
        <v>0.09</v>
      </c>
      <c r="E19" s="457" t="s">
        <v>2</v>
      </c>
      <c r="F19" s="458">
        <f>+VLOOKUP(A19,'[3]B2B Red'!$C:$FG,MATCH($A$3,'[3]B2B Red'!$BG$6:$CU$6,0)+56,0)</f>
        <v>0.08</v>
      </c>
      <c r="G19" s="459">
        <f>+VLOOKUP(A19,'[3]B2B Red'!$C:$FG,MATCH($A$3,'[3]B2B Red'!$BG$6:$CU$6,0)+57,0)</f>
        <v>0.1</v>
      </c>
      <c r="H19" s="458">
        <f>+F19</f>
        <v>0.08</v>
      </c>
      <c r="I19" s="460">
        <f>+G19</f>
        <v>0.1</v>
      </c>
      <c r="J19" s="370"/>
      <c r="K19" s="576">
        <f>+VLOOKUP(A19,'[3]B2B Red'!$C:$FG,MATCH($A$3,'[3]B2B Red'!$BG$6:$CU$6,0)+58,0)</f>
        <v>0.12</v>
      </c>
      <c r="L19" s="374"/>
      <c r="N19" s="462" t="str">
        <f>IF((F19-VLOOKUP($C19,[2]Jeep!$C:$L,COLUMNS([2]Jeep!$C$9:$F$9),0))*100=0,"ISO",(F19-VLOOKUP($C19,[2]Jeep!$C:$L,COLUMNS([2]Jeep!$C$9:$F$9),0))*100)</f>
        <v>ISO</v>
      </c>
      <c r="O19" s="463" t="str">
        <f>IF((G19-VLOOKUP($C19,[2]Jeep!$C:$L,COLUMNS([2]Jeep!$C$9:$G$9),0))*100=0,"ISO",(G19-VLOOKUP($C19,[2]Jeep!$C:$L,COLUMNS([2]Jeep!$C$9:$G$9),0))*100)</f>
        <v>ISO</v>
      </c>
      <c r="P19" s="462" t="str">
        <f>IF((K19-VLOOKUP($C19,[2]Jeep!$C:$L,COLUMNS([2]Jeep!$C$9:$K$9),0))*100=0,"ISO",(K19-VLOOKUP($C19,[2]Jeep!$C:$L,COLUMNS([2]Jeep!$C$9:$K$9),0))*100)</f>
        <v>ISO</v>
      </c>
    </row>
    <row r="20" spans="1:16" s="379" customFormat="1" ht="18" customHeight="1" x14ac:dyDescent="0.2">
      <c r="A20" s="371"/>
      <c r="B20" s="377"/>
      <c r="C20" s="431"/>
      <c r="D20" s="432"/>
      <c r="E20" s="423" t="s">
        <v>5</v>
      </c>
      <c r="F20" s="424">
        <f>+F19-F21</f>
        <v>4.5000000000000005E-2</v>
      </c>
      <c r="G20" s="425">
        <f t="shared" ref="G20:I20" si="2">+G19-G21</f>
        <v>5.5000000000000007E-2</v>
      </c>
      <c r="H20" s="433">
        <f t="shared" si="2"/>
        <v>3.5000000000000003E-2</v>
      </c>
      <c r="I20" s="434">
        <f t="shared" si="2"/>
        <v>4.5000000000000005E-2</v>
      </c>
      <c r="J20" s="382"/>
      <c r="K20" s="554">
        <f>+K19-K21</f>
        <v>0.06</v>
      </c>
      <c r="L20" s="378"/>
      <c r="N20" s="406" t="str">
        <f>+IF((ROUND(F20-HLOOKUP(F$7,[2]Jeep!$F$7:$G$86,MATCH($C19,[2]Jeep!$C$7:$C$86,0)+1,0),3))*100=0,"ISO",(F20-HLOOKUP(F$7,[2]Jeep!$F$7:$G$86,MATCH($C19,[2]Jeep!$C$7:$C$86,0)+1,0))*100)</f>
        <v>ISO</v>
      </c>
      <c r="O20" s="407" t="str">
        <f>+IF((ROUND(G20-HLOOKUP(G$7,[2]Jeep!$F$7:$G$86,MATCH($C19,[2]Jeep!$C$7:$C$86,0)+1,0),3))*100=0,"ISO",(G20-HLOOKUP(G$7,[2]Jeep!$F$7:$G$86,MATCH($C19,[2]Jeep!$C$7:$C$86,0)+1,0))*100)</f>
        <v>ISO</v>
      </c>
      <c r="P20" s="406" t="str">
        <f>IF((ROUND(K20-HLOOKUP(K$7,[2]Jeep!$K$7:$L$86,MATCH($C19,[2]Jeep!$C$7:$C$86,0)+1,0),3))*100=0,"ISO",(K20-HLOOKUP(K$7,[2]Jeep!$K$7:$L$86,MATCH($C19,[2]Jeep!$C$7:$C$86,0)+1,0))*100)</f>
        <v>ISO</v>
      </c>
    </row>
    <row r="21" spans="1:16" s="379" customFormat="1" ht="18" customHeight="1" thickBot="1" x14ac:dyDescent="0.25">
      <c r="A21" s="371"/>
      <c r="B21" s="377"/>
      <c r="C21" s="426"/>
      <c r="D21" s="435"/>
      <c r="E21" s="428" t="s">
        <v>3</v>
      </c>
      <c r="F21" s="429">
        <f>+D19-VLOOKUP(A19,'[3]B2B Red'!$C:$FG,MATCH($A$3,'[3]B2B Red'!$CV$6:$EE$6,0)+97,0)</f>
        <v>3.4999999999999996E-2</v>
      </c>
      <c r="G21" s="430">
        <f>+D19-VLOOKUP(A19,'[3]B2B Red'!$C:$FG,MATCH($A$3,'[3]B2B Red'!$CV$6:$EE$6,0)+98,0)</f>
        <v>4.4999999999999998E-2</v>
      </c>
      <c r="H21" s="436">
        <f>+F21+1%</f>
        <v>4.4999999999999998E-2</v>
      </c>
      <c r="I21" s="437">
        <f>+G21+1%</f>
        <v>5.5E-2</v>
      </c>
      <c r="J21" s="382"/>
      <c r="K21" s="555">
        <f>+D19-VLOOKUP(A19,'[3]B2B Red'!$C:$FG,MATCH($A$3,'[3]B2B Red'!$CV$6:$EE$6,0)+99,0)</f>
        <v>0.06</v>
      </c>
      <c r="L21" s="378"/>
      <c r="N21" s="411" t="str">
        <f>+IF((ROUND(F21-HLOOKUP(F$7,[2]Jeep!$F$7:$G$86,MATCH($C19,[2]Jeep!$C$7:$C$86,0)+2,0),3))*100=0,"ISO",(F21-HLOOKUP(F$7,[2]Jeep!$F$7:$G$86,MATCH($C19,[2]Jeep!$C$7:$C$86,0)+2,0))*100)</f>
        <v>ISO</v>
      </c>
      <c r="O21" s="412" t="str">
        <f>IF((ROUND(G21-HLOOKUP(G$7,[2]Jeep!$F$7:$G$86,MATCH($C19,[2]Jeep!$C$7:$C$86,0)+2,0),3))*100=0,"ISO",(G21-HLOOKUP(G$7,[2]Jeep!$F$7:$G$86,MATCH($C19,[2]Jeep!$C$7:$C$86,0)+2,0))*100)</f>
        <v>ISO</v>
      </c>
      <c r="P21" s="411" t="str">
        <f>IF((ROUND(K21-HLOOKUP(K$7,[2]Jeep!$K$7:$L$86,MATCH($C19,[2]Jeep!$C$7:$C$86,0)+2,0),3))*100=0,"ISO",(K21-HLOOKUP(K$7,[2]Jeep!$K$7:$L$86,MATCH($C19,[2]Jeep!$C$7:$C$86,0)+2,0))*100)</f>
        <v>ISO</v>
      </c>
    </row>
    <row r="22" spans="1:16" s="375" customFormat="1" ht="18" customHeight="1" x14ac:dyDescent="0.2">
      <c r="A22" s="371" t="s">
        <v>117</v>
      </c>
      <c r="B22" s="372"/>
      <c r="C22" s="461" t="s">
        <v>97</v>
      </c>
      <c r="D22" s="451">
        <f>VLOOKUP(A22,[3]Gestión!$D:$H,5,FALSE)</f>
        <v>0.09</v>
      </c>
      <c r="E22" s="452" t="s">
        <v>2</v>
      </c>
      <c r="F22" s="453">
        <f>+VLOOKUP(A22,'[3]B2B Red'!$C:$FG,MATCH($A$3,'[3]B2B Red'!$BG$6:$CU$6,0)+56,0)</f>
        <v>0.08</v>
      </c>
      <c r="G22" s="454">
        <f>+VLOOKUP(A22,'[3]B2B Red'!$C:$FG,MATCH($A$3,'[3]B2B Red'!$BG$6:$CU$6,0)+57,0)</f>
        <v>0.1</v>
      </c>
      <c r="H22" s="453">
        <f>+F22</f>
        <v>0.08</v>
      </c>
      <c r="I22" s="454">
        <f>+G22</f>
        <v>0.1</v>
      </c>
      <c r="J22" s="373"/>
      <c r="K22" s="577">
        <f>+VLOOKUP(A22,'[3]B2B Red'!$C:$FG,MATCH($A$3,'[3]B2B Red'!$BG$6:$CU$6,0)+58,0)</f>
        <v>0.12</v>
      </c>
      <c r="L22" s="374"/>
      <c r="N22" s="462" t="str">
        <f>IF((F22-VLOOKUP($C22,[2]Jeep!$C:$L,COLUMNS([2]Jeep!$C$9:$F$9),0))*100=0,"ISO",(F22-VLOOKUP($C22,[2]Jeep!$C:$L,COLUMNS([2]Jeep!$C$9:$F$9),0))*100)</f>
        <v>ISO</v>
      </c>
      <c r="O22" s="463" t="str">
        <f>IF((G22-VLOOKUP($C22,[2]Jeep!$C:$L,COLUMNS([2]Jeep!$C$9:$G$9),0))*100=0,"ISO",(G22-VLOOKUP($C22,[2]Jeep!$C:$L,COLUMNS([2]Jeep!$C$9:$G$9),0))*100)</f>
        <v>ISO</v>
      </c>
      <c r="P22" s="462" t="str">
        <f>IF((K22-VLOOKUP($C22,[2]Jeep!$C:$L,COLUMNS([2]Jeep!$C$9:$K$9),0))*100=0,"ISO",(K22-VLOOKUP($C22,[2]Jeep!$C:$L,COLUMNS([2]Jeep!$C$9:$K$9),0))*100)</f>
        <v>ISO</v>
      </c>
    </row>
    <row r="23" spans="1:16" s="379" customFormat="1" ht="18" customHeight="1" x14ac:dyDescent="0.2">
      <c r="A23" s="371"/>
      <c r="B23" s="377"/>
      <c r="C23" s="438"/>
      <c r="D23" s="402"/>
      <c r="E23" s="403" t="s">
        <v>5</v>
      </c>
      <c r="F23" s="404">
        <f>+F22-F24</f>
        <v>4.5000000000000005E-2</v>
      </c>
      <c r="G23" s="405">
        <f t="shared" ref="G23:I23" si="3">+G22-G24</f>
        <v>5.5000000000000007E-2</v>
      </c>
      <c r="H23" s="439">
        <f t="shared" si="3"/>
        <v>3.5000000000000003E-2</v>
      </c>
      <c r="I23" s="405">
        <f t="shared" si="3"/>
        <v>4.5000000000000005E-2</v>
      </c>
      <c r="J23" s="383"/>
      <c r="K23" s="552">
        <f>+K22-K24</f>
        <v>0.06</v>
      </c>
      <c r="L23" s="378"/>
      <c r="N23" s="406" t="str">
        <f>+IF((ROUND(F23-HLOOKUP(F$7,[2]Jeep!$F$7:$G$86,MATCH($C22,[2]Jeep!$C$7:$C$86,0)+1,0),3))*100=0,"ISO",(F23-HLOOKUP(F$7,[2]Jeep!$F$7:$G$86,MATCH($C22,[2]Jeep!$C$7:$C$86,0)+1,0))*100)</f>
        <v>ISO</v>
      </c>
      <c r="O23" s="407" t="str">
        <f>+IF((ROUND(G23-HLOOKUP(G$7,[2]Jeep!$F$7:$G$86,MATCH($C22,[2]Jeep!$C$7:$C$86,0)+1,0),3))*100=0,"ISO",(G23-HLOOKUP(G$7,[2]Jeep!$F$7:$G$86,MATCH($C22,[2]Jeep!$C$7:$C$86,0)+1,0))*100)</f>
        <v>ISO</v>
      </c>
      <c r="P23" s="406" t="str">
        <f>IF((ROUND(K23-HLOOKUP(K$7,[2]Jeep!$K$7:$L$86,MATCH($C22,[2]Jeep!$C$7:$C$86,0)+1,0),3))*100=0,"ISO",(K23-HLOOKUP(K$7,[2]Jeep!$K$7:$L$86,MATCH($C22,[2]Jeep!$C$7:$C$86,0)+1,0))*100)</f>
        <v>ISO</v>
      </c>
    </row>
    <row r="24" spans="1:16" s="379" customFormat="1" ht="18" customHeight="1" thickBot="1" x14ac:dyDescent="0.25">
      <c r="A24" s="371"/>
      <c r="B24" s="377"/>
      <c r="C24" s="440"/>
      <c r="D24" s="441"/>
      <c r="E24" s="408" t="s">
        <v>3</v>
      </c>
      <c r="F24" s="409">
        <f>+D22-VLOOKUP(A22,'[3]B2B Red'!$C:$FG,MATCH($A$3,'[3]B2B Red'!$CV$6:$EE$6,0)+97,0)</f>
        <v>3.4999999999999996E-2</v>
      </c>
      <c r="G24" s="410">
        <f>+D22-VLOOKUP(A22,'[3]B2B Red'!$C:$FG,MATCH($A$3,'[3]B2B Red'!$CV$6:$EE$6,0)+98,0)</f>
        <v>4.4999999999999998E-2</v>
      </c>
      <c r="H24" s="442">
        <f>+F24+1%</f>
        <v>4.4999999999999998E-2</v>
      </c>
      <c r="I24" s="410">
        <f>+G24+1%</f>
        <v>5.5E-2</v>
      </c>
      <c r="J24" s="383"/>
      <c r="K24" s="553">
        <f>+D22-VLOOKUP(A22,'[3]B2B Red'!$C:$FG,MATCH($A$3,'[3]B2B Red'!$CV$6:$EE$6,0)+99,0)</f>
        <v>0.06</v>
      </c>
      <c r="L24" s="378"/>
      <c r="N24" s="411" t="str">
        <f>+IF((ROUND(F24-HLOOKUP(F$7,[2]Jeep!$F$7:$G$86,MATCH($C22,[2]Jeep!$C$7:$C$86,0)+2,0),3))*100=0,"ISO",(F24-HLOOKUP(F$7,[2]Jeep!$F$7:$G$86,MATCH($C22,[2]Jeep!$C$7:$C$86,0)+2,0))*100)</f>
        <v>ISO</v>
      </c>
      <c r="O24" s="412" t="str">
        <f>IF((ROUND(G24-HLOOKUP(G$7,[2]Jeep!$F$7:$G$86,MATCH($C22,[2]Jeep!$C$7:$C$86,0)+2,0),3))*100=0,"ISO",(G24-HLOOKUP(G$7,[2]Jeep!$F$7:$G$86,MATCH($C22,[2]Jeep!$C$7:$C$86,0)+2,0))*100)</f>
        <v>ISO</v>
      </c>
      <c r="P24" s="411" t="str">
        <f>IF((ROUND(K24-HLOOKUP(K$7,[2]Jeep!$K$7:$L$86,MATCH($C22,[2]Jeep!$C$7:$C$86,0)+2,0),3))*100=0,"ISO",(K24-HLOOKUP(K$7,[2]Jeep!$K$7:$L$86,MATCH($C22,[2]Jeep!$C$7:$C$86,0)+2,0))*100)</f>
        <v>ISO</v>
      </c>
    </row>
    <row r="25" spans="1:16" s="375" customFormat="1" ht="18" customHeight="1" x14ac:dyDescent="0.2">
      <c r="A25" s="371" t="s">
        <v>118</v>
      </c>
      <c r="B25" s="372"/>
      <c r="C25" s="461" t="s">
        <v>98</v>
      </c>
      <c r="D25" s="451">
        <f>VLOOKUP(A25,[3]Gestión!$D:$H,5,FALSE)</f>
        <v>0.09</v>
      </c>
      <c r="E25" s="452" t="s">
        <v>2</v>
      </c>
      <c r="F25" s="453">
        <f>+VLOOKUP(A25,'[3]B2B Red'!$C:$FG,MATCH($A$3,'[3]B2B Red'!$BG$6:$CU$6,0)+56,0)</f>
        <v>0.08</v>
      </c>
      <c r="G25" s="454">
        <f>+VLOOKUP(A25,'[3]B2B Red'!$C:$FG,MATCH($A$3,'[3]B2B Red'!$BG$6:$CU$6,0)+57,0)</f>
        <v>0.1</v>
      </c>
      <c r="H25" s="453">
        <f>+F25</f>
        <v>0.08</v>
      </c>
      <c r="I25" s="454">
        <f>+G25</f>
        <v>0.1</v>
      </c>
      <c r="J25" s="373"/>
      <c r="K25" s="577">
        <f>+VLOOKUP(A25,'[3]B2B Red'!$C:$FG,MATCH($A$3,'[3]B2B Red'!$BG$6:$CU$6,0)+58,0)</f>
        <v>0.12</v>
      </c>
      <c r="L25" s="374"/>
      <c r="N25" s="462" t="str">
        <f>IF((F25-VLOOKUP($C25,[2]Jeep!$C:$L,COLUMNS([2]Jeep!$C$9:$F$9),0))*100=0,"ISO",(F25-VLOOKUP($C25,[2]Jeep!$C:$L,COLUMNS([2]Jeep!$C$9:$F$9),0))*100)</f>
        <v>ISO</v>
      </c>
      <c r="O25" s="463" t="str">
        <f>IF((G25-VLOOKUP($C25,[2]Jeep!$C:$L,COLUMNS([2]Jeep!$C$9:$G$9),0))*100=0,"ISO",(G25-VLOOKUP($C25,[2]Jeep!$C:$L,COLUMNS([2]Jeep!$C$9:$G$9),0))*100)</f>
        <v>ISO</v>
      </c>
      <c r="P25" s="462" t="str">
        <f>IF((K25-VLOOKUP($C25,[2]Jeep!$C:$L,COLUMNS([2]Jeep!$C$9:$K$9),0))*100=0,"ISO",(K25-VLOOKUP($C25,[2]Jeep!$C:$L,COLUMNS([2]Jeep!$C$9:$K$9),0))*100)</f>
        <v>ISO</v>
      </c>
    </row>
    <row r="26" spans="1:16" s="379" customFormat="1" ht="18" customHeight="1" x14ac:dyDescent="0.2">
      <c r="A26" s="371"/>
      <c r="B26" s="377"/>
      <c r="C26" s="438"/>
      <c r="D26" s="402"/>
      <c r="E26" s="403" t="s">
        <v>5</v>
      </c>
      <c r="F26" s="404">
        <f>+F25-F27</f>
        <v>4.5000000000000005E-2</v>
      </c>
      <c r="G26" s="405">
        <f t="shared" ref="G26:I26" si="4">+G25-G27</f>
        <v>5.5000000000000007E-2</v>
      </c>
      <c r="H26" s="439">
        <f t="shared" si="4"/>
        <v>3.5000000000000003E-2</v>
      </c>
      <c r="I26" s="405">
        <f t="shared" si="4"/>
        <v>4.5000000000000005E-2</v>
      </c>
      <c r="J26" s="383"/>
      <c r="K26" s="552">
        <f>+K25-K27</f>
        <v>0.06</v>
      </c>
      <c r="L26" s="378"/>
      <c r="N26" s="406" t="str">
        <f>+IF((ROUND(F26-HLOOKUP(F$7,[2]Jeep!$F$7:$G$86,MATCH($C25,[2]Jeep!$C$7:$C$86,0)+1,0),3))*100=0,"ISO",(F26-HLOOKUP(F$7,[2]Jeep!$F$7:$G$86,MATCH($C25,[2]Jeep!$C$7:$C$86,0)+1,0))*100)</f>
        <v>ISO</v>
      </c>
      <c r="O26" s="407" t="str">
        <f>+IF((ROUND(G26-HLOOKUP(G$7,[2]Jeep!$F$7:$G$86,MATCH($C25,[2]Jeep!$C$7:$C$86,0)+1,0),3))*100=0,"ISO",(G26-HLOOKUP(G$7,[2]Jeep!$F$7:$G$86,MATCH($C25,[2]Jeep!$C$7:$C$86,0)+1,0))*100)</f>
        <v>ISO</v>
      </c>
      <c r="P26" s="406" t="str">
        <f>IF((ROUND(K26-HLOOKUP(K$7,[2]Jeep!$K$7:$L$86,MATCH($C25,[2]Jeep!$C$7:$C$86,0)+1,0),3))*100=0,"ISO",(K26-HLOOKUP(K$7,[2]Jeep!$K$7:$L$86,MATCH($C25,[2]Jeep!$C$7:$C$86,0)+1,0))*100)</f>
        <v>ISO</v>
      </c>
    </row>
    <row r="27" spans="1:16" s="379" customFormat="1" ht="18" customHeight="1" thickBot="1" x14ac:dyDescent="0.25">
      <c r="A27" s="371"/>
      <c r="B27" s="377"/>
      <c r="C27" s="440"/>
      <c r="D27" s="441"/>
      <c r="E27" s="408" t="s">
        <v>3</v>
      </c>
      <c r="F27" s="409">
        <f>+D25-VLOOKUP(A25,'[3]B2B Red'!$C:$FG,MATCH($A$3,'[3]B2B Red'!$CV$6:$EE$6,0)+97,0)</f>
        <v>3.4999999999999996E-2</v>
      </c>
      <c r="G27" s="410">
        <f>+D25-VLOOKUP(A25,'[3]B2B Red'!$C:$FG,MATCH($A$3,'[3]B2B Red'!$CV$6:$EE$6,0)+98,0)</f>
        <v>4.4999999999999998E-2</v>
      </c>
      <c r="H27" s="442">
        <f>+F27+1%</f>
        <v>4.4999999999999998E-2</v>
      </c>
      <c r="I27" s="410">
        <f>+G27+1%</f>
        <v>5.5E-2</v>
      </c>
      <c r="J27" s="383"/>
      <c r="K27" s="553">
        <f>+D25-VLOOKUP(A25,'[3]B2B Red'!$C:$FG,MATCH($A$3,'[3]B2B Red'!$CV$6:$EE$6,0)+99,0)</f>
        <v>0.06</v>
      </c>
      <c r="L27" s="378"/>
      <c r="N27" s="411" t="str">
        <f>+IF((ROUND(F27-HLOOKUP(F$7,[2]Jeep!$F$7:$G$86,MATCH($C25,[2]Jeep!$C$7:$C$86,0)+2,0),3))*100=0,"ISO",(F27-HLOOKUP(F$7,[2]Jeep!$F$7:$G$86,MATCH($C25,[2]Jeep!$C$7:$C$86,0)+2,0))*100)</f>
        <v>ISO</v>
      </c>
      <c r="O27" s="412" t="str">
        <f>IF((ROUND(G27-HLOOKUP(G$7,[2]Jeep!$F$7:$G$86,MATCH($C25,[2]Jeep!$C$7:$C$86,0)+2,0),3))*100=0,"ISO",(G27-HLOOKUP(G$7,[2]Jeep!$F$7:$G$86,MATCH($C25,[2]Jeep!$C$7:$C$86,0)+2,0))*100)</f>
        <v>ISO</v>
      </c>
      <c r="P27" s="411" t="str">
        <f>IF((ROUND(K27-HLOOKUP(K$7,[2]Jeep!$K$7:$L$86,MATCH($C25,[2]Jeep!$C$7:$C$86,0)+2,0),3))*100=0,"ISO",(K27-HLOOKUP(K$7,[2]Jeep!$K$7:$L$86,MATCH($C25,[2]Jeep!$C$7:$C$86,0)+2,0))*100)</f>
        <v>ISO</v>
      </c>
    </row>
    <row r="28" spans="1:16" s="375" customFormat="1" ht="18" customHeight="1" x14ac:dyDescent="0.2">
      <c r="A28" s="371" t="s">
        <v>119</v>
      </c>
      <c r="B28" s="372"/>
      <c r="C28" s="455" t="s">
        <v>121</v>
      </c>
      <c r="D28" s="456">
        <f>VLOOKUP(A28,[3]Gestión!$D:$H,5,FALSE)</f>
        <v>0.1</v>
      </c>
      <c r="E28" s="457" t="s">
        <v>2</v>
      </c>
      <c r="F28" s="458">
        <f>+VLOOKUP(A28,'[3]B2B Red'!$C:$FG,MATCH($A$3,'[3]B2B Red'!$BG$6:$CU$6,0)+56,0)</f>
        <v>0.08</v>
      </c>
      <c r="G28" s="508">
        <f>+VLOOKUP(A28,'[3]B2B Red'!$C:$FG,MATCH($A$3,'[3]B2B Red'!$BG$6:$CU$6,0)+57,0)</f>
        <v>0.1</v>
      </c>
      <c r="H28" s="458">
        <f>+F28</f>
        <v>0.08</v>
      </c>
      <c r="I28" s="460">
        <f>+G28</f>
        <v>0.1</v>
      </c>
      <c r="J28" s="384"/>
      <c r="K28" s="576">
        <f>+VLOOKUP(A28,'[3]B2B Red'!$C:$FG,MATCH($A$3,'[3]B2B Red'!$BG$6:$CU$6,0)+58,0)</f>
        <v>0.12</v>
      </c>
      <c r="L28" s="374"/>
      <c r="N28" s="462" t="s">
        <v>57</v>
      </c>
      <c r="O28" s="463" t="s">
        <v>57</v>
      </c>
      <c r="P28" s="462" t="s">
        <v>57</v>
      </c>
    </row>
    <row r="29" spans="1:16" s="379" customFormat="1" ht="18" customHeight="1" x14ac:dyDescent="0.2">
      <c r="A29" s="371"/>
      <c r="B29" s="377"/>
      <c r="C29" s="444"/>
      <c r="D29" s="445"/>
      <c r="E29" s="423" t="s">
        <v>5</v>
      </c>
      <c r="F29" s="424">
        <f>+F28-F30</f>
        <v>3.9999999999999994E-2</v>
      </c>
      <c r="G29" s="425">
        <f t="shared" ref="G29:I29" si="5">+G28-G30</f>
        <v>0.05</v>
      </c>
      <c r="H29" s="433">
        <f t="shared" si="5"/>
        <v>2.9999999999999992E-2</v>
      </c>
      <c r="I29" s="434">
        <f t="shared" si="5"/>
        <v>0.04</v>
      </c>
      <c r="J29" s="382"/>
      <c r="K29" s="554">
        <f>+K28-K30</f>
        <v>5.9999999999999991E-2</v>
      </c>
      <c r="L29" s="378"/>
      <c r="N29" s="406" t="s">
        <v>57</v>
      </c>
      <c r="O29" s="407" t="s">
        <v>57</v>
      </c>
      <c r="P29" s="406" t="s">
        <v>57</v>
      </c>
    </row>
    <row r="30" spans="1:16" s="379" customFormat="1" ht="18" customHeight="1" thickBot="1" x14ac:dyDescent="0.25">
      <c r="A30" s="371"/>
      <c r="B30" s="377"/>
      <c r="C30" s="446"/>
      <c r="D30" s="447"/>
      <c r="E30" s="428" t="s">
        <v>3</v>
      </c>
      <c r="F30" s="429">
        <f>+D28-VLOOKUP(A28,'[3]B2B Red'!$C:$FG,MATCH($A$3,'[3]B2B Red'!$CV$6:$EE$6,0)+97,0)</f>
        <v>4.0000000000000008E-2</v>
      </c>
      <c r="G30" s="430">
        <f>+D28-VLOOKUP(A28,'[3]B2B Red'!$C:$FG,MATCH($A$3,'[3]B2B Red'!$CV$6:$EE$6,0)+98,0)</f>
        <v>0.05</v>
      </c>
      <c r="H30" s="436">
        <f>+F30+1%</f>
        <v>5.000000000000001E-2</v>
      </c>
      <c r="I30" s="437">
        <f>+(G30+1%)</f>
        <v>6.0000000000000005E-2</v>
      </c>
      <c r="J30" s="382"/>
      <c r="K30" s="556">
        <f>+D28-VLOOKUP(A28,'[3]B2B Red'!$C:$FG,MATCH($A$3,'[3]B2B Red'!$CV$6:$EE$6,0)+99,0)</f>
        <v>6.0000000000000005E-2</v>
      </c>
      <c r="L30" s="378"/>
      <c r="N30" s="411" t="s">
        <v>57</v>
      </c>
      <c r="O30" s="412" t="s">
        <v>57</v>
      </c>
      <c r="P30" s="411" t="s">
        <v>57</v>
      </c>
    </row>
    <row r="31" spans="1:16" s="375" customFormat="1" ht="18" customHeight="1" x14ac:dyDescent="0.2">
      <c r="A31" s="371" t="s">
        <v>120</v>
      </c>
      <c r="B31" s="372"/>
      <c r="C31" s="455" t="s">
        <v>99</v>
      </c>
      <c r="D31" s="456">
        <f>VLOOKUP(A31,[3]Gestión!$D:$H,5,FALSE)</f>
        <v>0.1</v>
      </c>
      <c r="E31" s="457" t="s">
        <v>2</v>
      </c>
      <c r="F31" s="458">
        <f>+VLOOKUP(A31,'[3]B2B Red'!$C:$FG,MATCH($A$3,'[3]B2B Red'!$BG$6:$CU$6,0)+56,0)</f>
        <v>0.08</v>
      </c>
      <c r="G31" s="459">
        <f>+VLOOKUP(A31,'[3]B2B Red'!$C:$FG,MATCH($A$3,'[3]B2B Red'!$BG$6:$CU$6,0)+57,0)</f>
        <v>0.1</v>
      </c>
      <c r="H31" s="458">
        <f>+F31</f>
        <v>0.08</v>
      </c>
      <c r="I31" s="460">
        <f>+G31</f>
        <v>0.1</v>
      </c>
      <c r="J31" s="384"/>
      <c r="K31" s="576">
        <f>+VLOOKUP(A31,'[3]B2B Red'!$C:$FG,MATCH($A$3,'[3]B2B Red'!$BG$6:$CU$6,0)+58,0)</f>
        <v>0.12</v>
      </c>
      <c r="L31" s="374"/>
      <c r="N31" s="462" t="str">
        <f>IF((F31-VLOOKUP($C31,[2]Jeep!$C:$L,COLUMNS([2]Jeep!$C$9:$F$9),0))*100=0,"ISO",(F31-VLOOKUP($C31,[2]Jeep!$C:$L,COLUMNS([2]Jeep!$C$9:$F$9),0))*100)</f>
        <v>ISO</v>
      </c>
      <c r="O31" s="463" t="str">
        <f>IF((G31-VLOOKUP($C31,[2]Jeep!$C:$L,COLUMNS([2]Jeep!$C$9:$G$9),0))*100=0,"ISO",(G31-VLOOKUP($C31,[2]Jeep!$C:$L,COLUMNS([2]Jeep!$C$9:$G$9),0))*100)</f>
        <v>ISO</v>
      </c>
      <c r="P31" s="462" t="str">
        <f>IF((K31-VLOOKUP($C31,[2]Jeep!$C:$L,COLUMNS([2]Jeep!$C$9:$K$9),0))*100=0,"ISO",(K31-VLOOKUP($C31,[2]Jeep!$C:$L,COLUMNS([2]Jeep!$C$9:$K$9),0))*100)</f>
        <v>ISO</v>
      </c>
    </row>
    <row r="32" spans="1:16" s="379" customFormat="1" ht="18" customHeight="1" x14ac:dyDescent="0.2">
      <c r="A32" s="371"/>
      <c r="B32" s="377"/>
      <c r="C32" s="444"/>
      <c r="D32" s="445"/>
      <c r="E32" s="423" t="s">
        <v>5</v>
      </c>
      <c r="F32" s="424">
        <f>+F31-F33</f>
        <v>3.9999999999999994E-2</v>
      </c>
      <c r="G32" s="425">
        <f t="shared" ref="G32:I32" si="6">+G31-G33</f>
        <v>0.05</v>
      </c>
      <c r="H32" s="433">
        <f t="shared" si="6"/>
        <v>2.9999999999999992E-2</v>
      </c>
      <c r="I32" s="434">
        <f t="shared" si="6"/>
        <v>0.04</v>
      </c>
      <c r="J32" s="382"/>
      <c r="K32" s="554">
        <f>+K31-K33</f>
        <v>5.9999999999999991E-2</v>
      </c>
      <c r="L32" s="378"/>
      <c r="N32" s="406" t="str">
        <f>+IF((ROUND(F32-HLOOKUP(F$7,[2]Jeep!$F$7:$G$86,MATCH($C31,[2]Jeep!$C$7:$C$86,0)+1,0),3))*100=0,"ISO",(F32-HLOOKUP(F$7,[2]Jeep!$F$7:$G$86,MATCH($C31,[2]Jeep!$C$7:$C$86,0)+1,0))*100)</f>
        <v>ISO</v>
      </c>
      <c r="O32" s="407" t="str">
        <f>+IF((ROUND(G32-HLOOKUP(G$7,[2]Jeep!$F$7:$G$86,MATCH($C31,[2]Jeep!$C$7:$C$86,0)+1,0),3))*100=0,"ISO",(G32-HLOOKUP(G$7,[2]Jeep!$F$7:$G$86,MATCH($C31,[2]Jeep!$C$7:$C$86,0)+1,0))*100)</f>
        <v>ISO</v>
      </c>
      <c r="P32" s="406" t="str">
        <f>IF((ROUND(K32-HLOOKUP(K$7,[2]Jeep!$K$7:$L$86,MATCH($C31,[2]Jeep!$C$7:$C$86,0)+1,0),3))*100=0,"ISO",(K32-HLOOKUP(K$7,[2]Jeep!$K$7:$L$86,MATCH($C31,[2]Jeep!$C$7:$C$86,0)+1,0))*100)</f>
        <v>ISO</v>
      </c>
    </row>
    <row r="33" spans="1:16" s="379" customFormat="1" ht="18" customHeight="1" thickBot="1" x14ac:dyDescent="0.25">
      <c r="A33" s="371"/>
      <c r="B33" s="377"/>
      <c r="C33" s="446"/>
      <c r="D33" s="447"/>
      <c r="E33" s="428" t="s">
        <v>3</v>
      </c>
      <c r="F33" s="429">
        <f>+D31-VLOOKUP(A31,'[3]B2B Red'!$C:$FG,MATCH($A$3,'[3]B2B Red'!$CV$6:$EE$6,0)+97,0)</f>
        <v>4.0000000000000008E-2</v>
      </c>
      <c r="G33" s="430">
        <f>+D31-VLOOKUP(A31,'[3]B2B Red'!$C:$FG,MATCH($A$3,'[3]B2B Red'!$CV$6:$EE$6,0)+98,0)</f>
        <v>0.05</v>
      </c>
      <c r="H33" s="436">
        <f>+F33+1%</f>
        <v>5.000000000000001E-2</v>
      </c>
      <c r="I33" s="437">
        <f>+G33+1%</f>
        <v>6.0000000000000005E-2</v>
      </c>
      <c r="J33" s="382"/>
      <c r="K33" s="556">
        <f>+D31-VLOOKUP(A31,'[3]B2B Red'!$C:$FG,MATCH($A$3,'[3]B2B Red'!$CV$6:$EE$6,0)+99,0)</f>
        <v>6.0000000000000005E-2</v>
      </c>
      <c r="L33" s="378"/>
      <c r="N33" s="411" t="str">
        <f>+IF((ROUND(F33-HLOOKUP(F$7,[2]Jeep!$F$7:$G$86,MATCH($C31,[2]Jeep!$C$7:$C$86,0)+2,0),3))*100=0,"ISO",(F33-HLOOKUP(F$7,[2]Jeep!$F$7:$G$86,MATCH($C31,[2]Jeep!$C$7:$C$86,0)+2,0))*100)</f>
        <v>ISO</v>
      </c>
      <c r="O33" s="412" t="str">
        <f>IF((ROUND(G33-HLOOKUP(G$7,[2]Jeep!$F$7:$G$86,MATCH($C31,[2]Jeep!$C$7:$C$86,0)+2,0),3))*100=0,"ISO",(G33-HLOOKUP(G$7,[2]Jeep!$F$7:$G$86,MATCH($C31,[2]Jeep!$C$7:$C$86,0)+2,0))*100)</f>
        <v>ISO</v>
      </c>
      <c r="P33" s="411" t="str">
        <f>IF((ROUND(K33-HLOOKUP(K$7,[2]Jeep!$K$7:$L$86,MATCH($C31,[2]Jeep!$C$7:$C$86,0)+2,0),3))*100=0,"ISO",(K33-HLOOKUP(K$7,[2]Jeep!$K$7:$L$86,MATCH($C31,[2]Jeep!$C$7:$C$86,0)+2,0))*100)</f>
        <v>ISO</v>
      </c>
    </row>
    <row r="34" spans="1:16" ht="6.6" customHeight="1" x14ac:dyDescent="0.2">
      <c r="B34" s="369"/>
      <c r="C34" s="365"/>
      <c r="D34" s="366"/>
      <c r="E34" s="365"/>
      <c r="F34" s="365"/>
      <c r="G34" s="365"/>
      <c r="H34" s="365"/>
      <c r="I34" s="365"/>
      <c r="J34" s="365"/>
      <c r="K34" s="366"/>
      <c r="L34" s="385"/>
    </row>
    <row r="35" spans="1:16" ht="18" customHeight="1" x14ac:dyDescent="0.2">
      <c r="B35" s="369"/>
      <c r="C35" s="694"/>
      <c r="D35" s="694"/>
      <c r="E35" s="694"/>
      <c r="F35" s="694"/>
      <c r="G35" s="694"/>
      <c r="H35" s="694"/>
      <c r="I35" s="694"/>
      <c r="J35" s="694"/>
      <c r="K35" s="694"/>
      <c r="L35" s="367"/>
    </row>
    <row r="36" spans="1:16" ht="18" customHeight="1" x14ac:dyDescent="0.2">
      <c r="B36" s="369"/>
      <c r="C36" s="694"/>
      <c r="D36" s="694"/>
      <c r="E36" s="694"/>
      <c r="F36" s="694"/>
      <c r="G36" s="694"/>
      <c r="H36" s="694"/>
      <c r="I36" s="694"/>
      <c r="J36" s="694"/>
      <c r="K36" s="694"/>
      <c r="L36" s="367"/>
    </row>
    <row r="37" spans="1:16" ht="18" customHeight="1" x14ac:dyDescent="0.2">
      <c r="B37" s="386"/>
      <c r="C37" s="387"/>
      <c r="D37" s="388"/>
      <c r="E37" s="387"/>
      <c r="F37" s="387"/>
      <c r="G37" s="387"/>
      <c r="H37" s="387"/>
      <c r="I37" s="387"/>
      <c r="J37" s="387"/>
      <c r="K37" s="388"/>
      <c r="L37" s="389"/>
    </row>
    <row r="38" spans="1:16" ht="15" hidden="1" customHeight="1" x14ac:dyDescent="0.2">
      <c r="F38" s="390"/>
      <c r="G38" s="391"/>
    </row>
    <row r="39" spans="1:16" ht="15" customHeight="1" x14ac:dyDescent="0.2"/>
    <row r="40" spans="1:16" ht="15" customHeight="1" x14ac:dyDescent="0.2"/>
    <row r="41" spans="1:16" ht="15" customHeight="1" x14ac:dyDescent="0.2"/>
    <row r="42" spans="1:16" ht="15" customHeight="1" x14ac:dyDescent="0.2"/>
    <row r="43" spans="1:16" ht="15" customHeight="1" x14ac:dyDescent="0.2"/>
    <row r="44" spans="1:16" ht="15" customHeight="1" x14ac:dyDescent="0.2"/>
    <row r="45" spans="1:16" ht="15" customHeight="1" x14ac:dyDescent="0.2"/>
    <row r="46" spans="1:16" ht="15" customHeight="1" x14ac:dyDescent="0.2"/>
    <row r="47" spans="1:16" ht="15" customHeight="1" x14ac:dyDescent="0.2"/>
    <row r="48" spans="1:16" ht="15" customHeight="1" x14ac:dyDescent="0.2"/>
    <row r="49" spans="2:16" ht="15" customHeight="1" x14ac:dyDescent="0.2"/>
    <row r="50" spans="2:16" ht="15" customHeight="1" x14ac:dyDescent="0.2"/>
    <row r="51" spans="2:16" ht="15" customHeight="1" x14ac:dyDescent="0.2"/>
    <row r="52" spans="2:16" s="359" customFormat="1" ht="15" customHeight="1" x14ac:dyDescent="0.2">
      <c r="B52" s="364"/>
      <c r="C52" s="364"/>
      <c r="E52" s="364"/>
      <c r="F52" s="364"/>
      <c r="G52" s="364"/>
      <c r="H52" s="364"/>
      <c r="I52" s="364"/>
      <c r="J52" s="364"/>
      <c r="M52" s="364"/>
      <c r="N52" s="364"/>
      <c r="O52" s="364"/>
      <c r="P52" s="364"/>
    </row>
    <row r="53" spans="2:16" s="359" customFormat="1" ht="15" customHeight="1" x14ac:dyDescent="0.2">
      <c r="B53" s="364"/>
      <c r="C53" s="364"/>
      <c r="E53" s="364"/>
      <c r="F53" s="364"/>
      <c r="G53" s="364"/>
      <c r="H53" s="364"/>
      <c r="I53" s="364"/>
      <c r="J53" s="364"/>
      <c r="M53" s="364"/>
      <c r="N53" s="364"/>
      <c r="O53" s="364"/>
      <c r="P53" s="364"/>
    </row>
    <row r="54" spans="2:16" s="359" customFormat="1" ht="15" customHeight="1" x14ac:dyDescent="0.2">
      <c r="B54" s="364"/>
      <c r="C54" s="364"/>
      <c r="E54" s="364"/>
      <c r="F54" s="364"/>
      <c r="G54" s="364"/>
      <c r="H54" s="364"/>
      <c r="I54" s="364"/>
      <c r="J54" s="364"/>
      <c r="M54" s="364"/>
      <c r="N54" s="364"/>
      <c r="O54" s="364"/>
      <c r="P54" s="364"/>
    </row>
    <row r="55" spans="2:16" s="359" customFormat="1" ht="15" customHeight="1" x14ac:dyDescent="0.2">
      <c r="B55" s="364"/>
      <c r="C55" s="364"/>
      <c r="E55" s="364"/>
      <c r="F55" s="364"/>
      <c r="G55" s="364"/>
      <c r="H55" s="364"/>
      <c r="I55" s="364"/>
      <c r="J55" s="364"/>
      <c r="M55" s="364"/>
      <c r="N55" s="364"/>
      <c r="O55" s="364"/>
      <c r="P55" s="364"/>
    </row>
    <row r="56" spans="2:16" s="359" customFormat="1" ht="15" customHeight="1" x14ac:dyDescent="0.2">
      <c r="B56" s="364"/>
      <c r="C56" s="364"/>
      <c r="E56" s="364"/>
      <c r="F56" s="364"/>
      <c r="G56" s="364"/>
      <c r="H56" s="364"/>
      <c r="I56" s="364"/>
      <c r="J56" s="364"/>
      <c r="M56" s="364"/>
      <c r="N56" s="364"/>
      <c r="O56" s="364"/>
      <c r="P56" s="364"/>
    </row>
    <row r="57" spans="2:16" s="359" customFormat="1" ht="15" customHeight="1" x14ac:dyDescent="0.2">
      <c r="B57" s="364"/>
      <c r="C57" s="364"/>
      <c r="E57" s="364"/>
      <c r="F57" s="364"/>
      <c r="G57" s="364"/>
      <c r="H57" s="364"/>
      <c r="I57" s="364"/>
      <c r="J57" s="364"/>
      <c r="M57" s="364"/>
      <c r="N57" s="364"/>
      <c r="O57" s="364"/>
      <c r="P57" s="364"/>
    </row>
    <row r="58" spans="2:16" s="359" customFormat="1" ht="15" customHeight="1" x14ac:dyDescent="0.2">
      <c r="B58" s="364"/>
      <c r="C58" s="364"/>
      <c r="E58" s="364"/>
      <c r="F58" s="364"/>
      <c r="G58" s="364"/>
      <c r="H58" s="364"/>
      <c r="I58" s="364"/>
      <c r="J58" s="364"/>
      <c r="M58" s="364"/>
      <c r="N58" s="364"/>
      <c r="O58" s="364"/>
      <c r="P58" s="364"/>
    </row>
    <row r="59" spans="2:16" s="359" customFormat="1" ht="15" customHeight="1" x14ac:dyDescent="0.2">
      <c r="B59" s="364"/>
      <c r="C59" s="364"/>
      <c r="E59" s="364"/>
      <c r="F59" s="364"/>
      <c r="G59" s="364"/>
      <c r="H59" s="364"/>
      <c r="I59" s="364"/>
      <c r="J59" s="364"/>
      <c r="M59" s="364"/>
      <c r="N59" s="364"/>
      <c r="O59" s="364"/>
      <c r="P59" s="364"/>
    </row>
    <row r="60" spans="2:16" s="359" customFormat="1" ht="15" customHeight="1" x14ac:dyDescent="0.2">
      <c r="B60" s="364"/>
      <c r="C60" s="364"/>
      <c r="E60" s="364"/>
      <c r="F60" s="364"/>
      <c r="G60" s="364"/>
      <c r="H60" s="364"/>
      <c r="I60" s="364"/>
      <c r="J60" s="364"/>
      <c r="M60" s="364"/>
      <c r="N60" s="364"/>
      <c r="O60" s="364"/>
      <c r="P60" s="364"/>
    </row>
    <row r="61" spans="2:16" s="359" customFormat="1" ht="15" customHeight="1" x14ac:dyDescent="0.2">
      <c r="B61" s="364"/>
      <c r="C61" s="364"/>
      <c r="E61" s="364"/>
      <c r="F61" s="364"/>
      <c r="G61" s="364"/>
      <c r="H61" s="364"/>
      <c r="I61" s="364"/>
      <c r="J61" s="364"/>
      <c r="M61" s="364"/>
      <c r="N61" s="364"/>
      <c r="O61" s="364"/>
      <c r="P61" s="364"/>
    </row>
    <row r="62" spans="2:16" s="359" customFormat="1" ht="15" customHeight="1" x14ac:dyDescent="0.2">
      <c r="B62" s="364"/>
      <c r="C62" s="364"/>
      <c r="E62" s="364"/>
      <c r="F62" s="364"/>
      <c r="G62" s="364"/>
      <c r="H62" s="364"/>
      <c r="I62" s="364"/>
      <c r="J62" s="364"/>
      <c r="M62" s="364"/>
      <c r="N62" s="364"/>
      <c r="O62" s="364"/>
      <c r="P62" s="364"/>
    </row>
    <row r="63" spans="2:16" s="359" customFormat="1" ht="15" customHeight="1" x14ac:dyDescent="0.2">
      <c r="B63" s="364"/>
      <c r="C63" s="364"/>
      <c r="E63" s="364"/>
      <c r="F63" s="364"/>
      <c r="G63" s="364"/>
      <c r="H63" s="364"/>
      <c r="I63" s="364"/>
      <c r="J63" s="364"/>
      <c r="M63" s="364"/>
      <c r="N63" s="364"/>
      <c r="O63" s="364"/>
      <c r="P63" s="364"/>
    </row>
    <row r="64" spans="2:16" s="359" customFormat="1" ht="15" customHeight="1" x14ac:dyDescent="0.2">
      <c r="B64" s="364"/>
      <c r="C64" s="364"/>
      <c r="E64" s="364"/>
      <c r="F64" s="364"/>
      <c r="G64" s="364"/>
      <c r="H64" s="364"/>
      <c r="I64" s="364"/>
      <c r="J64" s="364"/>
      <c r="M64" s="364"/>
      <c r="N64" s="364"/>
      <c r="O64" s="364"/>
      <c r="P64" s="364"/>
    </row>
    <row r="65" spans="2:16" s="359" customFormat="1" ht="15" customHeight="1" x14ac:dyDescent="0.2">
      <c r="B65" s="364"/>
      <c r="C65" s="364"/>
      <c r="E65" s="364"/>
      <c r="F65" s="364"/>
      <c r="G65" s="364"/>
      <c r="H65" s="364"/>
      <c r="I65" s="364"/>
      <c r="J65" s="364"/>
      <c r="M65" s="364"/>
      <c r="N65" s="364"/>
      <c r="O65" s="364"/>
      <c r="P65" s="364"/>
    </row>
    <row r="66" spans="2:16" s="359" customFormat="1" ht="15" customHeight="1" x14ac:dyDescent="0.2">
      <c r="B66" s="364"/>
      <c r="C66" s="364"/>
      <c r="E66" s="364"/>
      <c r="F66" s="364"/>
      <c r="G66" s="364"/>
      <c r="H66" s="364"/>
      <c r="I66" s="364"/>
      <c r="J66" s="364"/>
      <c r="M66" s="364"/>
      <c r="N66" s="364"/>
      <c r="O66" s="364"/>
      <c r="P66" s="364"/>
    </row>
    <row r="67" spans="2:16" s="359" customFormat="1" ht="15" customHeight="1" x14ac:dyDescent="0.2">
      <c r="B67" s="364"/>
      <c r="C67" s="364"/>
      <c r="E67" s="364"/>
      <c r="F67" s="364"/>
      <c r="G67" s="364"/>
      <c r="H67" s="364"/>
      <c r="I67" s="364"/>
      <c r="J67" s="364"/>
      <c r="M67" s="364"/>
      <c r="N67" s="364"/>
      <c r="O67" s="364"/>
      <c r="P67" s="364"/>
    </row>
    <row r="68" spans="2:16" s="359" customFormat="1" ht="15" customHeight="1" x14ac:dyDescent="0.2">
      <c r="B68" s="364"/>
      <c r="C68" s="364"/>
      <c r="E68" s="364"/>
      <c r="F68" s="364"/>
      <c r="G68" s="364"/>
      <c r="H68" s="364"/>
      <c r="I68" s="364"/>
      <c r="J68" s="364"/>
      <c r="M68" s="364"/>
      <c r="N68" s="364"/>
      <c r="O68" s="364"/>
      <c r="P68" s="364"/>
    </row>
    <row r="69" spans="2:16" s="359" customFormat="1" ht="15" customHeight="1" x14ac:dyDescent="0.2">
      <c r="B69" s="364"/>
      <c r="C69" s="364"/>
      <c r="E69" s="364"/>
      <c r="F69" s="364"/>
      <c r="G69" s="364"/>
      <c r="H69" s="364"/>
      <c r="I69" s="364"/>
      <c r="J69" s="364"/>
      <c r="M69" s="364"/>
      <c r="N69" s="364"/>
      <c r="O69" s="364"/>
      <c r="P69" s="364"/>
    </row>
    <row r="70" spans="2:16" s="359" customFormat="1" ht="15" customHeight="1" x14ac:dyDescent="0.2">
      <c r="B70" s="364"/>
      <c r="C70" s="364"/>
      <c r="E70" s="364"/>
      <c r="F70" s="364"/>
      <c r="G70" s="364"/>
      <c r="H70" s="364"/>
      <c r="I70" s="364"/>
      <c r="J70" s="364"/>
      <c r="M70" s="364"/>
      <c r="N70" s="364"/>
      <c r="O70" s="364"/>
      <c r="P70" s="364"/>
    </row>
    <row r="71" spans="2:16" s="359" customFormat="1" ht="15" customHeight="1" x14ac:dyDescent="0.2">
      <c r="B71" s="364"/>
      <c r="C71" s="364"/>
      <c r="E71" s="364"/>
      <c r="F71" s="364"/>
      <c r="G71" s="364"/>
      <c r="H71" s="364"/>
      <c r="I71" s="364"/>
      <c r="J71" s="364"/>
      <c r="M71" s="364"/>
      <c r="N71" s="364"/>
      <c r="O71" s="364"/>
      <c r="P71" s="364"/>
    </row>
    <row r="72" spans="2:16" s="359" customFormat="1" ht="15" customHeight="1" x14ac:dyDescent="0.2">
      <c r="B72" s="364"/>
      <c r="C72" s="364"/>
      <c r="E72" s="364"/>
      <c r="F72" s="364"/>
      <c r="G72" s="364"/>
      <c r="H72" s="364"/>
      <c r="I72" s="364"/>
      <c r="J72" s="364"/>
      <c r="M72" s="364"/>
      <c r="N72" s="364"/>
      <c r="O72" s="364"/>
      <c r="P72" s="364"/>
    </row>
    <row r="73" spans="2:16" ht="15" customHeight="1" x14ac:dyDescent="0.2"/>
    <row r="74" spans="2:16" ht="15" customHeight="1" x14ac:dyDescent="0.2"/>
    <row r="75" spans="2:16" ht="15" customHeight="1" x14ac:dyDescent="0.2"/>
  </sheetData>
  <mergeCells count="13">
    <mergeCell ref="N7:N8"/>
    <mergeCell ref="O7:O8"/>
    <mergeCell ref="P7:P8"/>
    <mergeCell ref="C35:K36"/>
    <mergeCell ref="C3:K4"/>
    <mergeCell ref="C6:E7"/>
    <mergeCell ref="F6:G6"/>
    <mergeCell ref="H6:I6"/>
    <mergeCell ref="F7:F8"/>
    <mergeCell ref="G7:G8"/>
    <mergeCell ref="H7:H8"/>
    <mergeCell ref="I7:I8"/>
    <mergeCell ref="K7:K8"/>
  </mergeCells>
  <printOptions horizontalCentered="1"/>
  <pageMargins left="0.70866141732283472" right="0.70866141732283472" top="0.74803149606299213" bottom="0.74803149606299213" header="0.31496062992125984" footer="0.31496062992125984"/>
  <pageSetup scale="5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F471C59-B375-4F24-A3A9-4C83A358491B}">
          <x14:formula1>
            <xm:f>MES!$B$2:$B$13</xm:f>
          </x14:formula1>
          <xm:sqref>A3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E6716-5D1F-45ED-9E3A-503F001D115E}">
  <sheetPr>
    <tabColor rgb="FF12472D"/>
    <pageSetUpPr fitToPage="1"/>
  </sheetPr>
  <dimension ref="A1:R19"/>
  <sheetViews>
    <sheetView showGridLines="0" zoomScaleNormal="100" zoomScaleSheetLayoutView="100" workbookViewId="0">
      <pane ySplit="8" topLeftCell="A9" activePane="bottomLeft" state="frozen"/>
      <selection activeCell="XET23" sqref="XET23"/>
      <selection pane="bottomLeft" activeCell="Q10" sqref="Q10"/>
    </sheetView>
  </sheetViews>
  <sheetFormatPr baseColWidth="10" defaultColWidth="0" defaultRowHeight="15" customHeight="1" zeroHeight="1" outlineLevelCol="1" x14ac:dyDescent="0.2"/>
  <cols>
    <col min="1" max="1" width="50.7109375" style="123" hidden="1" customWidth="1" outlineLevel="1"/>
    <col min="2" max="2" width="5.7109375" style="121" customWidth="1" collapsed="1"/>
    <col min="3" max="3" width="50.7109375" style="121" customWidth="1"/>
    <col min="4" max="4" width="13.7109375" style="123" hidden="1" customWidth="1" outlineLevel="1"/>
    <col min="5" max="5" width="10.7109375" style="121" customWidth="1" collapsed="1"/>
    <col min="6" max="7" width="13.7109375" style="121" customWidth="1"/>
    <col min="8" max="9" width="13.7109375" style="121" hidden="1" customWidth="1" outlineLevel="1"/>
    <col min="10" max="10" width="1" style="121" customWidth="1" collapsed="1"/>
    <col min="11" max="11" width="10.7109375" style="123" hidden="1" customWidth="1" outlineLevel="1"/>
    <col min="12" max="12" width="16.85546875" style="123" customWidth="1" collapsed="1"/>
    <col min="13" max="13" width="5.7109375" style="123" customWidth="1"/>
    <col min="14" max="14" width="5.7109375" style="121" customWidth="1"/>
    <col min="15" max="17" width="13.7109375" style="121" customWidth="1"/>
    <col min="18" max="18" width="5.7109375" style="121" customWidth="1"/>
    <col min="19" max="16384" width="11.5703125" style="121" hidden="1"/>
  </cols>
  <sheetData>
    <row r="1" spans="1:17" ht="9.9499999999999993" customHeight="1" thickBot="1" x14ac:dyDescent="0.25">
      <c r="B1" s="124"/>
      <c r="C1" s="125"/>
      <c r="D1" s="126"/>
      <c r="E1" s="125"/>
      <c r="F1" s="125"/>
      <c r="G1" s="125"/>
      <c r="H1" s="125"/>
      <c r="I1" s="125"/>
      <c r="J1" s="125"/>
      <c r="K1" s="126"/>
      <c r="L1" s="126"/>
      <c r="M1" s="127"/>
    </row>
    <row r="2" spans="1:17" ht="18" customHeight="1" thickBot="1" x14ac:dyDescent="0.25">
      <c r="A2" s="356" t="s">
        <v>25</v>
      </c>
      <c r="B2" s="128"/>
      <c r="C2" s="118"/>
      <c r="D2" s="119"/>
      <c r="E2" s="129"/>
      <c r="F2" s="129"/>
      <c r="G2" s="129"/>
      <c r="H2" s="129"/>
      <c r="I2" s="129"/>
      <c r="J2" s="118"/>
      <c r="K2" s="119"/>
      <c r="L2" s="119"/>
      <c r="M2" s="120"/>
    </row>
    <row r="3" spans="1:17" ht="18" customHeight="1" thickBot="1" x14ac:dyDescent="0.25">
      <c r="A3" s="357" t="str">
        <f>+Peugeot!A3</f>
        <v>JUNIO</v>
      </c>
      <c r="B3" s="128"/>
      <c r="C3" s="778" t="str">
        <f>"     "&amp;"ACCIONES COMERCIALES B2B RED"&amp;" - "&amp;A3&amp;" 2026"</f>
        <v xml:space="preserve">     ACCIONES COMERCIALES B2B RED - JUNIO 2026</v>
      </c>
      <c r="D3" s="778"/>
      <c r="E3" s="778"/>
      <c r="F3" s="778"/>
      <c r="G3" s="778"/>
      <c r="H3" s="778"/>
      <c r="I3" s="778"/>
      <c r="J3" s="778"/>
      <c r="K3" s="778"/>
      <c r="L3" s="778"/>
      <c r="M3" s="120"/>
    </row>
    <row r="4" spans="1:17" ht="18" customHeight="1" x14ac:dyDescent="0.2">
      <c r="B4" s="128"/>
      <c r="C4" s="778"/>
      <c r="D4" s="778"/>
      <c r="E4" s="778"/>
      <c r="F4" s="778"/>
      <c r="G4" s="778"/>
      <c r="H4" s="778"/>
      <c r="I4" s="778"/>
      <c r="J4" s="778"/>
      <c r="K4" s="778"/>
      <c r="L4" s="778"/>
      <c r="M4" s="120"/>
    </row>
    <row r="5" spans="1:17" ht="9.9499999999999993" customHeight="1" thickBot="1" x14ac:dyDescent="0.25">
      <c r="B5" s="128"/>
      <c r="C5" s="118"/>
      <c r="D5" s="119"/>
      <c r="E5" s="118"/>
      <c r="F5" s="118"/>
      <c r="G5" s="118"/>
      <c r="H5" s="118"/>
      <c r="I5" s="118"/>
      <c r="J5" s="118"/>
      <c r="K5" s="119"/>
      <c r="L5" s="119"/>
      <c r="M5" s="120"/>
    </row>
    <row r="6" spans="1:17" ht="18" customHeight="1" thickBot="1" x14ac:dyDescent="0.25">
      <c r="B6" s="128"/>
      <c r="C6" s="779" t="s">
        <v>0</v>
      </c>
      <c r="D6" s="780"/>
      <c r="E6" s="781"/>
      <c r="F6" s="785" t="s">
        <v>10</v>
      </c>
      <c r="G6" s="786"/>
      <c r="H6" s="787" t="s">
        <v>11</v>
      </c>
      <c r="I6" s="788"/>
      <c r="J6" s="118"/>
      <c r="K6" s="119"/>
      <c r="L6" s="119"/>
      <c r="M6" s="120"/>
    </row>
    <row r="7" spans="1:17" ht="18" customHeight="1" thickBot="1" x14ac:dyDescent="0.25">
      <c r="B7" s="128"/>
      <c r="C7" s="782"/>
      <c r="D7" s="783"/>
      <c r="E7" s="784"/>
      <c r="F7" s="789" t="s">
        <v>6</v>
      </c>
      <c r="G7" s="770" t="s">
        <v>7</v>
      </c>
      <c r="H7" s="789" t="s">
        <v>6</v>
      </c>
      <c r="I7" s="770" t="s">
        <v>7</v>
      </c>
      <c r="J7" s="118"/>
      <c r="K7" s="768" t="s">
        <v>8</v>
      </c>
      <c r="L7" s="791"/>
      <c r="M7" s="120"/>
      <c r="O7" s="768" t="s">
        <v>51</v>
      </c>
      <c r="P7" s="768" t="s">
        <v>52</v>
      </c>
      <c r="Q7" s="770" t="s">
        <v>53</v>
      </c>
    </row>
    <row r="8" spans="1:17" ht="18" customHeight="1" thickBot="1" x14ac:dyDescent="0.25">
      <c r="B8" s="128"/>
      <c r="C8" s="358" t="s">
        <v>1</v>
      </c>
      <c r="D8" s="358" t="s">
        <v>12</v>
      </c>
      <c r="E8" s="506" t="s">
        <v>9</v>
      </c>
      <c r="F8" s="790"/>
      <c r="G8" s="771"/>
      <c r="H8" s="769"/>
      <c r="I8" s="771"/>
      <c r="J8" s="122"/>
      <c r="K8" s="792"/>
      <c r="L8" s="793"/>
      <c r="M8" s="120"/>
      <c r="O8" s="769"/>
      <c r="P8" s="769"/>
      <c r="Q8" s="771"/>
    </row>
    <row r="9" spans="1:17" ht="18" customHeight="1" x14ac:dyDescent="0.2">
      <c r="A9" s="123" t="s">
        <v>129</v>
      </c>
      <c r="B9" s="128"/>
      <c r="C9" s="509" t="s">
        <v>129</v>
      </c>
      <c r="D9" s="510">
        <v>0.1</v>
      </c>
      <c r="E9" s="511" t="s">
        <v>2</v>
      </c>
      <c r="F9" s="512">
        <f>+VLOOKUP(A9,'[5]B2B Red'!$C:$FG,MATCH($A$3,'[5]B2B Red'!$BG$6:$CU$6,0)+56,0)</f>
        <v>0.08</v>
      </c>
      <c r="G9" s="513">
        <f>+VLOOKUP(A9,'[5]B2B Red'!$C:$FG,MATCH($A$3,'[5]B2B Red'!$BG$6:$CU$6,0)+57,0)</f>
        <v>0.1</v>
      </c>
      <c r="H9" s="465">
        <f>+F9</f>
        <v>0.08</v>
      </c>
      <c r="I9" s="466">
        <f>+G9</f>
        <v>0.1</v>
      </c>
      <c r="J9" s="142"/>
      <c r="K9" s="774">
        <f>+VLOOKUP(A9,'[5]B2B Red'!$C:$FG,MATCH($A$3,'[5]B2B Red'!$BG$6:$CU$6,0)+58,0)</f>
        <v>0.12</v>
      </c>
      <c r="L9" s="775"/>
      <c r="M9" s="130"/>
      <c r="O9" s="514" t="str">
        <f>IFERROR(IF((F9-VLOOKUP($A9,[2]Leapmotor!$A:$L,COLUMNS([2]Leapmotor!$A$9:$F$9),0))*100=0,"ISO",(F9-VLOOKUP($A9,[2]Leapmotor!$A:$L,COLUMNS([2]Leapmotor!$A$9:$F$9),0))*100),"N/A")</f>
        <v>ISO</v>
      </c>
      <c r="P9" s="515" t="str">
        <f>IFERROR(IF((G9-VLOOKUP($A9,[2]Leapmotor!$A:$L,COLUMNS([2]Leapmotor!$A$9:$G$9),0))*100=0,"ISO",(G9-VLOOKUP($A9,[2]Leapmotor!$A:$L,COLUMNS([2]Leapmotor!$A$9:$G$9),0))*100),"N/A")</f>
        <v>ISO</v>
      </c>
      <c r="Q9" s="515" t="str">
        <f>IFERROR(IF((K9-VLOOKUP($A9,[2]Leapmotor!$A:$L,COLUMNS([2]Leapmotor!$A$9:$K$9),0))*100=0,"ISO",(K9-VLOOKUP($A9,[2]Leapmotor!$A:$L,COLUMNS([2]Leapmotor!$A$9:$K$9),0))*100),"N/A")</f>
        <v>ISO</v>
      </c>
    </row>
    <row r="10" spans="1:17" ht="18" customHeight="1" thickBot="1" x14ac:dyDescent="0.25">
      <c r="B10" s="128"/>
      <c r="C10" s="131"/>
      <c r="D10" s="132"/>
      <c r="E10" s="353" t="s">
        <v>5</v>
      </c>
      <c r="F10" s="486">
        <f>+F9-F11</f>
        <v>3.4999999999999996E-2</v>
      </c>
      <c r="G10" s="487">
        <f t="shared" ref="G10:I10" si="0">+G9-G11</f>
        <v>4.4999999999999998E-2</v>
      </c>
      <c r="H10" s="486">
        <f t="shared" si="0"/>
        <v>2.4999999999999994E-2</v>
      </c>
      <c r="I10" s="487">
        <f t="shared" si="0"/>
        <v>3.5000000000000003E-2</v>
      </c>
      <c r="J10" s="488"/>
      <c r="K10" s="776">
        <f>+K9-K11</f>
        <v>4.9999999999999989E-2</v>
      </c>
      <c r="L10" s="777"/>
      <c r="M10" s="120"/>
      <c r="O10" s="133" t="str">
        <f>IFERROR(IF((F10-HLOOKUP(F$7,[2]Leapmotor!$F$7:$G$86,MATCH($A9,[2]Leapmotor!$A$7:$A$86,0)+1,0))*100=0,"ISO",(F10-HLOOKUP(F$7,[2]Leapmotor!$F$7:$G$86,MATCH($A9,[2]Leapmotor!$A$7:$A$86,0)+1,0))*100),"N/A")</f>
        <v>ISO</v>
      </c>
      <c r="P10" s="134" t="str">
        <f>IFERROR(IF((G10-HLOOKUP(G$7,[2]Leapmotor!$F$7:$G$86,MATCH($A9,[2]Leapmotor!$A$7:$A$86,0)+1,0))*100=0,"ISO",(G10-HLOOKUP(G$7,[2]Leapmotor!$F$7:$G$86,MATCH($A9,[2]Leapmotor!$A$7:$A$86,0)+1,0))*100),"N/A")</f>
        <v>ISO</v>
      </c>
      <c r="Q10" s="134" t="str">
        <f>IFERROR(IF((K10-HLOOKUP(K$7,[2]Leapmotor!$K$7:$L$86,MATCH($A9,[2]Leapmotor!$A$7:$A$86,0)+1,0))*100=0,"ISO",(K10-HLOOKUP(K$7,[2]Leapmotor!$K$7:$L$86,MATCH($A9,[2]Leapmotor!$A$7:$A$86,0)+1,0))*100),"N/A")</f>
        <v>ISO</v>
      </c>
    </row>
    <row r="11" spans="1:17" ht="18" customHeight="1" thickBot="1" x14ac:dyDescent="0.25">
      <c r="B11" s="128"/>
      <c r="C11" s="135"/>
      <c r="D11" s="136"/>
      <c r="E11" s="354" t="s">
        <v>3</v>
      </c>
      <c r="F11" s="489">
        <f>+D9-VLOOKUP(A9,'[5]B2B Red'!$C:$FG,MATCH($A$3,'[5]B2B Red'!$CV$6:$EE$6,0)+97,0)</f>
        <v>4.5000000000000005E-2</v>
      </c>
      <c r="G11" s="490">
        <f>+D9-VLOOKUP(A9,'[5]B2B Red'!$C:$FG,MATCH($A$3,'[5]B2B Red'!$CV$6:$EE$6,0)+98,0)</f>
        <v>5.5000000000000007E-2</v>
      </c>
      <c r="H11" s="489">
        <f>+F11+1%</f>
        <v>5.5000000000000007E-2</v>
      </c>
      <c r="I11" s="490">
        <f>+G11+1%</f>
        <v>6.5000000000000002E-2</v>
      </c>
      <c r="J11" s="488"/>
      <c r="K11" s="772">
        <f>+D9-VLOOKUP(A9,'[5]B2B Red'!$C:$FG,MATCH($A$3,'[5]B2B Red'!$CV$6:$EE$6,0)+99,0)</f>
        <v>7.0000000000000007E-2</v>
      </c>
      <c r="L11" s="773"/>
      <c r="M11" s="120"/>
      <c r="O11" s="137" t="str">
        <f>IFERROR(IF((F11-HLOOKUP(F$7,[2]Leapmotor!$F$7:$G$86,MATCH($A9,[2]Leapmotor!$A$7:$A$86,0)+2,0))*100=0,"ISO",(F11-HLOOKUP(F$7,[2]Leapmotor!$F$7:$G$86,MATCH($A9,[2]Leapmotor!$A$7:$A$86,0)+2,0))*100),"N/A")</f>
        <v>ISO</v>
      </c>
      <c r="P11" s="138" t="str">
        <f>IFERROR(IF((G11-HLOOKUP(G$7,[2]Leapmotor!$F$7:$G$86,MATCH($A9,[2]Leapmotor!$A$7:$A$86,0)+2,0))*100=0,"ISO",(G11-HLOOKUP(G$7,[2]Leapmotor!$F$7:$G$86,MATCH($A9,[2]Leapmotor!$A$7:$A$86,0)+2,0))*100),"N/A")</f>
        <v>ISO</v>
      </c>
      <c r="Q11" s="138" t="str">
        <f>IFERROR(IF((K11-HLOOKUP(K$7,[2]Leapmotor!$K$7:$L$86,MATCH($A9,[2]Leapmotor!$A$7:$A$86,0)+2,0))*100=0,"ISO",(K11-HLOOKUP(K$7,[2]Leapmotor!$K$7:$L$86,MATCH($A9,[2]Leapmotor!$A$7:$A$86,0)+2,0))*100),"N/A")</f>
        <v>ISO</v>
      </c>
    </row>
    <row r="12" spans="1:17" ht="18" customHeight="1" x14ac:dyDescent="0.2">
      <c r="A12" s="123" t="s">
        <v>71</v>
      </c>
      <c r="B12" s="128"/>
      <c r="C12" s="509" t="s">
        <v>68</v>
      </c>
      <c r="D12" s="510">
        <v>0.1</v>
      </c>
      <c r="E12" s="511" t="s">
        <v>2</v>
      </c>
      <c r="F12" s="512">
        <f>+VLOOKUP(A12,'[5]B2B Red'!$C:$FG,MATCH($A$3,'[5]B2B Red'!$BG$6:$CU$6,0)+56,0)</f>
        <v>0.08</v>
      </c>
      <c r="G12" s="513">
        <f>+VLOOKUP(A12,'[5]B2B Red'!$C:$FG,MATCH($A$3,'[5]B2B Red'!$BG$6:$CU$6,0)+57,0)</f>
        <v>0.1</v>
      </c>
      <c r="H12" s="465">
        <f>+F12</f>
        <v>0.08</v>
      </c>
      <c r="I12" s="466">
        <f>+G12</f>
        <v>0.1</v>
      </c>
      <c r="J12" s="142"/>
      <c r="K12" s="774">
        <f>+VLOOKUP(A12,'[5]B2B Red'!$C:$FG,MATCH($A$3,'[5]B2B Red'!$BG$6:$CU$6,0)+58,0)</f>
        <v>0.12</v>
      </c>
      <c r="L12" s="775"/>
      <c r="M12" s="130"/>
      <c r="O12" s="514" t="str">
        <f>IF((F12-VLOOKUP($A12,[2]Leapmotor!$A:$L,COLUMNS([2]Leapmotor!$A$9:$F$9),0))*100=0,"ISO",(F12-VLOOKUP($A12,[2]Leapmotor!$A:$L,COLUMNS([2]Leapmotor!$A$9:$F$9),0))*100)</f>
        <v>ISO</v>
      </c>
      <c r="P12" s="515" t="str">
        <f>IF((G12-VLOOKUP($A12,[2]Leapmotor!$A:$L,COLUMNS([2]Leapmotor!$A$9:$G$9),0))*100=0,"ISO",(G12-VLOOKUP($A12,[2]Leapmotor!$A:$L,COLUMNS([2]Leapmotor!$A$9:$G$9),0))*100)</f>
        <v>ISO</v>
      </c>
      <c r="Q12" s="515" t="str">
        <f>IF((K12-VLOOKUP($A12,[2]Leapmotor!$A:$L,COLUMNS([2]Leapmotor!$A$9:$K$9),0))*100=0,"ISO",(K12-VLOOKUP($A12,[2]Leapmotor!$A:$L,COLUMNS([2]Leapmotor!$A$9:$K$9),0))*100)</f>
        <v>ISO</v>
      </c>
    </row>
    <row r="13" spans="1:17" ht="18" customHeight="1" thickBot="1" x14ac:dyDescent="0.25">
      <c r="B13" s="128"/>
      <c r="C13" s="131"/>
      <c r="D13" s="132"/>
      <c r="E13" s="353" t="s">
        <v>5</v>
      </c>
      <c r="F13" s="486">
        <f>+F12-F14</f>
        <v>3.9999999999999994E-2</v>
      </c>
      <c r="G13" s="487">
        <f t="shared" ref="G13:I13" si="1">+G12-G14</f>
        <v>0.05</v>
      </c>
      <c r="H13" s="486">
        <f t="shared" si="1"/>
        <v>2.9999999999999992E-2</v>
      </c>
      <c r="I13" s="487">
        <f t="shared" si="1"/>
        <v>0.04</v>
      </c>
      <c r="J13" s="488"/>
      <c r="K13" s="776">
        <f>+K12-K14</f>
        <v>5.9999999999999991E-2</v>
      </c>
      <c r="L13" s="777"/>
      <c r="M13" s="120"/>
      <c r="O13" s="133" t="str">
        <f>+IF((F13-HLOOKUP(F$7,[2]Leapmotor!$F$7:$G$86,MATCH($A12,[2]Leapmotor!$A$7:$A$86,0)+1,0))*100=0,"ISO",(F13-HLOOKUP(F$7,[2]Leapmotor!$F$7:$G$86,MATCH($A12,[2]Leapmotor!$A$7:$A$86,0)+1,0))*100)</f>
        <v>ISO</v>
      </c>
      <c r="P13" s="134" t="str">
        <f>+IF((G13-HLOOKUP(G$7,[2]Leapmotor!$F$7:$G$86,MATCH($A12,[2]Leapmotor!$A$7:$A$86,0)+1,0))*100=0,"ISO",(G13-HLOOKUP(G$7,[2]Leapmotor!$F$7:$G$86,MATCH($A12,[2]Leapmotor!$A$7:$A$86,0)+1,0))*100)</f>
        <v>ISO</v>
      </c>
      <c r="Q13" s="134" t="str">
        <f>IF((K13-HLOOKUP(K$7,[2]Leapmotor!$K$7:$L$86,MATCH($A12,[2]Leapmotor!$A$7:$A$86,0)+1,0))*100=0,"ISO",(K13-HLOOKUP(K$7,[2]Leapmotor!$K$7:$L$86,MATCH($A12,[2]Leapmotor!$A$7:$A$86,0)+1,0))*100)</f>
        <v>ISO</v>
      </c>
    </row>
    <row r="14" spans="1:17" ht="18" customHeight="1" thickBot="1" x14ac:dyDescent="0.25">
      <c r="B14" s="128"/>
      <c r="C14" s="135"/>
      <c r="D14" s="136"/>
      <c r="E14" s="354" t="s">
        <v>3</v>
      </c>
      <c r="F14" s="489">
        <f>+D12-VLOOKUP(A12,'[5]B2B Red'!$C:$FG,MATCH($A$3,'[5]B2B Red'!$CV$6:$EE$6,0)+97,0)</f>
        <v>4.0000000000000008E-2</v>
      </c>
      <c r="G14" s="490">
        <f>+D12-VLOOKUP(A12,'[5]B2B Red'!$C:$FG,MATCH($A$3,'[5]B2B Red'!$CV$6:$EE$6,0)+98,0)</f>
        <v>0.05</v>
      </c>
      <c r="H14" s="489">
        <f>+F14+1%</f>
        <v>5.000000000000001E-2</v>
      </c>
      <c r="I14" s="490">
        <f>+G14+1%</f>
        <v>6.0000000000000005E-2</v>
      </c>
      <c r="J14" s="488"/>
      <c r="K14" s="772">
        <f>+D12-VLOOKUP(A12,'[5]B2B Red'!$C:$FG,MATCH($A$3,'[5]B2B Red'!$CV$6:$EE$6,0)+99,0)</f>
        <v>6.0000000000000005E-2</v>
      </c>
      <c r="L14" s="773"/>
      <c r="M14" s="120"/>
      <c r="O14" s="137" t="str">
        <f>+IF((F14-HLOOKUP(F$7,[2]Leapmotor!$F$7:$G$86,MATCH($A12,[2]Leapmotor!$A$7:$A$86,0)+2,0))*100=0,"ISO",(F14-HLOOKUP(F$7,[2]Leapmotor!$F$7:$G$86,MATCH($A12,[2]Leapmotor!$A$7:$A$86,0)+2,0))*100)</f>
        <v>ISO</v>
      </c>
      <c r="P14" s="138" t="str">
        <f>IF((G14-HLOOKUP(G$7,[2]Leapmotor!$F$7:$G$86,MATCH($A12,[2]Leapmotor!$A$7:$A$86,0)+2,0))*100=0,"ISO",(G14-HLOOKUP(G$7,[2]Leapmotor!$F$7:$G$86,MATCH($A12,[2]Leapmotor!$A$7:$A$86,0)+2,0))*100)</f>
        <v>ISO</v>
      </c>
      <c r="Q14" s="138" t="str">
        <f>IF((K14-HLOOKUP(K$7,[2]Leapmotor!$K$7:$L$86,MATCH($A12,[2]Leapmotor!$A$7:$A$86,0)+2,0))*100=0,"ISO",(K14-HLOOKUP(K$7,[2]Leapmotor!$K$7:$L$86,MATCH($A12,[2]Leapmotor!$A$7:$A$86,0)+2,0))*100)</f>
        <v>ISO</v>
      </c>
    </row>
    <row r="15" spans="1:17" ht="18" customHeight="1" x14ac:dyDescent="0.2">
      <c r="A15" s="123" t="s">
        <v>70</v>
      </c>
      <c r="B15" s="128"/>
      <c r="C15" s="509" t="s">
        <v>69</v>
      </c>
      <c r="D15" s="510">
        <v>0.1</v>
      </c>
      <c r="E15" s="516" t="s">
        <v>2</v>
      </c>
      <c r="F15" s="512">
        <f>+VLOOKUP(A15,'[5]B2B Red'!$C:$FG,MATCH($A$3,'[5]B2B Red'!$BG$6:$CU$6,0)+56,0)</f>
        <v>0.08</v>
      </c>
      <c r="G15" s="513">
        <f>+VLOOKUP(A15,'[5]B2B Red'!$C:$FG,MATCH($A$3,'[5]B2B Red'!$BG$6:$CU$6,0)+57,0)</f>
        <v>0.1</v>
      </c>
      <c r="H15" s="465">
        <f>+F15</f>
        <v>0.08</v>
      </c>
      <c r="I15" s="466">
        <f>+G15</f>
        <v>0.1</v>
      </c>
      <c r="J15" s="142"/>
      <c r="K15" s="774">
        <f>+VLOOKUP(A15,'[5]B2B Red'!$C:$FG,MATCH($A$3,'[5]B2B Red'!$BG$6:$CU$6,0)+58,0)</f>
        <v>0.12</v>
      </c>
      <c r="L15" s="775"/>
      <c r="M15" s="130"/>
      <c r="O15" s="514" t="str">
        <f>IF((F15-VLOOKUP($A15,[2]Leapmotor!$A:$L,COLUMNS([2]Leapmotor!$A$9:$F$9),0))*100=0,"ISO",(F15-VLOOKUP($A15,[2]Leapmotor!$A:$L,COLUMNS([2]Leapmotor!$A$9:$F$9),0))*100)</f>
        <v>ISO</v>
      </c>
      <c r="P15" s="515" t="str">
        <f>IF((G15-VLOOKUP($A15,[2]Leapmotor!$A:$L,COLUMNS([2]Leapmotor!$A$9:$G$9),0))*100=0,"ISO",(G15-VLOOKUP($A15,[2]Leapmotor!$A:$L,COLUMNS([2]Leapmotor!$A$9:$G$9),0))*100)</f>
        <v>ISO</v>
      </c>
      <c r="Q15" s="515" t="str">
        <f>IF((K15-VLOOKUP($A15,[2]Leapmotor!$A:$L,COLUMNS([2]Leapmotor!$A$9:$K$9),0))*100=0,"ISO",(K15-VLOOKUP($A15,[2]Leapmotor!$A:$L,COLUMNS([2]Leapmotor!$A$9:$K$9),0))*100)</f>
        <v>ISO</v>
      </c>
    </row>
    <row r="16" spans="1:17" ht="18" customHeight="1" thickBot="1" x14ac:dyDescent="0.25">
      <c r="B16" s="128"/>
      <c r="C16" s="131"/>
      <c r="D16" s="132"/>
      <c r="E16" s="353" t="s">
        <v>5</v>
      </c>
      <c r="F16" s="486">
        <f>+F15-F17</f>
        <v>3.9999999999999994E-2</v>
      </c>
      <c r="G16" s="487">
        <f t="shared" ref="G16:I16" si="2">+G15-G17</f>
        <v>0.05</v>
      </c>
      <c r="H16" s="486">
        <f t="shared" si="2"/>
        <v>2.9999999999999992E-2</v>
      </c>
      <c r="I16" s="487">
        <f t="shared" si="2"/>
        <v>0.04</v>
      </c>
      <c r="J16" s="488"/>
      <c r="K16" s="776">
        <f>+K15-K17</f>
        <v>5.9999999999999991E-2</v>
      </c>
      <c r="L16" s="777"/>
      <c r="M16" s="120"/>
      <c r="O16" s="133" t="str">
        <f>+IF((F16-HLOOKUP(F$7,[2]Leapmotor!$F$7:$G$86,MATCH($A15,[2]Leapmotor!$A$7:$A$86,0)+1,0))*100=0,"ISO",(F16-HLOOKUP(F$7,[2]Leapmotor!$F$7:$G$86,MATCH($A15,[2]Leapmotor!$A$7:$A$86,0)+1,0))*100)</f>
        <v>ISO</v>
      </c>
      <c r="P16" s="134" t="str">
        <f>+IF((G16-HLOOKUP(G$7,[2]Leapmotor!$F$7:$G$86,MATCH($A15,[2]Leapmotor!$A$7:$A$86,0)+1,0))*100=0,"ISO",(G16-HLOOKUP(G$7,[2]Leapmotor!$F$7:$G$86,MATCH($A15,[2]Leapmotor!$A$7:$A$86,0)+1,0))*100)</f>
        <v>ISO</v>
      </c>
      <c r="Q16" s="134" t="str">
        <f>IF((K16-HLOOKUP(K$7,[2]Leapmotor!$K$7:$L$86,MATCH($A15,[2]Leapmotor!$A$7:$A$86,0)+1,0))*100=0,"ISO",(K16-HLOOKUP(K$7,[2]Leapmotor!$K$7:$L$86,MATCH($A15,[2]Leapmotor!$A$7:$A$86,0)+1,0))*100)</f>
        <v>ISO</v>
      </c>
    </row>
    <row r="17" spans="2:17" ht="18" customHeight="1" thickBot="1" x14ac:dyDescent="0.25">
      <c r="B17" s="128"/>
      <c r="C17" s="135"/>
      <c r="D17" s="136"/>
      <c r="E17" s="354" t="s">
        <v>3</v>
      </c>
      <c r="F17" s="489">
        <f>+D15-VLOOKUP(A15,'[5]B2B Red'!$C:$FG,MATCH($A$3,'[5]B2B Red'!$CV$6:$EE$6,0)+97,0)</f>
        <v>4.0000000000000008E-2</v>
      </c>
      <c r="G17" s="490">
        <f>+D15-VLOOKUP(A15,'[5]B2B Red'!$C:$FG,MATCH($A$3,'[5]B2B Red'!$CV$6:$EE$6,0)+98,0)</f>
        <v>0.05</v>
      </c>
      <c r="H17" s="489">
        <f>+F17+1%</f>
        <v>5.000000000000001E-2</v>
      </c>
      <c r="I17" s="490">
        <f>+G17+1%</f>
        <v>6.0000000000000005E-2</v>
      </c>
      <c r="J17" s="488"/>
      <c r="K17" s="772">
        <f>+D15-VLOOKUP(A15,'[5]B2B Red'!$C:$FG,MATCH($A$3,'[5]B2B Red'!$CV$6:$EE$6,0)+99,0)</f>
        <v>6.0000000000000005E-2</v>
      </c>
      <c r="L17" s="773"/>
      <c r="M17" s="120"/>
      <c r="O17" s="137" t="str">
        <f>+IF((F17-HLOOKUP(F$7,[2]Leapmotor!$F$7:$G$86,MATCH($A15,[2]Leapmotor!$A$7:$A$86,0)+2,0))*100=0,"ISO",(F17-HLOOKUP(F$7,[2]Leapmotor!$F$7:$G$86,MATCH($A15,[2]Leapmotor!$A$7:$A$86,0)+2,0))*100)</f>
        <v>ISO</v>
      </c>
      <c r="P17" s="138" t="str">
        <f>IF((G17-HLOOKUP(G$7,[2]Leapmotor!$F$7:$G$86,MATCH($A15,[2]Leapmotor!$A$7:$A$86,0)+2,0))*100=0,"ISO",(G17-HLOOKUP(G$7,[2]Leapmotor!$F$7:$G$86,MATCH($A15,[2]Leapmotor!$A$7:$A$86,0)+2,0))*100)</f>
        <v>ISO</v>
      </c>
      <c r="Q17" s="138" t="str">
        <f>IF((K17-HLOOKUP(K$7,[2]Leapmotor!$K$7:$L$86,MATCH($A15,[2]Leapmotor!$A$7:$A$86,0)+2,0))*100=0,"ISO",(K17-HLOOKUP(K$7,[2]Leapmotor!$K$7:$L$86,MATCH($A15,[2]Leapmotor!$A$7:$A$86,0)+2,0))*100)</f>
        <v>ISO</v>
      </c>
    </row>
    <row r="18" spans="2:17" ht="18" customHeight="1" x14ac:dyDescent="0.2">
      <c r="B18" s="128"/>
      <c r="C18" s="139"/>
      <c r="D18" s="140"/>
      <c r="E18" s="355"/>
      <c r="F18" s="141"/>
      <c r="G18" s="141"/>
      <c r="H18" s="141"/>
      <c r="I18" s="141"/>
      <c r="J18" s="122"/>
      <c r="K18" s="141"/>
      <c r="L18" s="141"/>
      <c r="M18" s="120"/>
    </row>
    <row r="19" spans="2:17" ht="18" customHeight="1" x14ac:dyDescent="0.2">
      <c r="B19" s="128"/>
      <c r="C19" s="139"/>
      <c r="D19" s="140"/>
      <c r="E19" s="355"/>
      <c r="F19" s="141"/>
      <c r="G19" s="141"/>
      <c r="H19" s="141"/>
      <c r="I19" s="141"/>
      <c r="J19" s="122"/>
      <c r="K19" s="141"/>
      <c r="L19" s="141"/>
      <c r="M19" s="120"/>
    </row>
  </sheetData>
  <mergeCells count="21">
    <mergeCell ref="C3:L4"/>
    <mergeCell ref="C6:E7"/>
    <mergeCell ref="F6:G6"/>
    <mergeCell ref="H6:I6"/>
    <mergeCell ref="F7:F8"/>
    <mergeCell ref="G7:G8"/>
    <mergeCell ref="H7:H8"/>
    <mergeCell ref="I7:I8"/>
    <mergeCell ref="K7:L8"/>
    <mergeCell ref="O7:O8"/>
    <mergeCell ref="P7:P8"/>
    <mergeCell ref="Q7:Q8"/>
    <mergeCell ref="K14:L14"/>
    <mergeCell ref="K17:L17"/>
    <mergeCell ref="K12:L12"/>
    <mergeCell ref="K13:L13"/>
    <mergeCell ref="K15:L15"/>
    <mergeCell ref="K16:L16"/>
    <mergeCell ref="K9:L9"/>
    <mergeCell ref="K10:L10"/>
    <mergeCell ref="K11:L11"/>
  </mergeCells>
  <printOptions horizontalCentered="1"/>
  <pageMargins left="0.70866141732283472" right="0.70866141732283472" top="0.74803149606299213" bottom="0.74803149606299213" header="0.31496062992125984" footer="0.31496062992125984"/>
  <pageSetup scale="82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125261-F1B1-456B-9AB2-A4F3127CA597}">
          <x14:formula1>
            <xm:f>MES!$B$2:$B$13</xm:f>
          </x14:formula1>
          <xm:sqref>A3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BE58F-E6FB-42EC-8625-D699F919779A}">
  <sheetPr>
    <tabColor rgb="FF00B050"/>
    <pageSetUpPr fitToPage="1"/>
  </sheetPr>
  <dimension ref="A1:T18"/>
  <sheetViews>
    <sheetView showGridLines="0" zoomScaleNormal="100" zoomScaleSheetLayoutView="100" workbookViewId="0">
      <pane ySplit="8" topLeftCell="A9" activePane="bottomLeft" state="frozen"/>
      <selection activeCell="O7" sqref="O7:Q8"/>
      <selection pane="bottomLeft" activeCell="G7" sqref="G7:G8"/>
    </sheetView>
  </sheetViews>
  <sheetFormatPr baseColWidth="10" defaultColWidth="0" defaultRowHeight="0" customHeight="1" zeroHeight="1" outlineLevelCol="1" x14ac:dyDescent="0.2"/>
  <cols>
    <col min="1" max="1" width="50.7109375" style="596" hidden="1" customWidth="1" outlineLevel="1"/>
    <col min="2" max="2" width="5.7109375" style="603" customWidth="1" collapsed="1"/>
    <col min="3" max="3" width="50.7109375" style="651" customWidth="1"/>
    <col min="4" max="4" width="13.7109375" style="652" customWidth="1" outlineLevel="1"/>
    <col min="5" max="5" width="10.7109375" style="603" customWidth="1"/>
    <col min="6" max="9" width="13.7109375" style="603" customWidth="1"/>
    <col min="10" max="10" width="1" style="603" customWidth="1"/>
    <col min="11" max="11" width="18.85546875" style="596" customWidth="1"/>
    <col min="12" max="12" width="3" style="596" customWidth="1"/>
    <col min="13" max="13" width="5.7109375" style="603" customWidth="1"/>
    <col min="14" max="16" width="13.7109375" style="603" customWidth="1"/>
    <col min="17" max="17" width="5.7109375" style="603" customWidth="1"/>
    <col min="18" max="20" width="0" style="603" hidden="1" customWidth="1"/>
    <col min="21" max="16384" width="11.5703125" style="603" hidden="1"/>
  </cols>
  <sheetData>
    <row r="1" spans="1:16" ht="9.9499999999999993" customHeight="1" thickBot="1" x14ac:dyDescent="0.25">
      <c r="B1" s="597"/>
      <c r="C1" s="598"/>
      <c r="D1" s="599"/>
      <c r="E1" s="600"/>
      <c r="F1" s="600"/>
      <c r="G1" s="600"/>
      <c r="H1" s="600"/>
      <c r="I1" s="600"/>
      <c r="J1" s="600"/>
      <c r="K1" s="601"/>
      <c r="L1" s="602"/>
    </row>
    <row r="2" spans="1:16" ht="18" customHeight="1" thickBot="1" x14ac:dyDescent="0.25">
      <c r="A2" s="663" t="s">
        <v>25</v>
      </c>
      <c r="B2" s="604"/>
      <c r="C2" s="605"/>
      <c r="D2" s="606"/>
      <c r="E2" s="607"/>
      <c r="F2" s="607"/>
      <c r="G2" s="607"/>
      <c r="H2" s="607"/>
      <c r="I2" s="607"/>
      <c r="J2" s="608"/>
      <c r="K2" s="609"/>
      <c r="L2" s="610"/>
    </row>
    <row r="3" spans="1:16" ht="18" customHeight="1" thickBot="1" x14ac:dyDescent="0.25">
      <c r="A3" s="611" t="str">
        <f>+Peugeot!A3</f>
        <v>JUNIO</v>
      </c>
      <c r="B3" s="604"/>
      <c r="C3" s="800" t="str">
        <f>"     "&amp;"ACCIONES COMERCIALES B2B RED"&amp;" - "&amp;A3&amp;" 2026"</f>
        <v xml:space="preserve">     ACCIONES COMERCIALES B2B RED - JUNIO 2026</v>
      </c>
      <c r="D3" s="800"/>
      <c r="E3" s="800"/>
      <c r="F3" s="800"/>
      <c r="G3" s="800"/>
      <c r="H3" s="800"/>
      <c r="I3" s="800"/>
      <c r="J3" s="800"/>
      <c r="K3" s="800"/>
      <c r="L3" s="610"/>
    </row>
    <row r="4" spans="1:16" ht="18" customHeight="1" x14ac:dyDescent="0.2">
      <c r="B4" s="604"/>
      <c r="C4" s="800"/>
      <c r="D4" s="800"/>
      <c r="E4" s="800"/>
      <c r="F4" s="800"/>
      <c r="G4" s="800"/>
      <c r="H4" s="800"/>
      <c r="I4" s="800"/>
      <c r="J4" s="800"/>
      <c r="K4" s="800"/>
      <c r="L4" s="610"/>
    </row>
    <row r="5" spans="1:16" ht="9.9499999999999993" customHeight="1" thickBot="1" x14ac:dyDescent="0.25">
      <c r="B5" s="604"/>
      <c r="C5" s="605"/>
      <c r="D5" s="606"/>
      <c r="E5" s="608"/>
      <c r="F5" s="608"/>
      <c r="G5" s="608"/>
      <c r="H5" s="608"/>
      <c r="I5" s="608"/>
      <c r="J5" s="608"/>
      <c r="K5" s="609"/>
      <c r="L5" s="610"/>
    </row>
    <row r="6" spans="1:16" ht="18" customHeight="1" thickBot="1" x14ac:dyDescent="0.25">
      <c r="B6" s="604"/>
      <c r="C6" s="801" t="s">
        <v>0</v>
      </c>
      <c r="D6" s="802"/>
      <c r="E6" s="802"/>
      <c r="F6" s="805" t="s">
        <v>10</v>
      </c>
      <c r="G6" s="806"/>
      <c r="H6" s="807" t="s">
        <v>11</v>
      </c>
      <c r="I6" s="808"/>
      <c r="J6" s="612"/>
      <c r="K6" s="613"/>
      <c r="L6" s="614"/>
      <c r="M6" s="615"/>
      <c r="N6" s="615"/>
      <c r="O6" s="615"/>
      <c r="P6" s="615"/>
    </row>
    <row r="7" spans="1:16" ht="18" customHeight="1" thickBot="1" x14ac:dyDescent="0.25">
      <c r="B7" s="604"/>
      <c r="C7" s="803"/>
      <c r="D7" s="804"/>
      <c r="E7" s="804"/>
      <c r="F7" s="809" t="s">
        <v>6</v>
      </c>
      <c r="G7" s="809" t="s">
        <v>7</v>
      </c>
      <c r="H7" s="811" t="s">
        <v>6</v>
      </c>
      <c r="I7" s="813" t="s">
        <v>7</v>
      </c>
      <c r="J7" s="612"/>
      <c r="K7" s="814" t="s">
        <v>8</v>
      </c>
      <c r="L7" s="614"/>
      <c r="M7" s="615"/>
      <c r="N7" s="794" t="s">
        <v>51</v>
      </c>
      <c r="O7" s="796" t="s">
        <v>52</v>
      </c>
      <c r="P7" s="798" t="s">
        <v>53</v>
      </c>
    </row>
    <row r="8" spans="1:16" ht="18" customHeight="1" thickBot="1" x14ac:dyDescent="0.25">
      <c r="B8" s="604"/>
      <c r="C8" s="616" t="s">
        <v>1</v>
      </c>
      <c r="D8" s="617" t="s">
        <v>12</v>
      </c>
      <c r="E8" s="618" t="s">
        <v>9</v>
      </c>
      <c r="F8" s="810"/>
      <c r="G8" s="810"/>
      <c r="H8" s="812"/>
      <c r="I8" s="799"/>
      <c r="J8" s="619"/>
      <c r="K8" s="815"/>
      <c r="L8" s="614"/>
      <c r="M8" s="615"/>
      <c r="N8" s="795"/>
      <c r="O8" s="797"/>
      <c r="P8" s="799"/>
    </row>
    <row r="9" spans="1:16" ht="5.0999999999999996" customHeight="1" thickBot="1" x14ac:dyDescent="0.25">
      <c r="B9" s="604"/>
      <c r="C9" s="632"/>
      <c r="D9" s="633"/>
      <c r="E9" s="632"/>
      <c r="F9" s="632"/>
      <c r="G9" s="632"/>
      <c r="H9" s="632"/>
      <c r="I9" s="632"/>
      <c r="J9" s="608"/>
      <c r="K9" s="633"/>
      <c r="L9" s="610"/>
    </row>
    <row r="10" spans="1:16" ht="18" customHeight="1" x14ac:dyDescent="0.2">
      <c r="A10" s="596" t="s">
        <v>124</v>
      </c>
      <c r="B10" s="604"/>
      <c r="C10" s="655" t="s">
        <v>123</v>
      </c>
      <c r="D10" s="656">
        <f>VLOOKUP(A10,[4]Gestión!$D:$H,5,FALSE)</f>
        <v>0.09</v>
      </c>
      <c r="E10" s="657" t="s">
        <v>2</v>
      </c>
      <c r="F10" s="658">
        <f>+VLOOKUP(A10,'[4]B2B Red'!$C:$FG,MATCH($A$3,'[4]B2B Red'!$BG$6:$CU$6,0)+56,0)</f>
        <v>0.06</v>
      </c>
      <c r="G10" s="659">
        <f>+VLOOKUP(A10,'[4]B2B Red'!$C:$FG,MATCH($A$3,'[4]B2B Red'!$BG$6:$CU$6,0)+57,0)</f>
        <v>0.08</v>
      </c>
      <c r="H10" s="658">
        <f>+F10</f>
        <v>0.06</v>
      </c>
      <c r="I10" s="659">
        <f>+G10</f>
        <v>0.08</v>
      </c>
      <c r="J10" s="620"/>
      <c r="K10" s="660">
        <f>+VLOOKUP(A10,'[4]B2B Red'!$C:$FG,MATCH($A$3,'[4]B2B Red'!$BG$6:$CU$6,0)+58,0)</f>
        <v>0.1</v>
      </c>
      <c r="L10" s="621"/>
      <c r="N10" s="661" t="str">
        <f>IF((F10-VLOOKUP($A10,[2]FIAT!$A:$L,COLUMNS([2]FIAT!$A$9:$F$9),0))*100=0,"ISO",(F10-VLOOKUP($A10,[2]FIAT!$A:$L,COLUMNS([2]FIAT!$A$9:$F$9),0))*100)</f>
        <v>ISO</v>
      </c>
      <c r="O10" s="662" t="str">
        <f>IF((G10-VLOOKUP($A10,[2]FIAT!$A:$L,COLUMNS([2]FIAT!$A$9:$G$9),0))*100=0,"ISO",(G10-VLOOKUP($A10,[2]FIAT!$A:$L,COLUMNS([2]FIAT!$A$9:$G$9),0))*100)</f>
        <v>ISO</v>
      </c>
      <c r="P10" s="662" t="str">
        <f>IF((K10-VLOOKUP($A10,[2]FIAT!$A:$L,COLUMNS([2]FIAT!$A$9:$K$9),0))*100=0,"ISO",(K10-VLOOKUP($A10,[2]FIAT!$A:$L,COLUMNS([2]FIAT!$A$9:$K$9),0))*100)</f>
        <v>ISO</v>
      </c>
    </row>
    <row r="11" spans="1:16" ht="18" customHeight="1" x14ac:dyDescent="0.2">
      <c r="B11" s="604"/>
      <c r="C11" s="635"/>
      <c r="D11" s="636"/>
      <c r="E11" s="622" t="s">
        <v>5</v>
      </c>
      <c r="F11" s="623">
        <f>+F10-F12</f>
        <v>0.03</v>
      </c>
      <c r="G11" s="624">
        <f t="shared" ref="G11:I11" si="0">+G10-G12</f>
        <v>4.0000000000000008E-2</v>
      </c>
      <c r="H11" s="623">
        <f t="shared" si="0"/>
        <v>1.9999999999999997E-2</v>
      </c>
      <c r="I11" s="624">
        <f t="shared" si="0"/>
        <v>3.0000000000000006E-2</v>
      </c>
      <c r="J11" s="625"/>
      <c r="K11" s="626">
        <f>+K10-K12</f>
        <v>5.000000000000001E-2</v>
      </c>
      <c r="L11" s="634"/>
      <c r="N11" s="627" t="str">
        <f>+IF((ROUND(F11-HLOOKUP(F$7,[2]FIAT!$F$7:$G$86,MATCH($A10,[2]FIAT!$A$7:$A$86,0)+1,0),3))*100=0,"ISO",(F11-HLOOKUP(F$7,[2]FIAT!$F$7:$G$86,MATCH($A10,[2]FIAT!$A$7:$A$86,0)+1,0))*100)</f>
        <v>ISO</v>
      </c>
      <c r="O11" s="628" t="str">
        <f>+IF((ROUND(G11-HLOOKUP(G$7,[2]FIAT!$F$7:$G$86,MATCH($A10,[2]FIAT!$A$7:$A$86,0)+1,0),3))*100=0,"ISO",(G11-HLOOKUP(G$7,[2]FIAT!$F$7:$G$86,MATCH($A10,[2]FIAT!$A$7:$A$86,0)+1,0))*100)</f>
        <v>ISO</v>
      </c>
      <c r="P11" s="628" t="str">
        <f>IF((ROUND(K11-HLOOKUP(K$7,[2]FIAT!$K$7:$L$86,MATCH($A10,[2]FIAT!$A$7:$A$86,0)+1,0),3))*100=0,"ISO",(K11-HLOOKUP(K$7,[2]FIAT!$K$7:$L$86,MATCH($A10,[2]FIAT!$A$7:$A$86,0)+1,0))*100)</f>
        <v>ISO</v>
      </c>
    </row>
    <row r="12" spans="1:16" ht="18" customHeight="1" thickBot="1" x14ac:dyDescent="0.25">
      <c r="B12" s="604"/>
      <c r="C12" s="637"/>
      <c r="D12" s="638"/>
      <c r="E12" s="629" t="s">
        <v>3</v>
      </c>
      <c r="F12" s="639">
        <f>+D10-VLOOKUP(A10,'[4]B2B Red'!$C:$FG,MATCH($A$3,'[4]B2B Red'!$CV$6:$EE$6,0)+97,0)</f>
        <v>0.03</v>
      </c>
      <c r="G12" s="640">
        <f>+D10-VLOOKUP(A10,'[4]B2B Red'!$C:$FG,MATCH($A$3,'[4]B2B Red'!$CV$6:$EE$6,0)+98,0)</f>
        <v>3.9999999999999994E-2</v>
      </c>
      <c r="H12" s="639">
        <f>+F12+1%</f>
        <v>0.04</v>
      </c>
      <c r="I12" s="640">
        <f>+G12+1%</f>
        <v>4.9999999999999996E-2</v>
      </c>
      <c r="J12" s="641"/>
      <c r="K12" s="642">
        <f>+D10-VLOOKUP(A10,'[4]B2B Red'!$C:$FG,MATCH($A$3,'[4]B2B Red'!$CV$6:$EE$6,0)+99,0)</f>
        <v>4.9999999999999996E-2</v>
      </c>
      <c r="L12" s="634"/>
      <c r="N12" s="630" t="str">
        <f>+IF((ROUND(F12-HLOOKUP(F$7,[2]FIAT!$F$7:$G$86,MATCH($A10,[2]FIAT!$A$7:$A$86,0)+2,0),3))*100=0,"ISO",(F12-HLOOKUP(F$7,[2]FIAT!$F$7:$G$86,MATCH($A10,[2]FIAT!$A$7:$A$86,0)+2,0))*100)</f>
        <v>ISO</v>
      </c>
      <c r="O12" s="631" t="str">
        <f>IF((ROUND(G12-HLOOKUP(G$7,[2]FIAT!$F$7:$G$86,MATCH($A10,[2]FIAT!$A$7:$A$86,0)+2,0),3))*100=0,"ISO",(G12-HLOOKUP(G$7,[2]FIAT!$F$7:$G$86,MATCH($A10,[2]FIAT!$A$7:$A$86,0)+2,0))*100)</f>
        <v>ISO</v>
      </c>
      <c r="P12" s="631" t="str">
        <f>IF((ROUND(K12-HLOOKUP(K$7,[2]FIAT!$K$7:$L$86,MATCH($A10,[2]FIAT!$A$7:$A$86,0)+2,0),3))*100=0,"ISO",(K12-HLOOKUP(K$7,[2]FIAT!$K$7:$L$86,MATCH($A10,[2]FIAT!$A$7:$A$86,0)+2,0))*100)</f>
        <v>ISO</v>
      </c>
    </row>
    <row r="13" spans="1:16" ht="18" customHeight="1" x14ac:dyDescent="0.2">
      <c r="A13" s="596" t="s">
        <v>125</v>
      </c>
      <c r="B13" s="604"/>
      <c r="C13" s="655" t="s">
        <v>122</v>
      </c>
      <c r="D13" s="656">
        <f>VLOOKUP(A13,[4]Gestión!$D:$H,5,FALSE)</f>
        <v>0.09</v>
      </c>
      <c r="E13" s="657" t="s">
        <v>2</v>
      </c>
      <c r="F13" s="658">
        <f>+VLOOKUP(A13,'[4]B2B Red'!$C:$FG,MATCH($A$3,'[4]B2B Red'!$BG$6:$CU$6,0)+56,0)</f>
        <v>0.06</v>
      </c>
      <c r="G13" s="659">
        <f>+VLOOKUP(A13,'[4]B2B Red'!$C:$FG,MATCH($A$3,'[4]B2B Red'!$BG$6:$CU$6,0)+57,0)</f>
        <v>0.08</v>
      </c>
      <c r="H13" s="658">
        <f>+F13</f>
        <v>0.06</v>
      </c>
      <c r="I13" s="659">
        <f>+G13</f>
        <v>0.08</v>
      </c>
      <c r="J13" s="620"/>
      <c r="K13" s="660">
        <f>+VLOOKUP(A13,'[4]B2B Red'!$C:$FG,MATCH($A$3,'[4]B2B Red'!$BG$6:$CU$6,0)+58,0)</f>
        <v>0.1</v>
      </c>
      <c r="L13" s="621"/>
      <c r="N13" s="661" t="str">
        <f>IF((F13-VLOOKUP($A13,[2]FIAT!$A:$L,COLUMNS([2]FIAT!$A$9:$F$9),0))*100=0,"ISO",(F13-VLOOKUP($A13,[2]FIAT!$A:$L,COLUMNS([2]FIAT!$A$9:$F$9),0))*100)</f>
        <v>ISO</v>
      </c>
      <c r="O13" s="662" t="str">
        <f>IF((G13-VLOOKUP($A13,[2]FIAT!$A:$L,COLUMNS([2]FIAT!$A$9:$G$9),0))*100=0,"ISO",(G13-VLOOKUP($A13,[2]FIAT!$A:$L,COLUMNS([2]FIAT!$A$9:$G$9),0))*100)</f>
        <v>ISO</v>
      </c>
      <c r="P13" s="662" t="str">
        <f>IF((K13-VLOOKUP($A13,[2]FIAT!$A:$L,COLUMNS([2]FIAT!$A$9:$K$9),0))*100=0,"ISO",(K13-VLOOKUP($A13,[2]FIAT!$A:$L,COLUMNS([2]FIAT!$A$9:$K$9),0))*100)</f>
        <v>ISO</v>
      </c>
    </row>
    <row r="14" spans="1:16" ht="18" customHeight="1" x14ac:dyDescent="0.2">
      <c r="B14" s="604"/>
      <c r="C14" s="635"/>
      <c r="D14" s="636"/>
      <c r="E14" s="622" t="s">
        <v>5</v>
      </c>
      <c r="F14" s="623">
        <f>+F13-F15</f>
        <v>0.03</v>
      </c>
      <c r="G14" s="624">
        <f t="shared" ref="G14:I14" si="1">+G13-G15</f>
        <v>4.0000000000000008E-2</v>
      </c>
      <c r="H14" s="623">
        <f t="shared" si="1"/>
        <v>1.9999999999999997E-2</v>
      </c>
      <c r="I14" s="624">
        <f t="shared" si="1"/>
        <v>3.0000000000000006E-2</v>
      </c>
      <c r="J14" s="625"/>
      <c r="K14" s="626">
        <f>+K13-K15</f>
        <v>5.000000000000001E-2</v>
      </c>
      <c r="L14" s="634"/>
      <c r="N14" s="627" t="str">
        <f>+IF((ROUND(F14-HLOOKUP(F$7,[2]FIAT!$F$7:$G$86,MATCH($A13,[2]FIAT!$A$7:$A$86,0)+1,0),3))*100=0,"ISO",(F14-HLOOKUP(F$7,[2]FIAT!$F$7:$G$86,MATCH($A13,[2]FIAT!$A$7:$A$86,0)+1,0))*100)</f>
        <v>ISO</v>
      </c>
      <c r="O14" s="628" t="str">
        <f>+IF((ROUND(G14-HLOOKUP(G$7,[2]FIAT!$F$7:$G$86,MATCH($A13,[2]FIAT!$A$7:$A$86,0)+1,0),3))*100=0,"ISO",(G14-HLOOKUP(G$7,[2]FIAT!$F$7:$G$86,MATCH($A13,[2]FIAT!$A$7:$A$86,0)+1,0))*100)</f>
        <v>ISO</v>
      </c>
      <c r="P14" s="628" t="str">
        <f>IF((ROUND(K14-HLOOKUP(K$7,[2]FIAT!$K$7:$L$86,MATCH($A13,[2]FIAT!$A$7:$A$86,0)+1,0),3))*100=0,"ISO",(K14-HLOOKUP(K$7,[2]FIAT!$K$7:$L$86,MATCH($A13,[2]FIAT!$A$7:$A$86,0)+1,0))*100)</f>
        <v>ISO</v>
      </c>
    </row>
    <row r="15" spans="1:16" ht="18" customHeight="1" thickBot="1" x14ac:dyDescent="0.25">
      <c r="B15" s="604"/>
      <c r="C15" s="643"/>
      <c r="D15" s="644"/>
      <c r="E15" s="629" t="s">
        <v>3</v>
      </c>
      <c r="F15" s="639">
        <f>+D13-VLOOKUP(A13,'[4]B2B Red'!$C:$FG,MATCH($A$3,'[4]B2B Red'!$CV$6:$EE$6,0)+97,0)</f>
        <v>0.03</v>
      </c>
      <c r="G15" s="640">
        <f>+D13-VLOOKUP(A13,'[4]B2B Red'!$C:$FG,MATCH($A$3,'[4]B2B Red'!$CV$6:$EE$6,0)+98,0)</f>
        <v>3.9999999999999994E-2</v>
      </c>
      <c r="H15" s="639">
        <f>+F15+1%</f>
        <v>0.04</v>
      </c>
      <c r="I15" s="640">
        <f>+G15+1%</f>
        <v>4.9999999999999996E-2</v>
      </c>
      <c r="J15" s="641"/>
      <c r="K15" s="642">
        <f>+D13-VLOOKUP(A13,'[4]B2B Red'!$C:$FG,MATCH($A$3,'[4]B2B Red'!$CV$6:$EE$6,0)+99,0)</f>
        <v>4.9999999999999996E-2</v>
      </c>
      <c r="L15" s="634"/>
      <c r="N15" s="630" t="str">
        <f>+IF((ROUND(F15-HLOOKUP(F$7,[2]FIAT!$F$7:$G$86,MATCH($A13,[2]FIAT!$A$7:$A$86,0)+2,0),3))*100=0,"ISO",(F15-HLOOKUP(F$7,[2]FIAT!$F$7:$G$86,MATCH($A13,[2]FIAT!$A$7:$A$86,0)+2,0))*100)</f>
        <v>ISO</v>
      </c>
      <c r="O15" s="631" t="str">
        <f>IF((ROUND(G15-HLOOKUP(G$7,[2]FIAT!$F$7:$G$86,MATCH($A13,[2]FIAT!$A$7:$A$86,0)+2,0),3))*100=0,"ISO",(G15-HLOOKUP(G$7,[2]FIAT!$F$7:$G$86,MATCH($A13,[2]FIAT!$A$7:$A$86,0)+2,0))*100)</f>
        <v>ISO</v>
      </c>
      <c r="P15" s="631" t="str">
        <f>IF((ROUND(K15-HLOOKUP(K$7,[2]FIAT!$K$7:$L$86,MATCH($A13,[2]FIAT!$A$7:$A$86,0)+2,0),3))*100=0,"ISO",(K15-HLOOKUP(K$7,[2]FIAT!$K$7:$L$86,MATCH($A13,[2]FIAT!$A$7:$A$86,0)+2,0))*100)</f>
        <v>ISO</v>
      </c>
    </row>
    <row r="16" spans="1:16" ht="18" customHeight="1" x14ac:dyDescent="0.2">
      <c r="B16" s="604"/>
      <c r="C16" s="605"/>
      <c r="D16" s="606"/>
      <c r="E16" s="608"/>
      <c r="F16" s="608"/>
      <c r="G16" s="608"/>
      <c r="H16" s="608"/>
      <c r="I16" s="608"/>
      <c r="J16" s="608"/>
      <c r="K16" s="609"/>
      <c r="L16" s="634"/>
    </row>
    <row r="17" spans="2:12" ht="18" customHeight="1" x14ac:dyDescent="0.2">
      <c r="B17" s="645"/>
      <c r="C17" s="646"/>
      <c r="D17" s="647"/>
      <c r="E17" s="648"/>
      <c r="F17" s="648"/>
      <c r="G17" s="648"/>
      <c r="H17" s="648"/>
      <c r="I17" s="648"/>
      <c r="J17" s="648"/>
      <c r="K17" s="649"/>
      <c r="L17" s="650"/>
    </row>
    <row r="18" spans="2:12" ht="15" hidden="1" customHeight="1" x14ac:dyDescent="0.2">
      <c r="F18" s="653"/>
      <c r="G18" s="654"/>
    </row>
  </sheetData>
  <mergeCells count="12">
    <mergeCell ref="N7:N8"/>
    <mergeCell ref="O7:O8"/>
    <mergeCell ref="P7:P8"/>
    <mergeCell ref="C3:K4"/>
    <mergeCell ref="C6:E7"/>
    <mergeCell ref="F6:G6"/>
    <mergeCell ref="H6:I6"/>
    <mergeCell ref="F7:F8"/>
    <mergeCell ref="G7:G8"/>
    <mergeCell ref="H7:H8"/>
    <mergeCell ref="I7:I8"/>
    <mergeCell ref="K7:K8"/>
  </mergeCells>
  <printOptions horizontalCentered="1"/>
  <pageMargins left="0.70866141732283472" right="0.70866141732283472" top="0.74803149606299213" bottom="0.74803149606299213" header="0.31496062992125984" footer="0.31496062992125984"/>
  <pageSetup scale="62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E01F3BA-AF68-4365-B44D-B66EF613E476}">
          <x14:formula1>
            <xm:f>MES!$B$2:$B$13</xm:f>
          </x14:formula1>
          <xm:sqref>A3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856EE-DB40-49EB-9E7C-7C77C89FD99B}">
  <dimension ref="B2:B13"/>
  <sheetViews>
    <sheetView workbookViewId="0">
      <selection activeCell="B2" sqref="B2:B13"/>
    </sheetView>
  </sheetViews>
  <sheetFormatPr baseColWidth="10" defaultRowHeight="12.75" x14ac:dyDescent="0.2"/>
  <sheetData>
    <row r="2" spans="2:2" x14ac:dyDescent="0.2">
      <c r="B2" s="2" t="s">
        <v>13</v>
      </c>
    </row>
    <row r="3" spans="2:2" x14ac:dyDescent="0.2">
      <c r="B3" s="2" t="s">
        <v>14</v>
      </c>
    </row>
    <row r="4" spans="2:2" x14ac:dyDescent="0.2">
      <c r="B4" s="2" t="s">
        <v>15</v>
      </c>
    </row>
    <row r="5" spans="2:2" x14ac:dyDescent="0.2">
      <c r="B5" s="2" t="s">
        <v>16</v>
      </c>
    </row>
    <row r="6" spans="2:2" x14ac:dyDescent="0.2">
      <c r="B6" s="2" t="s">
        <v>17</v>
      </c>
    </row>
    <row r="7" spans="2:2" x14ac:dyDescent="0.2">
      <c r="B7" s="2" t="s">
        <v>18</v>
      </c>
    </row>
    <row r="8" spans="2:2" x14ac:dyDescent="0.2">
      <c r="B8" s="2" t="s">
        <v>19</v>
      </c>
    </row>
    <row r="9" spans="2:2" x14ac:dyDescent="0.2">
      <c r="B9" s="2" t="s">
        <v>20</v>
      </c>
    </row>
    <row r="10" spans="2:2" x14ac:dyDescent="0.2">
      <c r="B10" s="2" t="s">
        <v>21</v>
      </c>
    </row>
    <row r="11" spans="2:2" x14ac:dyDescent="0.2">
      <c r="B11" s="2" t="s">
        <v>22</v>
      </c>
    </row>
    <row r="12" spans="2:2" x14ac:dyDescent="0.2">
      <c r="B12" s="2" t="s">
        <v>23</v>
      </c>
    </row>
    <row r="13" spans="2:2" x14ac:dyDescent="0.2">
      <c r="B13" s="2" t="s">
        <v>24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16AF0FE4E9F64C9FC9589AA365C574" ma:contentTypeVersion="15" ma:contentTypeDescription="Create a new document." ma:contentTypeScope="" ma:versionID="15ee85c2526433b635e3fcc67f9e76f1">
  <xsd:schema xmlns:xsd="http://www.w3.org/2001/XMLSchema" xmlns:xs="http://www.w3.org/2001/XMLSchema" xmlns:p="http://schemas.microsoft.com/office/2006/metadata/properties" xmlns:ns2="55287ef3-d835-4936-bb6f-381c5a8f8fc4" xmlns:ns3="7c8b3300-50d1-4f26-8e59-ad83ef287955" targetNamespace="http://schemas.microsoft.com/office/2006/metadata/properties" ma:root="true" ma:fieldsID="2f58115d231ae33be98b0677566ae6cb" ns2:_="" ns3:_="">
    <xsd:import namespace="55287ef3-d835-4936-bb6f-381c5a8f8fc4"/>
    <xsd:import namespace="7c8b3300-50d1-4f26-8e59-ad83ef2879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287ef3-d835-4936-bb6f-381c5a8f8f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247bebf-ce0e-4fa1-bae7-748a1283d6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8b3300-50d1-4f26-8e59-ad83ef28795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b4145c4-41c7-4a8b-a70d-51bc93dc9323}" ma:internalName="TaxCatchAll" ma:showField="CatchAllData" ma:web="7c8b3300-50d1-4f26-8e59-ad83ef2879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c8b3300-50d1-4f26-8e59-ad83ef287955" xsi:nil="true"/>
    <lcf76f155ced4ddcb4097134ff3c332f xmlns="55287ef3-d835-4936-bb6f-381c5a8f8fc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3F5D6A-C153-413F-A43F-3E42816558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239012-EF60-47BA-BD07-A77D0F8778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287ef3-d835-4936-bb6f-381c5a8f8fc4"/>
    <ds:schemaRef ds:uri="7c8b3300-50d1-4f26-8e59-ad83ef2879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CF6EC3-ABAA-4E63-9C03-43896314F9B7}">
  <ds:schemaRefs>
    <ds:schemaRef ds:uri="http://schemas.microsoft.com/office/2006/metadata/properties"/>
    <ds:schemaRef ds:uri="http://schemas.microsoft.com/office/infopath/2007/PartnerControls"/>
    <ds:schemaRef ds:uri="7c8b3300-50d1-4f26-8e59-ad83ef287955"/>
    <ds:schemaRef ds:uri="55287ef3-d835-4936-bb6f-381c5a8f8fc4"/>
  </ds:schemaRefs>
</ds:datastoreItem>
</file>

<file path=docMetadata/LabelInfo.xml><?xml version="1.0" encoding="utf-8"?>
<clbl:labelList xmlns:clbl="http://schemas.microsoft.com/office/2020/mipLabelMetadata">
  <clbl:label id="{2fd53d93-3f4c-4b90-b511-bd6bdbb4fba9}" enabled="1" method="Standard" siteId="{d852d5cd-724c-4128-8812-ffa5db3f850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7</vt:i4>
      </vt:variant>
    </vt:vector>
  </HeadingPairs>
  <TitlesOfParts>
    <vt:vector size="15" baseType="lpstr">
      <vt:lpstr>Peugeot</vt:lpstr>
      <vt:lpstr>RAM</vt:lpstr>
      <vt:lpstr>Citroën</vt:lpstr>
      <vt:lpstr>Opel</vt:lpstr>
      <vt:lpstr>Jeep</vt:lpstr>
      <vt:lpstr>Leapmotor</vt:lpstr>
      <vt:lpstr>FIAT</vt:lpstr>
      <vt:lpstr>MES</vt:lpstr>
      <vt:lpstr>Citroën!Área_de_impresión</vt:lpstr>
      <vt:lpstr>FIAT!Área_de_impresión</vt:lpstr>
      <vt:lpstr>Jeep!Área_de_impresión</vt:lpstr>
      <vt:lpstr>Leapmotor!Área_de_impresión</vt:lpstr>
      <vt:lpstr>Opel!Área_de_impresión</vt:lpstr>
      <vt:lpstr>Peugeot!Área_de_impresión</vt:lpstr>
      <vt:lpstr>RAM!Área_de_impresión</vt:lpstr>
    </vt:vector>
  </TitlesOfParts>
  <Manager/>
  <Company>PSA PEUGEOT CITROEN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Cannoni</dc:creator>
  <cp:keywords/>
  <dc:description/>
  <cp:lastModifiedBy>CAMILA GOMEZ</cp:lastModifiedBy>
  <cp:revision/>
  <cp:lastPrinted>2025-12-23T01:41:27Z</cp:lastPrinted>
  <dcterms:created xsi:type="dcterms:W3CDTF">2008-05-09T17:08:08Z</dcterms:created>
  <dcterms:modified xsi:type="dcterms:W3CDTF">2026-05-29T20:38:11Z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2fd53d93-3f4c-4b90-b511-bd6bdbb4fba9_Enabled">
    <vt:lpwstr>true</vt:lpwstr>
  </property>
  <property fmtid="{D5CDD505-2E9C-101B-9397-08002B2CF9AE}" pid="4" name="MSIP_Label_2fd53d93-3f4c-4b90-b511-bd6bdbb4fba9_SetDate">
    <vt:lpwstr>2020-12-31T12:05:27Z</vt:lpwstr>
  </property>
  <property fmtid="{D5CDD505-2E9C-101B-9397-08002B2CF9AE}" pid="5" name="MSIP_Label_2fd53d93-3f4c-4b90-b511-bd6bdbb4fba9_Method">
    <vt:lpwstr>Standard</vt:lpwstr>
  </property>
  <property fmtid="{D5CDD505-2E9C-101B-9397-08002B2CF9AE}" pid="6" name="MSIP_Label_2fd53d93-3f4c-4b90-b511-bd6bdbb4fba9_Name">
    <vt:lpwstr>2fd53d93-3f4c-4b90-b511-bd6bdbb4fba9</vt:lpwstr>
  </property>
  <property fmtid="{D5CDD505-2E9C-101B-9397-08002B2CF9AE}" pid="7" name="MSIP_Label_2fd53d93-3f4c-4b90-b511-bd6bdbb4fba9_SiteId">
    <vt:lpwstr>d852d5cd-724c-4128-8812-ffa5db3f8507</vt:lpwstr>
  </property>
  <property fmtid="{D5CDD505-2E9C-101B-9397-08002B2CF9AE}" pid="8" name="MSIP_Label_2fd53d93-3f4c-4b90-b511-bd6bdbb4fba9_ActionId">
    <vt:lpwstr/>
  </property>
  <property fmtid="{D5CDD505-2E9C-101B-9397-08002B2CF9AE}" pid="9" name="MSIP_Label_2fd53d93-3f4c-4b90-b511-bd6bdbb4fba9_ContentBits">
    <vt:lpwstr>0</vt:lpwstr>
  </property>
  <property fmtid="{D5CDD505-2E9C-101B-9397-08002B2CF9AE}" pid="10" name="ContentTypeId">
    <vt:lpwstr>0x010100EF16AF0FE4E9F64C9FC9589AA365C574</vt:lpwstr>
  </property>
  <property fmtid="{D5CDD505-2E9C-101B-9397-08002B2CF9AE}" pid="11" name="MediaServiceImageTags">
    <vt:lpwstr/>
  </property>
</Properties>
</file>