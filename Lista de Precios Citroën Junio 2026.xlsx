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yko\Desktop\Calculadora Ventas\"/>
    </mc:Choice>
  </mc:AlternateContent>
  <xr:revisionPtr revIDLastSave="0" documentId="13_ncr:1_{78D66085-58C8-4BE6-BE34-414356C946F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ASAJEROS" sheetId="8" r:id="rId1"/>
    <sheet name="COMERCIALES" sheetId="11" r:id="rId2"/>
    <sheet name="Trámites PreInscripciones" sheetId="13" r:id="rId3"/>
    <sheet name="MESES" sheetId="10" state="hidden" r:id="rId4"/>
  </sheets>
  <externalReferences>
    <externalReference r:id="rId5"/>
  </externalReferences>
  <definedNames>
    <definedName name="_xlnm._FilterDatabase" localSheetId="1" hidden="1">COMERCIALES!$C$8:$G$14</definedName>
    <definedName name="_xlnm._FilterDatabase" localSheetId="0" hidden="1">PASAJEROS!$C$8:$G$38</definedName>
    <definedName name="_xlnm._FilterDatabase" localSheetId="2" hidden="1">'Trámites PreInscripciones'!$B$8:$E$26</definedName>
    <definedName name="_xlnm.Print_Area" localSheetId="1">COMERCIALES!$B$2:$AF$14</definedName>
    <definedName name="_xlnm.Print_Area" localSheetId="0">PASAJEROS!$B$2:$Z$38</definedName>
    <definedName name="_xlnm.Print_Area" localSheetId="2">'Trámites PreInscripciones'!$A$1:$J$26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8" i="8" l="1"/>
  <c r="AA37" i="8"/>
  <c r="AA30" i="8"/>
  <c r="AA29" i="8"/>
  <c r="AA28" i="8"/>
  <c r="AA27" i="8"/>
  <c r="AA26" i="8"/>
  <c r="AA23" i="8"/>
  <c r="AA22" i="8"/>
  <c r="AA19" i="8"/>
  <c r="AA16" i="8"/>
  <c r="AA15" i="8"/>
  <c r="AA14" i="8"/>
  <c r="AA13" i="8"/>
  <c r="AA12" i="8"/>
  <c r="AG13" i="8" l="1"/>
  <c r="AH13" i="8" s="1"/>
  <c r="H13" i="8"/>
  <c r="AG15" i="8" l="1"/>
  <c r="AH15" i="8" s="1"/>
  <c r="H15" i="8"/>
  <c r="AE25" i="11" l="1"/>
  <c r="AE24" i="11"/>
  <c r="AE23" i="11"/>
  <c r="AE20" i="11"/>
  <c r="AE19" i="11"/>
  <c r="AE16" i="11"/>
  <c r="AE13" i="11"/>
  <c r="AE12" i="11"/>
  <c r="O7" i="11" l="1"/>
  <c r="E3" i="11" l="1"/>
  <c r="E4" i="11" l="1"/>
  <c r="H33" i="8"/>
  <c r="AG33" i="8"/>
  <c r="AH33" i="8" s="1"/>
  <c r="AG19" i="11" l="1"/>
  <c r="AG13" i="11"/>
  <c r="AG16" i="11"/>
  <c r="AG12" i="11"/>
  <c r="AG20" i="11"/>
  <c r="AG25" i="11"/>
  <c r="AG24" i="11"/>
  <c r="AG23" i="11"/>
  <c r="G24" i="11" l="1"/>
  <c r="AL24" i="11" s="1"/>
  <c r="AM24" i="11" s="1"/>
  <c r="G25" i="11"/>
  <c r="AL25" i="11" s="1"/>
  <c r="AM25" i="11" s="1"/>
  <c r="K17" i="11"/>
  <c r="G23" i="11"/>
  <c r="AL23" i="11" s="1"/>
  <c r="AM23" i="11" s="1"/>
  <c r="G20" i="11"/>
  <c r="AL20" i="11" l="1"/>
  <c r="AM20" i="11" s="1"/>
  <c r="H19" i="8"/>
  <c r="AG19" i="8"/>
  <c r="AH19" i="8" s="1"/>
  <c r="H29" i="8" l="1"/>
  <c r="AG29" i="8"/>
  <c r="AH29" i="8" s="1"/>
  <c r="G13" i="11"/>
  <c r="H16" i="8"/>
  <c r="AG16" i="8"/>
  <c r="AH16" i="8" s="1"/>
  <c r="H30" i="8"/>
  <c r="AG30" i="8"/>
  <c r="AH30" i="8" s="1"/>
  <c r="H37" i="8"/>
  <c r="AG37" i="8"/>
  <c r="AH37" i="8" s="1"/>
  <c r="G12" i="11"/>
  <c r="AG27" i="8"/>
  <c r="AH27" i="8" s="1"/>
  <c r="H27" i="8"/>
  <c r="H34" i="8"/>
  <c r="AG34" i="8"/>
  <c r="AH34" i="8" s="1"/>
  <c r="G16" i="11"/>
  <c r="H22" i="8"/>
  <c r="AG22" i="8"/>
  <c r="AH22" i="8" s="1"/>
  <c r="AG28" i="8"/>
  <c r="AH28" i="8" s="1"/>
  <c r="H28" i="8"/>
  <c r="AG12" i="8"/>
  <c r="AH12" i="8" s="1"/>
  <c r="H12" i="8"/>
  <c r="H14" i="8"/>
  <c r="AG14" i="8"/>
  <c r="AH14" i="8" s="1"/>
  <c r="H23" i="8"/>
  <c r="AG23" i="8"/>
  <c r="AH23" i="8" s="1"/>
  <c r="AG26" i="8"/>
  <c r="AH26" i="8" s="1"/>
  <c r="H26" i="8"/>
  <c r="H38" i="8"/>
  <c r="AG38" i="8"/>
  <c r="AH38" i="8" s="1"/>
  <c r="G19" i="11" l="1"/>
  <c r="AL16" i="11"/>
  <c r="AM16" i="11" s="1"/>
  <c r="AL13" i="11"/>
  <c r="AM13" i="11" s="1"/>
  <c r="AL12" i="11"/>
  <c r="AM12" i="11" s="1"/>
  <c r="AL19" i="11" l="1"/>
  <c r="AM19" i="11" s="1"/>
  <c r="O33" i="8" l="1"/>
  <c r="S34" i="8"/>
  <c r="Y34" i="8"/>
  <c r="U33" i="8"/>
  <c r="S33" i="8" l="1"/>
  <c r="Y33" i="8"/>
  <c r="M34" i="8" l="1"/>
  <c r="K34" i="8"/>
  <c r="J33" i="8"/>
  <c r="K33" i="8" l="1"/>
  <c r="L33" i="8" s="1"/>
  <c r="Q33" i="8" s="1"/>
  <c r="W33" i="8" s="1"/>
  <c r="M33" i="8"/>
  <c r="L34" i="8"/>
  <c r="Q34" i="8" s="1"/>
  <c r="W34" i="8" s="1"/>
  <c r="P34" i="8"/>
  <c r="V34" i="8"/>
  <c r="R34" i="8" l="1"/>
  <c r="X34" i="8"/>
  <c r="V33" i="8"/>
  <c r="X33" i="8" s="1"/>
  <c r="P33" i="8"/>
  <c r="R33" i="8" s="1"/>
  <c r="K30" i="8" l="1"/>
  <c r="M30" i="8"/>
  <c r="AB30" i="8" s="1"/>
  <c r="L30" i="8" l="1"/>
  <c r="Q30" i="8" s="1"/>
  <c r="W30" i="8" s="1"/>
  <c r="V30" i="8"/>
  <c r="P30" i="8"/>
  <c r="M19" i="8" l="1"/>
  <c r="AB19" i="8" s="1"/>
  <c r="K19" i="8"/>
  <c r="L19" i="8" s="1"/>
  <c r="Q19" i="8" s="1"/>
  <c r="W19" i="8" s="1"/>
  <c r="L23" i="11" l="1"/>
  <c r="S23" i="11" s="1"/>
  <c r="O23" i="11"/>
  <c r="J23" i="11"/>
  <c r="N23" i="11" s="1"/>
  <c r="M12" i="8"/>
  <c r="AB12" i="8" s="1"/>
  <c r="K12" i="8"/>
  <c r="K14" i="8"/>
  <c r="M14" i="8"/>
  <c r="AB14" i="8" s="1"/>
  <c r="M15" i="8"/>
  <c r="AB15" i="8" s="1"/>
  <c r="K15" i="8"/>
  <c r="M27" i="8"/>
  <c r="AB27" i="8" s="1"/>
  <c r="K27" i="8"/>
  <c r="V19" i="8"/>
  <c r="P19" i="8"/>
  <c r="K13" i="8"/>
  <c r="L13" i="8" s="1"/>
  <c r="Q13" i="8" s="1"/>
  <c r="W13" i="8" s="1"/>
  <c r="M13" i="8"/>
  <c r="AB13" i="8" s="1"/>
  <c r="K28" i="8"/>
  <c r="M28" i="8"/>
  <c r="AB28" i="8" s="1"/>
  <c r="O16" i="11"/>
  <c r="L16" i="11"/>
  <c r="S16" i="11" s="1"/>
  <c r="J16" i="11"/>
  <c r="N16" i="11" s="1"/>
  <c r="K23" i="8"/>
  <c r="M23" i="8"/>
  <c r="AB23" i="8" s="1"/>
  <c r="J25" i="11"/>
  <c r="N25" i="11" s="1"/>
  <c r="O25" i="11"/>
  <c r="L25" i="11"/>
  <c r="S25" i="11" s="1"/>
  <c r="M25" i="11"/>
  <c r="T25" i="11" s="1"/>
  <c r="J19" i="11"/>
  <c r="N19" i="11" s="1"/>
  <c r="O19" i="11"/>
  <c r="L19" i="11"/>
  <c r="S19" i="11" s="1"/>
  <c r="K16" i="8"/>
  <c r="L16" i="8" s="1"/>
  <c r="Q16" i="8" s="1"/>
  <c r="W16" i="8" s="1"/>
  <c r="M16" i="8"/>
  <c r="AB16" i="8" s="1"/>
  <c r="O12" i="11"/>
  <c r="J12" i="11"/>
  <c r="N12" i="11" s="1"/>
  <c r="L12" i="11"/>
  <c r="S12" i="11" s="1"/>
  <c r="M26" i="8"/>
  <c r="AB26" i="8" s="1"/>
  <c r="K26" i="8"/>
  <c r="K29" i="8"/>
  <c r="L29" i="8" s="1"/>
  <c r="Q29" i="8" s="1"/>
  <c r="W29" i="8" s="1"/>
  <c r="M29" i="8"/>
  <c r="AB29" i="8" s="1"/>
  <c r="M16" i="11" l="1"/>
  <c r="T16" i="11" s="1"/>
  <c r="M19" i="11"/>
  <c r="T19" i="11" s="1"/>
  <c r="M12" i="11"/>
  <c r="T12" i="11" s="1"/>
  <c r="V12" i="8"/>
  <c r="P12" i="8"/>
  <c r="V28" i="8"/>
  <c r="P28" i="8"/>
  <c r="AH23" i="11"/>
  <c r="AP23" i="11"/>
  <c r="J13" i="11"/>
  <c r="N13" i="11" s="1"/>
  <c r="L13" i="11"/>
  <c r="S13" i="11" s="1"/>
  <c r="O13" i="11"/>
  <c r="AH12" i="11"/>
  <c r="AP12" i="11"/>
  <c r="AH25" i="11"/>
  <c r="AP25" i="11"/>
  <c r="L15" i="8"/>
  <c r="Q15" i="8" s="1"/>
  <c r="W15" i="8" s="1"/>
  <c r="P15" i="8"/>
  <c r="V15" i="8"/>
  <c r="M22" i="8"/>
  <c r="AB22" i="8" s="1"/>
  <c r="K22" i="8"/>
  <c r="L22" i="8" s="1"/>
  <c r="Q22" i="8" s="1"/>
  <c r="W22" i="8" s="1"/>
  <c r="J24" i="11"/>
  <c r="N24" i="11" s="1"/>
  <c r="O24" i="11"/>
  <c r="L24" i="11"/>
  <c r="S24" i="11" s="1"/>
  <c r="P16" i="8"/>
  <c r="V16" i="8"/>
  <c r="V13" i="8"/>
  <c r="P13" i="8"/>
  <c r="O20" i="11"/>
  <c r="J20" i="11"/>
  <c r="N20" i="11" s="1"/>
  <c r="L20" i="11"/>
  <c r="S20" i="11" s="1"/>
  <c r="L26" i="8"/>
  <c r="Q26" i="8" s="1"/>
  <c r="W26" i="8" s="1"/>
  <c r="P26" i="8"/>
  <c r="V26" i="8"/>
  <c r="L23" i="8"/>
  <c r="Q23" i="8" s="1"/>
  <c r="W23" i="8" s="1"/>
  <c r="V23" i="8"/>
  <c r="P23" i="8"/>
  <c r="AH16" i="11"/>
  <c r="AP16" i="11"/>
  <c r="L14" i="8"/>
  <c r="Q14" i="8" s="1"/>
  <c r="W14" i="8" s="1"/>
  <c r="V14" i="8"/>
  <c r="P14" i="8"/>
  <c r="M38" i="8"/>
  <c r="AB38" i="8" s="1"/>
  <c r="K38" i="8"/>
  <c r="L38" i="8" s="1"/>
  <c r="Q38" i="8" s="1"/>
  <c r="W38" i="8" s="1"/>
  <c r="K37" i="8"/>
  <c r="L37" i="8" s="1"/>
  <c r="Q37" i="8" s="1"/>
  <c r="W37" i="8" s="1"/>
  <c r="M37" i="8"/>
  <c r="AB37" i="8" s="1"/>
  <c r="P29" i="8"/>
  <c r="V29" i="8"/>
  <c r="AH19" i="11"/>
  <c r="AP19" i="11"/>
  <c r="L28" i="8"/>
  <c r="Q28" i="8" s="1"/>
  <c r="W28" i="8" s="1"/>
  <c r="L27" i="8"/>
  <c r="Q27" i="8" s="1"/>
  <c r="W27" i="8" s="1"/>
  <c r="P27" i="8"/>
  <c r="V27" i="8"/>
  <c r="L12" i="8"/>
  <c r="Q12" i="8" s="1"/>
  <c r="W12" i="8" s="1"/>
  <c r="M23" i="11"/>
  <c r="T23" i="11" s="1"/>
  <c r="AH24" i="11" l="1"/>
  <c r="AP24" i="11"/>
  <c r="V37" i="8"/>
  <c r="P37" i="8"/>
  <c r="M20" i="11"/>
  <c r="T20" i="11" s="1"/>
  <c r="P22" i="8"/>
  <c r="V22" i="8"/>
  <c r="V38" i="8"/>
  <c r="P38" i="8"/>
  <c r="M24" i="11"/>
  <c r="T24" i="11" s="1"/>
  <c r="M13" i="11"/>
  <c r="T13" i="11" s="1"/>
  <c r="AH20" i="11"/>
  <c r="AP20" i="11"/>
  <c r="AH13" i="11"/>
  <c r="AP13" i="11"/>
  <c r="X16" i="8" l="1"/>
  <c r="Y16" i="8"/>
  <c r="AD16" i="8" s="1"/>
  <c r="S14" i="8"/>
  <c r="AC14" i="8" s="1"/>
  <c r="R14" i="8"/>
  <c r="S15" i="8"/>
  <c r="AC15" i="8" s="1"/>
  <c r="R15" i="8"/>
  <c r="Y14" i="8" l="1"/>
  <c r="AD14" i="8" s="1"/>
  <c r="X14" i="8"/>
  <c r="X15" i="8"/>
  <c r="Y15" i="8"/>
  <c r="AD15" i="8" s="1"/>
  <c r="R16" i="8" l="1"/>
  <c r="S16" i="8"/>
  <c r="AC16" i="8" s="1"/>
  <c r="S12" i="8" l="1"/>
  <c r="AC12" i="8" s="1"/>
  <c r="R12" i="8"/>
  <c r="Y12" i="8"/>
  <c r="AD12" i="8" s="1"/>
  <c r="X12" i="8"/>
  <c r="Y13" i="8"/>
  <c r="AD13" i="8" s="1"/>
  <c r="X13" i="8"/>
  <c r="S13" i="8"/>
  <c r="AC13" i="8" s="1"/>
  <c r="R13" i="8"/>
  <c r="X30" i="8" l="1"/>
  <c r="Y30" i="8"/>
  <c r="AD30" i="8" s="1"/>
  <c r="S30" i="8"/>
  <c r="AC30" i="8" s="1"/>
  <c r="R30" i="8"/>
  <c r="R28" i="8" l="1"/>
  <c r="S28" i="8"/>
  <c r="AC28" i="8" s="1"/>
  <c r="S29" i="8"/>
  <c r="AC29" i="8" s="1"/>
  <c r="R29" i="8"/>
  <c r="R26" i="8"/>
  <c r="S26" i="8"/>
  <c r="AC26" i="8" s="1"/>
  <c r="S27" i="8"/>
  <c r="AC27" i="8" s="1"/>
  <c r="R27" i="8"/>
  <c r="Y26" i="8" l="1"/>
  <c r="AD26" i="8" s="1"/>
  <c r="X26" i="8"/>
  <c r="W25" i="11"/>
  <c r="Q25" i="11"/>
  <c r="V25" i="11" s="1"/>
  <c r="U25" i="11"/>
  <c r="U23" i="11"/>
  <c r="Q23" i="11"/>
  <c r="V23" i="11" s="1"/>
  <c r="W23" i="11"/>
  <c r="Q24" i="11"/>
  <c r="V24" i="11" s="1"/>
  <c r="U24" i="11"/>
  <c r="W24" i="11"/>
  <c r="S37" i="8"/>
  <c r="AC37" i="8" s="1"/>
  <c r="R37" i="8"/>
  <c r="W16" i="11"/>
  <c r="Q16" i="11"/>
  <c r="V16" i="11" s="1"/>
  <c r="U16" i="11"/>
  <c r="S22" i="8"/>
  <c r="AC22" i="8" s="1"/>
  <c r="R22" i="8"/>
  <c r="U20" i="11"/>
  <c r="Q20" i="11"/>
  <c r="V20" i="11" s="1"/>
  <c r="W20" i="11"/>
  <c r="X28" i="8"/>
  <c r="Y28" i="8"/>
  <c r="AD28" i="8" s="1"/>
  <c r="S38" i="8"/>
  <c r="AC38" i="8" s="1"/>
  <c r="R38" i="8"/>
  <c r="R19" i="8"/>
  <c r="S19" i="8"/>
  <c r="AC19" i="8" s="1"/>
  <c r="U19" i="11"/>
  <c r="W19" i="11"/>
  <c r="Q19" i="11"/>
  <c r="V19" i="11" s="1"/>
  <c r="Q13" i="11"/>
  <c r="V13" i="11" s="1"/>
  <c r="W13" i="11"/>
  <c r="U13" i="11"/>
  <c r="Y27" i="8"/>
  <c r="AD27" i="8" s="1"/>
  <c r="X27" i="8"/>
  <c r="S23" i="8"/>
  <c r="AC23" i="8" s="1"/>
  <c r="R23" i="8"/>
  <c r="W12" i="11"/>
  <c r="Q12" i="11"/>
  <c r="V12" i="11" s="1"/>
  <c r="U12" i="11"/>
  <c r="X37" i="8" l="1"/>
  <c r="Y37" i="8"/>
  <c r="AD37" i="8" s="1"/>
  <c r="AI20" i="11"/>
  <c r="AR20" i="11"/>
  <c r="AI25" i="11"/>
  <c r="AR25" i="11"/>
  <c r="X23" i="8"/>
  <c r="Y23" i="8"/>
  <c r="AD23" i="8" s="1"/>
  <c r="AI24" i="11"/>
  <c r="AR24" i="11"/>
  <c r="AI23" i="11"/>
  <c r="AR23" i="11"/>
  <c r="X29" i="8"/>
  <c r="Y29" i="8"/>
  <c r="AD29" i="8" s="1"/>
  <c r="Y22" i="8"/>
  <c r="AD22" i="8" s="1"/>
  <c r="X22" i="8"/>
  <c r="X19" i="8"/>
  <c r="Y19" i="8"/>
  <c r="AD19" i="8" s="1"/>
  <c r="AI13" i="11"/>
  <c r="AR13" i="11"/>
  <c r="AI16" i="11"/>
  <c r="AR16" i="11"/>
  <c r="AI12" i="11"/>
  <c r="AR12" i="11"/>
  <c r="X38" i="8"/>
  <c r="Y38" i="8"/>
  <c r="AD38" i="8" s="1"/>
  <c r="AI19" i="11"/>
  <c r="AR19" i="11"/>
</calcChain>
</file>

<file path=xl/sharedStrings.xml><?xml version="1.0" encoding="utf-8"?>
<sst xmlns="http://schemas.openxmlformats.org/spreadsheetml/2006/main" count="256" uniqueCount="164">
  <si>
    <t>CIT</t>
  </si>
  <si>
    <t>CT8284E60421S00-1</t>
  </si>
  <si>
    <t>CT8669E60622S01-7</t>
  </si>
  <si>
    <t>CT8668E60622S00-8</t>
  </si>
  <si>
    <t>CT9512E60524S00-4</t>
  </si>
  <si>
    <t>CT9515E60524S00-0</t>
  </si>
  <si>
    <t>VEHÍCULOS PASAJEROS</t>
  </si>
  <si>
    <t>LISTA DE PRECIOS VEHÍCULOS NUEVOS</t>
  </si>
  <si>
    <t>LCDV</t>
  </si>
  <si>
    <t>CÓDIGO REF</t>
  </si>
  <si>
    <t>Margen Red</t>
  </si>
  <si>
    <t>Costo CE</t>
  </si>
  <si>
    <t>Factura Neta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</si>
  <si>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</si>
  <si>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</si>
  <si>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</si>
  <si>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</si>
  <si>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</si>
  <si>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</si>
  <si>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</si>
  <si>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</si>
  <si>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</si>
  <si>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</si>
  <si>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</si>
  <si>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</si>
  <si>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Tope CE</t>
  </si>
  <si>
    <t>VEHÍCULOS COMERCIALES</t>
  </si>
  <si>
    <t>N/A</t>
  </si>
  <si>
    <t>C5 Aircross</t>
  </si>
  <si>
    <t>NEW C3 Aircross</t>
  </si>
  <si>
    <t>C3</t>
  </si>
  <si>
    <t>1CSBSUDMY5N0A0B3197</t>
  </si>
  <si>
    <t>1CSBSUDMY5N0A0B3198</t>
  </si>
  <si>
    <t>1CSBSUHECMJRA0B3199</t>
  </si>
  <si>
    <t>1CSLSUEEF5J0A0B2202</t>
  </si>
  <si>
    <t>1CSLSUEEF5J0A0B2201</t>
  </si>
  <si>
    <t>1CSLSUHEF5J0A0B2203</t>
  </si>
  <si>
    <t>1CCESYVMK1JRA070193</t>
  </si>
  <si>
    <t>BERLINGO MULTISPACE MCA</t>
  </si>
  <si>
    <t>T1</t>
  </si>
  <si>
    <t>T2</t>
  </si>
  <si>
    <t>TMP</t>
  </si>
  <si>
    <t>CC</t>
  </si>
  <si>
    <t>CT9573T3C0724S00-4</t>
  </si>
  <si>
    <t>CT9422E60124S00-9</t>
  </si>
  <si>
    <t>C3 Aircross VTi 115 Feel Pack 5P</t>
  </si>
  <si>
    <t>C3 Aircross VTi 115 Feel Pack 7P</t>
  </si>
  <si>
    <t>C3 Aircross VTi 115 Shine 5P</t>
  </si>
  <si>
    <t>PRECIO LISTA</t>
  </si>
  <si>
    <t>TODO MEDIO DE PAGO</t>
  </si>
  <si>
    <t>CRÉDITO CONVENCIONAL</t>
  </si>
  <si>
    <t>COMPRA INTELIGENTE</t>
  </si>
  <si>
    <t>Costo CE C/IVA</t>
  </si>
  <si>
    <t>2CK91CNMNKJRA070208</t>
  </si>
  <si>
    <t>1CSLSUHV2ZNXA0B3237</t>
  </si>
  <si>
    <t>1CSLSUHV2ZNXA0B3241</t>
  </si>
  <si>
    <t>2CK95CNMNKJRA080208</t>
  </si>
  <si>
    <t>CT9573T3C0724S01-9</t>
  </si>
  <si>
    <t>1CCESYTMK1JRA061275</t>
  </si>
  <si>
    <t>1CK9CLSMNKJRA070269</t>
  </si>
  <si>
    <t>1CK9CLSMK1JRA070269</t>
  </si>
  <si>
    <t>KEY MCV</t>
  </si>
  <si>
    <t>C3 Puretech 82 Live Pack</t>
  </si>
  <si>
    <t>Berlingo MCA M BlueHDi 100</t>
  </si>
  <si>
    <t>Berlingo MCA XL BlueHDi 100</t>
  </si>
  <si>
    <t>BERLINGO MCA</t>
  </si>
  <si>
    <t>C3 Puretech 82 Feel</t>
  </si>
  <si>
    <t>C3 Aircross Turbo 125 CVT Shine 5P</t>
  </si>
  <si>
    <t>C3 Aircross Turbo 125 CVT Shine 7P</t>
  </si>
  <si>
    <t>Berlingo MCA Multispace XL BlueHDi 100 Feel</t>
  </si>
  <si>
    <t>Berlingo MCA Multispace XL BlueHDi 130 EAT8 Feel</t>
  </si>
  <si>
    <t>CT9509E60524S01-1</t>
  </si>
  <si>
    <t>CT9422E60225S01-2</t>
  </si>
  <si>
    <t>JUMPY MCA</t>
  </si>
  <si>
    <t>JUMPY MCA Comfort XL BlueHDi 145</t>
  </si>
  <si>
    <t>2CK0F3NWR6JRA0J0207</t>
  </si>
  <si>
    <t>CT9684E61024M00-1</t>
  </si>
  <si>
    <t>CT9509E60524S00-8</t>
  </si>
  <si>
    <t>SPACETOURER MCA</t>
  </si>
  <si>
    <t>Spacetourer MCA BlueHDi 180 EAT8 8P</t>
  </si>
  <si>
    <t>Spacetourer MCA BlueHDi 180 EAT8 9P</t>
  </si>
  <si>
    <t>CT9611E60824M00-8</t>
  </si>
  <si>
    <t>CT9611E60824M01-1</t>
  </si>
  <si>
    <t>1CK0NPQWQ1JRA0K0194</t>
  </si>
  <si>
    <t>1CK0NPQWQ1JRA0K0335</t>
  </si>
  <si>
    <t>C4 MCA</t>
  </si>
  <si>
    <t>BASALT</t>
  </si>
  <si>
    <t>Basalt Turbo 125 CVT SHINE</t>
  </si>
  <si>
    <t>C4 MCA Hybrid 136 eDCT6 Plus</t>
  </si>
  <si>
    <t>C4 MCA Hybrid 136 eDCT6 Max</t>
  </si>
  <si>
    <t>CT9692T3C1024S00-0</t>
  </si>
  <si>
    <t>1CSFA5KV2ZNXA0B0209</t>
  </si>
  <si>
    <t>1CLEA5KJHWJRA050209</t>
  </si>
  <si>
    <t>CT9861E60225S00-6</t>
  </si>
  <si>
    <t>1CLEA5NJHWJRA050210</t>
  </si>
  <si>
    <t>C3 Turbo 125 CVT You</t>
  </si>
  <si>
    <t>1CSBSUHV2ZNXB4B4000</t>
  </si>
  <si>
    <t>CT9651T3C0924S00-8</t>
  </si>
  <si>
    <t>C3 Live Pack Gasolina 82HP MT</t>
  </si>
  <si>
    <t>C3 Feel Gasolina 82HP MT</t>
  </si>
  <si>
    <t>C3 Feel Gasolina 115HP AT</t>
  </si>
  <si>
    <t>C3 YOU Turbo 125HP AT</t>
  </si>
  <si>
    <t>Basalt Shine Turbo 125HP AT</t>
  </si>
  <si>
    <t>C4 Plus Hybrid 136HP AT</t>
  </si>
  <si>
    <t>C3 Aircross Feel Pack 5P Gasolina 115HP MT</t>
  </si>
  <si>
    <t>C3 Aircross Feel Pack 7P Gasolina 115HP MT</t>
  </si>
  <si>
    <t>C3 Aircross Shine 5P Gasolina 115HP MT</t>
  </si>
  <si>
    <t>C3 Aircross Shine 5P Turbo 125HP AT</t>
  </si>
  <si>
    <t>C3 Aircross Shine 7P Turbo 125HP AT</t>
  </si>
  <si>
    <t>C5 Aircross Feel Pack Diesel 130HP AT</t>
  </si>
  <si>
    <t>C5 Aircross Shine Diesel 130HP AT</t>
  </si>
  <si>
    <t>Berlingo Multispace MCA Plus XL Diesel 100HP MT</t>
  </si>
  <si>
    <t>Berlingo Multispace MCA Plus XL Diesel 130HP AT</t>
  </si>
  <si>
    <t>Berlingo MCA M Diesel 100HP MT</t>
  </si>
  <si>
    <t>Berlingo MCA XL Diesel 100HP MT</t>
  </si>
  <si>
    <t>Jumpy MCA XL Diesel 145HP MT</t>
  </si>
  <si>
    <t>Spacetourer MCA 8P Diesel 180HP AT</t>
  </si>
  <si>
    <t>Spacetourer MCA 9P Diesel 180HP AT</t>
  </si>
  <si>
    <t>C4 Max Hybrid 136HP AT</t>
  </si>
  <si>
    <t>JUMPER MCA</t>
  </si>
  <si>
    <t>JUMPER MCA L2H2 BlueHDi</t>
  </si>
  <si>
    <t>JUMPER MCA L3H2 BlueHDi</t>
  </si>
  <si>
    <t>JUMPER MCA L4H2 BlueHDi</t>
  </si>
  <si>
    <t>Jumper MCA L3H2 Diesel 140HP MT</t>
  </si>
  <si>
    <t>Jumper MCA L4H2 Diesel 140HP MT</t>
  </si>
  <si>
    <t>CT9964E60525M00-1</t>
  </si>
  <si>
    <t>CT9964E60525M02-9</t>
  </si>
  <si>
    <t xml:space="preserve"> CT9964E60525M03-2</t>
  </si>
  <si>
    <t>Jumper MCA L2H2 Diesel 140HP MT</t>
  </si>
  <si>
    <t>2CXE3LHOK6NXA010353</t>
  </si>
  <si>
    <t>2CXE5LHOK6NXA010353</t>
  </si>
  <si>
    <t>2CXE7LHOK6NXA010354</t>
  </si>
  <si>
    <t>COSTO DE TRÁMITES PREINSCRIPCIONES</t>
  </si>
  <si>
    <t>INSCRIPCIÓN</t>
  </si>
  <si>
    <t>IMPUESTO VERDE</t>
  </si>
  <si>
    <t>ICAR 
(VALOR + IVA)</t>
  </si>
  <si>
    <t>SE COBRA A TRAVÉS DE FACTURA EXENTA</t>
  </si>
  <si>
    <t>IMPUESTO TRANSFERENCIA</t>
  </si>
  <si>
    <t>DESCUENTOS B2B</t>
  </si>
  <si>
    <t>CON IVA</t>
  </si>
  <si>
    <t>SIN IVA</t>
  </si>
  <si>
    <t>BONO CON IVA</t>
  </si>
  <si>
    <t>APORTE CE</t>
  </si>
  <si>
    <t>APORTE STELLANTIS</t>
  </si>
  <si>
    <t>PRECIO PROMO</t>
  </si>
  <si>
    <t>APORTE FINANCIERA</t>
  </si>
  <si>
    <t>BONO SIN IVA</t>
  </si>
  <si>
    <t>APORTE RED</t>
  </si>
  <si>
    <t>PRECIO CON IVA</t>
  </si>
  <si>
    <t>PRECIO SIN IVA</t>
  </si>
  <si>
    <t/>
  </si>
  <si>
    <t>∆ Precio 
Lista M-1</t>
  </si>
  <si>
    <t>∆ Precio 
TMP M-1</t>
  </si>
  <si>
    <t>∆ Precio 
CC M-1</t>
  </si>
  <si>
    <t>∆ Precio 
CI M-1</t>
  </si>
  <si>
    <t>Margen 
Red</t>
  </si>
  <si>
    <t>ISO</t>
  </si>
  <si>
    <t>C3 Feel Gasolina 96HP MT</t>
  </si>
  <si>
    <t>C3 Live Pack Gasolina 96HP MT</t>
  </si>
  <si>
    <t>1CSBSUD425J0A0B7000</t>
  </si>
  <si>
    <t>1CSBSUD425J0A0B7392</t>
  </si>
  <si>
    <t>CT10477E60326S02-0</t>
  </si>
  <si>
    <t>CT10477E60326S00-1</t>
  </si>
  <si>
    <t>Nº 06 - 2026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</si>
</sst>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 &quot;$&quot;* #,##0_ ;_ &quot;$&quot;* \-#,##0_ ;_ &quot;$&quot;* &quot;-&quot;_ ;_ @_ "/>
    <numFmt numFmtId="164" formatCode="_-* #,##0.00_-;\-* #,##0.00_-;_-* &quot;-&quot;??_-;_-@_-"/>
    <numFmt numFmtId="165" formatCode="_-* #,##0\ _P_t_s_-;\-* #,##0\ _P_t_s_-;_-* &quot;-&quot;??\ _P_t_s_-;_-@_-"/>
    <numFmt numFmtId="166" formatCode="[$-F800]dddd\,\ mmmm\ dd\,\ yyyy"/>
    <numFmt numFmtId="167" formatCode="#,##0.000"/>
    <numFmt numFmtId="168" formatCode="d\ &quot;de&quot;\ mmmm\ &quot;de&quot;\ yyyy"/>
    <numFmt numFmtId="169" formatCode="\+&quot;$&quot;#,##0;\-&quot;$&quot;#,##0"/>
    <numFmt numFmtId="170" formatCode="0.0%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itroen Type"/>
    </font>
    <font>
      <sz val="11"/>
      <name val="Citroen Type"/>
    </font>
    <font>
      <b/>
      <sz val="11"/>
      <name val="Citroen Type"/>
    </font>
    <font>
      <sz val="10"/>
      <name val="Citroen Type"/>
    </font>
    <font>
      <sz val="11"/>
      <color theme="1"/>
      <name val="Citroen Type"/>
    </font>
    <font>
      <b/>
      <sz val="16"/>
      <name val="Citroen Type"/>
    </font>
    <font>
      <b/>
      <sz val="14"/>
      <color theme="0"/>
      <name val="Citroen Type"/>
    </font>
    <font>
      <b/>
      <sz val="11"/>
      <color theme="0"/>
      <name val="Citroen Type"/>
    </font>
    <font>
      <b/>
      <sz val="10"/>
      <color theme="0"/>
      <name val="Citroen Type"/>
    </font>
    <font>
      <b/>
      <sz val="11"/>
      <color indexed="9"/>
      <name val="Citroen Type"/>
    </font>
    <font>
      <sz val="11"/>
      <color rgb="FF333333"/>
      <name val="Citroen Type"/>
    </font>
    <font>
      <b/>
      <sz val="12"/>
      <color theme="0"/>
      <name val="Citroen Type"/>
    </font>
    <font>
      <b/>
      <sz val="16"/>
      <color theme="0"/>
      <name val="Citroen Type"/>
    </font>
    <font>
      <b/>
      <sz val="18"/>
      <name val="Citroen Type"/>
    </font>
    <font>
      <sz val="12"/>
      <name val="Citroen Type"/>
    </font>
    <font>
      <sz val="11"/>
      <color theme="0"/>
      <name val="Citroen Type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itroen Type"/>
    </font>
    <font>
      <b/>
      <sz val="12"/>
      <name val="Citroen Type"/>
    </font>
    <font>
      <b/>
      <sz val="12"/>
      <color indexed="9"/>
      <name val="Citroen Type"/>
    </font>
    <font>
      <sz val="12"/>
      <color theme="1"/>
      <name val="Citroen Type"/>
    </font>
    <font>
      <sz val="12"/>
      <color theme="1"/>
      <name val="Calibri"/>
      <family val="2"/>
      <scheme val="minor"/>
    </font>
    <font>
      <b/>
      <sz val="12"/>
      <color theme="1"/>
      <name val="Citroen Type"/>
    </font>
    <font>
      <sz val="12"/>
      <color rgb="FF333333"/>
      <name val="Citroen Type"/>
    </font>
    <font>
      <sz val="16"/>
      <name val="Citroen Type"/>
    </font>
    <font>
      <sz val="13"/>
      <color theme="0"/>
      <name val="Citroen Type"/>
    </font>
    <font>
      <sz val="13"/>
      <name val="Citroen Type"/>
    </font>
    <font>
      <b/>
      <sz val="13"/>
      <color theme="0"/>
      <name val="Citroen Type"/>
    </font>
    <font>
      <b/>
      <sz val="13"/>
      <color indexed="9"/>
      <name val="Citroen Type"/>
    </font>
    <font>
      <sz val="13"/>
      <color indexed="9"/>
      <name val="Citroen Type"/>
    </font>
    <font>
      <b/>
      <sz val="13"/>
      <name val="Citroen Type"/>
    </font>
    <font>
      <sz val="13"/>
      <color rgb="FFFF0000"/>
      <name val="Citroen Type"/>
    </font>
    <font>
      <b/>
      <sz val="13"/>
      <color rgb="FFFF0000"/>
      <name val="Citroen Type"/>
    </font>
    <font>
      <b/>
      <sz val="12"/>
      <color theme="1"/>
      <name val="Calibri"/>
      <family val="2"/>
      <scheme val="minor"/>
    </font>
    <font>
      <sz val="13"/>
      <color theme="1"/>
      <name val="Citroen Type"/>
    </font>
    <font>
      <b/>
      <sz val="13"/>
      <color theme="1" tint="0.249977111117893"/>
      <name val="Citroen Type"/>
    </font>
    <font>
      <b/>
      <sz val="13"/>
      <color theme="2" tint="-0.749992370372631"/>
      <name val="Citroen Type"/>
    </font>
    <font>
      <b/>
      <sz val="12"/>
      <color theme="1" tint="0.249977111117893"/>
      <name val="Citroen Type"/>
    </font>
    <font>
      <b/>
      <sz val="13"/>
      <color indexed="9"/>
      <name val="Peugeot New Black"/>
    </font>
    <font>
      <sz val="12"/>
      <color rgb="FFFF0000"/>
      <name val="Citroen Type"/>
    </font>
    <font>
      <b/>
      <sz val="12"/>
      <color rgb="FFFF0000"/>
      <name val="Citroen Type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8196AE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/>
      <top/>
      <bottom style="thin">
        <color theme="0"/>
      </bottom>
      <diagonal/>
    </border>
    <border>
      <left/>
      <right style="medium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/>
      <bottom style="thin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theme="0"/>
      </right>
      <top/>
      <bottom/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0"/>
      </left>
      <right style="medium">
        <color theme="0"/>
      </right>
      <top/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thin">
        <color theme="0"/>
      </left>
      <right style="medium">
        <color theme="0"/>
      </right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288">
    <xf numFmtId="0" fontId="0" fillId="0" borderId="0" xfId="0"/>
    <xf numFmtId="14" fontId="4" fillId="2" borderId="0" xfId="1" applyNumberFormat="1" applyFont="1" applyFill="1" applyBorder="1" applyAlignment="1">
      <alignment horizontal="left" vertical="center"/>
    </xf>
    <xf numFmtId="165" fontId="3" fillId="2" borderId="0" xfId="1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11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12" fillId="4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center" vertical="center"/>
    </xf>
    <xf numFmtId="165" fontId="3" fillId="4" borderId="0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1" fillId="0" borderId="4" xfId="0" applyFont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0" xfId="0" applyFont="1" applyAlignment="1">
      <alignment vertical="center"/>
    </xf>
    <xf numFmtId="165" fontId="8" fillId="0" borderId="0" xfId="1" applyNumberFormat="1" applyFont="1" applyFill="1" applyBorder="1" applyAlignment="1">
      <alignment horizontal="center" vertical="center" wrapText="1"/>
    </xf>
    <xf numFmtId="165" fontId="9" fillId="0" borderId="0" xfId="1" applyNumberFormat="1" applyFont="1" applyFill="1" applyBorder="1" applyAlignment="1">
      <alignment horizontal="center" vertical="center" wrapText="1"/>
    </xf>
    <xf numFmtId="165" fontId="13" fillId="0" borderId="0" xfId="1" applyNumberFormat="1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165" fontId="13" fillId="0" borderId="19" xfId="1" applyNumberFormat="1" applyFont="1" applyFill="1" applyBorder="1" applyAlignment="1">
      <alignment horizontal="center" vertical="center" wrapText="1"/>
    </xf>
    <xf numFmtId="3" fontId="3" fillId="4" borderId="0" xfId="0" applyNumberFormat="1" applyFont="1" applyFill="1" applyAlignment="1">
      <alignment vertical="center"/>
    </xf>
    <xf numFmtId="0" fontId="20" fillId="4" borderId="0" xfId="0" applyFont="1" applyFill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21" fillId="0" borderId="2" xfId="0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16" fillId="0" borderId="20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6" fillId="4" borderId="0" xfId="0" applyFont="1" applyFill="1" applyAlignment="1">
      <alignment vertical="center"/>
    </xf>
    <xf numFmtId="42" fontId="13" fillId="4" borderId="0" xfId="3" applyFont="1" applyFill="1" applyAlignment="1">
      <alignment vertical="center"/>
    </xf>
    <xf numFmtId="0" fontId="16" fillId="0" borderId="4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165" fontId="16" fillId="2" borderId="0" xfId="1" applyNumberFormat="1" applyFont="1" applyFill="1" applyBorder="1" applyAlignment="1">
      <alignment horizontal="center" vertical="center"/>
    </xf>
    <xf numFmtId="0" fontId="16" fillId="0" borderId="19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166" fontId="21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14" fontId="21" fillId="2" borderId="0" xfId="1" applyNumberFormat="1" applyFont="1" applyFill="1" applyBorder="1" applyAlignment="1">
      <alignment horizontal="left" vertical="center"/>
    </xf>
    <xf numFmtId="0" fontId="23" fillId="0" borderId="0" xfId="0" applyFont="1" applyAlignment="1">
      <alignment vertical="center"/>
    </xf>
    <xf numFmtId="0" fontId="24" fillId="0" borderId="0" xfId="0" applyFont="1"/>
    <xf numFmtId="0" fontId="16" fillId="0" borderId="0" xfId="0" applyFont="1" applyAlignment="1">
      <alignment horizontal="left" vertical="center"/>
    </xf>
    <xf numFmtId="42" fontId="16" fillId="0" borderId="0" xfId="3" applyFont="1" applyFill="1" applyBorder="1" applyAlignment="1">
      <alignment horizontal="center" vertical="center"/>
    </xf>
    <xf numFmtId="42" fontId="21" fillId="0" borderId="0" xfId="3" applyFont="1" applyFill="1" applyBorder="1" applyAlignment="1">
      <alignment horizontal="center" vertical="center"/>
    </xf>
    <xf numFmtId="169" fontId="16" fillId="0" borderId="0" xfId="3" applyNumberFormat="1" applyFont="1" applyFill="1" applyBorder="1" applyAlignment="1">
      <alignment horizontal="center" vertical="center"/>
    </xf>
    <xf numFmtId="169" fontId="16" fillId="0" borderId="19" xfId="3" applyNumberFormat="1" applyFont="1" applyFill="1" applyBorder="1" applyAlignment="1">
      <alignment horizontal="center" vertical="center"/>
    </xf>
    <xf numFmtId="9" fontId="16" fillId="0" borderId="0" xfId="2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3" fontId="16" fillId="4" borderId="0" xfId="0" applyNumberFormat="1" applyFont="1" applyFill="1" applyAlignment="1">
      <alignment vertical="center"/>
    </xf>
    <xf numFmtId="42" fontId="13" fillId="4" borderId="0" xfId="3" applyFont="1" applyFill="1" applyBorder="1" applyAlignment="1">
      <alignment vertical="center"/>
    </xf>
    <xf numFmtId="0" fontId="26" fillId="4" borderId="0" xfId="0" applyFont="1" applyFill="1" applyAlignment="1">
      <alignment horizontal="left" vertical="center"/>
    </xf>
    <xf numFmtId="0" fontId="26" fillId="4" borderId="0" xfId="0" applyFont="1" applyFill="1" applyAlignment="1">
      <alignment horizontal="center" vertical="center"/>
    </xf>
    <xf numFmtId="165" fontId="16" fillId="4" borderId="0" xfId="1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168" fontId="21" fillId="0" borderId="0" xfId="0" applyNumberFormat="1" applyFont="1" applyAlignment="1">
      <alignment horizontal="left" vertical="center"/>
    </xf>
    <xf numFmtId="165" fontId="21" fillId="2" borderId="0" xfId="1" applyNumberFormat="1" applyFont="1" applyFill="1" applyBorder="1" applyAlignment="1">
      <alignment horizontal="center" vertical="center"/>
    </xf>
    <xf numFmtId="3" fontId="21" fillId="4" borderId="0" xfId="0" applyNumberFormat="1" applyFont="1" applyFill="1" applyAlignment="1">
      <alignment vertical="center"/>
    </xf>
    <xf numFmtId="0" fontId="21" fillId="4" borderId="0" xfId="0" applyFont="1" applyFill="1" applyAlignment="1">
      <alignment vertical="center"/>
    </xf>
    <xf numFmtId="165" fontId="21" fillId="4" borderId="0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8" fillId="4" borderId="0" xfId="0" applyFont="1" applyFill="1" applyAlignment="1">
      <alignment horizontal="center" vertical="center"/>
    </xf>
    <xf numFmtId="0" fontId="29" fillId="0" borderId="4" xfId="0" applyFont="1" applyBorder="1" applyAlignment="1">
      <alignment vertical="center"/>
    </xf>
    <xf numFmtId="0" fontId="31" fillId="0" borderId="0" xfId="1" applyNumberFormat="1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165" fontId="32" fillId="0" borderId="0" xfId="1" applyNumberFormat="1" applyFont="1" applyFill="1" applyBorder="1" applyAlignment="1">
      <alignment horizontal="center" vertical="center"/>
    </xf>
    <xf numFmtId="165" fontId="32" fillId="0" borderId="19" xfId="1" applyNumberFormat="1" applyFont="1" applyFill="1" applyBorder="1" applyAlignment="1">
      <alignment horizontal="center" vertical="center"/>
    </xf>
    <xf numFmtId="0" fontId="29" fillId="0" borderId="5" xfId="0" applyFont="1" applyBorder="1" applyAlignment="1">
      <alignment vertical="center"/>
    </xf>
    <xf numFmtId="0" fontId="29" fillId="4" borderId="0" xfId="0" applyFont="1" applyFill="1" applyAlignment="1">
      <alignment vertical="center"/>
    </xf>
    <xf numFmtId="42" fontId="30" fillId="4" borderId="0" xfId="3" applyFont="1" applyFill="1" applyAlignment="1">
      <alignment vertical="center"/>
    </xf>
    <xf numFmtId="0" fontId="29" fillId="0" borderId="10" xfId="0" applyFont="1" applyBorder="1" applyAlignment="1">
      <alignment vertical="center"/>
    </xf>
    <xf numFmtId="42" fontId="29" fillId="5" borderId="10" xfId="3" applyFont="1" applyFill="1" applyBorder="1" applyAlignment="1">
      <alignment horizontal="center" vertical="center"/>
    </xf>
    <xf numFmtId="9" fontId="29" fillId="5" borderId="10" xfId="2" applyFont="1" applyFill="1" applyBorder="1" applyAlignment="1">
      <alignment horizontal="center" vertical="center"/>
    </xf>
    <xf numFmtId="42" fontId="29" fillId="0" borderId="5" xfId="0" applyNumberFormat="1" applyFont="1" applyBorder="1" applyAlignment="1">
      <alignment vertical="center"/>
    </xf>
    <xf numFmtId="0" fontId="29" fillId="0" borderId="0" xfId="0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42" fontId="33" fillId="0" borderId="0" xfId="3" applyFont="1" applyFill="1" applyBorder="1" applyAlignment="1">
      <alignment horizontal="center" vertical="center"/>
    </xf>
    <xf numFmtId="42" fontId="29" fillId="0" borderId="0" xfId="3" applyFont="1" applyFill="1" applyBorder="1" applyAlignment="1">
      <alignment horizontal="center" vertical="center"/>
    </xf>
    <xf numFmtId="169" fontId="29" fillId="0" borderId="0" xfId="3" applyNumberFormat="1" applyFont="1" applyFill="1" applyBorder="1" applyAlignment="1">
      <alignment horizontal="center" vertical="center"/>
    </xf>
    <xf numFmtId="169" fontId="29" fillId="0" borderId="19" xfId="3" applyNumberFormat="1" applyFont="1" applyFill="1" applyBorder="1" applyAlignment="1">
      <alignment horizontal="center" vertical="center"/>
    </xf>
    <xf numFmtId="9" fontId="29" fillId="0" borderId="0" xfId="2" applyFont="1" applyFill="1" applyBorder="1" applyAlignment="1">
      <alignment horizontal="center" vertical="center"/>
    </xf>
    <xf numFmtId="42" fontId="29" fillId="5" borderId="10" xfId="4" applyFont="1" applyFill="1" applyBorder="1" applyAlignment="1">
      <alignment horizontal="center" vertical="center"/>
    </xf>
    <xf numFmtId="42" fontId="33" fillId="0" borderId="0" xfId="4" applyFont="1" applyFill="1" applyBorder="1" applyAlignment="1">
      <alignment horizontal="center" vertical="center"/>
    </xf>
    <xf numFmtId="42" fontId="29" fillId="0" borderId="0" xfId="4" applyFont="1" applyFill="1" applyBorder="1" applyAlignment="1">
      <alignment horizontal="center" vertical="center"/>
    </xf>
    <xf numFmtId="169" fontId="29" fillId="0" borderId="0" xfId="4" applyNumberFormat="1" applyFont="1" applyFill="1" applyBorder="1" applyAlignment="1">
      <alignment horizontal="center" vertical="center"/>
    </xf>
    <xf numFmtId="169" fontId="29" fillId="0" borderId="19" xfId="4" applyNumberFormat="1" applyFont="1" applyFill="1" applyBorder="1" applyAlignment="1">
      <alignment horizontal="center" vertical="center"/>
    </xf>
    <xf numFmtId="165" fontId="34" fillId="0" borderId="0" xfId="1" applyNumberFormat="1" applyFont="1" applyFill="1" applyBorder="1" applyAlignment="1">
      <alignment horizontal="center" vertical="center"/>
    </xf>
    <xf numFmtId="42" fontId="32" fillId="0" borderId="0" xfId="3" applyFont="1" applyFill="1" applyBorder="1" applyAlignment="1">
      <alignment horizontal="center" vertical="center"/>
    </xf>
    <xf numFmtId="42" fontId="32" fillId="0" borderId="19" xfId="3" applyFont="1" applyFill="1" applyBorder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29" fillId="5" borderId="8" xfId="0" applyFont="1" applyFill="1" applyBorder="1" applyAlignment="1">
      <alignment horizontal="center" vertical="center"/>
    </xf>
    <xf numFmtId="42" fontId="29" fillId="5" borderId="8" xfId="3" applyFont="1" applyFill="1" applyBorder="1" applyAlignment="1">
      <alignment horizontal="center" vertical="center"/>
    </xf>
    <xf numFmtId="42" fontId="29" fillId="5" borderId="6" xfId="3" applyFont="1" applyFill="1" applyBorder="1" applyAlignment="1">
      <alignment horizontal="center" vertical="center"/>
    </xf>
    <xf numFmtId="42" fontId="29" fillId="5" borderId="7" xfId="3" applyFont="1" applyFill="1" applyBorder="1" applyAlignment="1">
      <alignment horizontal="center" vertical="center"/>
    </xf>
    <xf numFmtId="42" fontId="33" fillId="5" borderId="8" xfId="3" applyFont="1" applyFill="1" applyBorder="1" applyAlignment="1">
      <alignment horizontal="center" vertical="center"/>
    </xf>
    <xf numFmtId="169" fontId="29" fillId="5" borderId="15" xfId="3" applyNumberFormat="1" applyFont="1" applyFill="1" applyBorder="1" applyAlignment="1">
      <alignment horizontal="center" vertical="center"/>
    </xf>
    <xf numFmtId="9" fontId="29" fillId="5" borderId="6" xfId="2" applyFont="1" applyFill="1" applyBorder="1" applyAlignment="1">
      <alignment horizontal="center" vertical="center"/>
    </xf>
    <xf numFmtId="170" fontId="29" fillId="4" borderId="0" xfId="2" applyNumberFormat="1" applyFont="1" applyFill="1" applyAlignment="1">
      <alignment horizontal="center" vertical="center"/>
    </xf>
    <xf numFmtId="9" fontId="29" fillId="4" borderId="0" xfId="0" applyNumberFormat="1" applyFont="1" applyFill="1" applyAlignment="1">
      <alignment horizontal="center" vertical="center"/>
    </xf>
    <xf numFmtId="42" fontId="29" fillId="4" borderId="0" xfId="0" applyNumberFormat="1" applyFont="1" applyFill="1" applyAlignment="1">
      <alignment vertical="center"/>
    </xf>
    <xf numFmtId="0" fontId="30" fillId="4" borderId="0" xfId="0" applyFont="1" applyFill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165" fontId="30" fillId="0" borderId="0" xfId="1" applyNumberFormat="1" applyFont="1" applyFill="1" applyBorder="1" applyAlignment="1">
      <alignment horizontal="center" vertical="center" wrapText="1"/>
    </xf>
    <xf numFmtId="165" fontId="35" fillId="0" borderId="0" xfId="1" applyNumberFormat="1" applyFont="1" applyFill="1" applyBorder="1" applyAlignment="1">
      <alignment horizontal="center" vertical="center" wrapText="1"/>
    </xf>
    <xf numFmtId="165" fontId="30" fillId="0" borderId="19" xfId="1" applyNumberFormat="1" applyFont="1" applyFill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31" fillId="4" borderId="0" xfId="0" applyFont="1" applyFill="1" applyAlignment="1">
      <alignment horizontal="center" vertical="center" wrapText="1"/>
    </xf>
    <xf numFmtId="170" fontId="31" fillId="4" borderId="0" xfId="0" applyNumberFormat="1" applyFont="1" applyFill="1" applyAlignment="1">
      <alignment horizontal="center" vertical="center" wrapText="1"/>
    </xf>
    <xf numFmtId="170" fontId="29" fillId="4" borderId="0" xfId="0" applyNumberFormat="1" applyFont="1" applyFill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42" fontId="30" fillId="4" borderId="0" xfId="3" applyFont="1" applyFill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30" fillId="3" borderId="24" xfId="0" applyFont="1" applyFill="1" applyBorder="1" applyAlignment="1">
      <alignment horizontal="center" vertical="center" wrapText="1"/>
    </xf>
    <xf numFmtId="0" fontId="29" fillId="0" borderId="24" xfId="0" applyFont="1" applyBorder="1" applyAlignment="1">
      <alignment vertical="center"/>
    </xf>
    <xf numFmtId="0" fontId="14" fillId="0" borderId="25" xfId="0" applyFont="1" applyBorder="1" applyAlignment="1">
      <alignment horizontal="center" vertical="center" wrapText="1"/>
    </xf>
    <xf numFmtId="0" fontId="30" fillId="3" borderId="25" xfId="0" applyFont="1" applyFill="1" applyBorder="1" applyAlignment="1">
      <alignment horizontal="center" vertical="center"/>
    </xf>
    <xf numFmtId="0" fontId="29" fillId="3" borderId="25" xfId="0" applyFont="1" applyFill="1" applyBorder="1" applyAlignment="1">
      <alignment horizontal="center" vertical="center"/>
    </xf>
    <xf numFmtId="0" fontId="30" fillId="0" borderId="25" xfId="0" applyFont="1" applyBorder="1" applyAlignment="1">
      <alignment horizontal="center" vertical="center" wrapText="1"/>
    </xf>
    <xf numFmtId="0" fontId="3" fillId="0" borderId="25" xfId="0" applyFont="1" applyBorder="1" applyAlignment="1">
      <alignment vertical="center"/>
    </xf>
    <xf numFmtId="0" fontId="29" fillId="0" borderId="25" xfId="0" applyFont="1" applyBorder="1" applyAlignment="1">
      <alignment vertical="center"/>
    </xf>
    <xf numFmtId="165" fontId="10" fillId="0" borderId="25" xfId="1" applyNumberFormat="1" applyFont="1" applyFill="1" applyBorder="1" applyAlignment="1">
      <alignment horizontal="center" vertical="center" wrapText="1"/>
    </xf>
    <xf numFmtId="42" fontId="32" fillId="0" borderId="25" xfId="3" applyFont="1" applyFill="1" applyBorder="1" applyAlignment="1">
      <alignment horizontal="center" vertical="center" wrapText="1"/>
    </xf>
    <xf numFmtId="42" fontId="29" fillId="0" borderId="25" xfId="3" applyFont="1" applyBorder="1" applyAlignment="1">
      <alignment horizontal="center" vertical="center" wrapText="1"/>
    </xf>
    <xf numFmtId="165" fontId="30" fillId="0" borderId="25" xfId="1" applyNumberFormat="1" applyFont="1" applyFill="1" applyBorder="1" applyAlignment="1">
      <alignment horizontal="center" vertical="center" wrapText="1"/>
    </xf>
    <xf numFmtId="42" fontId="29" fillId="0" borderId="24" xfId="3" applyFont="1" applyBorder="1" applyAlignment="1">
      <alignment horizontal="center" vertical="center" wrapText="1"/>
    </xf>
    <xf numFmtId="0" fontId="31" fillId="0" borderId="25" xfId="0" applyFont="1" applyBorder="1" applyAlignment="1">
      <alignment horizontal="center" vertical="center" wrapText="1"/>
    </xf>
    <xf numFmtId="42" fontId="33" fillId="5" borderId="11" xfId="3" applyFont="1" applyFill="1" applyBorder="1" applyAlignment="1">
      <alignment horizontal="center" vertical="center"/>
    </xf>
    <xf numFmtId="169" fontId="29" fillId="5" borderId="9" xfId="3" applyNumberFormat="1" applyFont="1" applyFill="1" applyBorder="1" applyAlignment="1">
      <alignment horizontal="center" vertical="center"/>
    </xf>
    <xf numFmtId="165" fontId="30" fillId="0" borderId="23" xfId="1" applyNumberFormat="1" applyFont="1" applyFill="1" applyBorder="1" applyAlignment="1">
      <alignment horizontal="center" vertical="center" wrapText="1"/>
    </xf>
    <xf numFmtId="42" fontId="16" fillId="0" borderId="25" xfId="3" applyFont="1" applyFill="1" applyBorder="1" applyAlignment="1">
      <alignment horizontal="center" vertical="center" wrapText="1"/>
    </xf>
    <xf numFmtId="165" fontId="32" fillId="0" borderId="25" xfId="1" applyNumberFormat="1" applyFont="1" applyFill="1" applyBorder="1" applyAlignment="1">
      <alignment horizontal="center" vertical="center" wrapText="1"/>
    </xf>
    <xf numFmtId="42" fontId="29" fillId="0" borderId="26" xfId="3" applyFont="1" applyBorder="1" applyAlignment="1">
      <alignment horizontal="center" vertical="center" wrapText="1"/>
    </xf>
    <xf numFmtId="42" fontId="29" fillId="0" borderId="25" xfId="3" applyFont="1" applyFill="1" applyBorder="1" applyAlignment="1">
      <alignment horizontal="center" vertical="center" wrapText="1"/>
    </xf>
    <xf numFmtId="42" fontId="29" fillId="0" borderId="26" xfId="4" applyFont="1" applyBorder="1" applyAlignment="1">
      <alignment horizontal="center" vertical="center" wrapText="1"/>
    </xf>
    <xf numFmtId="42" fontId="29" fillId="0" borderId="25" xfId="4" applyFont="1" applyFill="1" applyBorder="1" applyAlignment="1">
      <alignment horizontal="center" vertical="center" wrapText="1"/>
    </xf>
    <xf numFmtId="42" fontId="29" fillId="0" borderId="27" xfId="3" applyFont="1" applyBorder="1" applyAlignment="1">
      <alignment horizontal="center" vertical="center" wrapText="1"/>
    </xf>
    <xf numFmtId="42" fontId="29" fillId="5" borderId="9" xfId="3" applyFont="1" applyFill="1" applyBorder="1" applyAlignment="1">
      <alignment horizontal="center" vertical="center"/>
    </xf>
    <xf numFmtId="42" fontId="29" fillId="5" borderId="9" xfId="4" applyFont="1" applyFill="1" applyBorder="1" applyAlignment="1">
      <alignment horizontal="center" vertical="center"/>
    </xf>
    <xf numFmtId="0" fontId="16" fillId="0" borderId="25" xfId="0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29" fillId="5" borderId="11" xfId="0" applyFont="1" applyFill="1" applyBorder="1" applyAlignment="1">
      <alignment horizontal="center" vertical="center"/>
    </xf>
    <xf numFmtId="42" fontId="33" fillId="5" borderId="9" xfId="3" applyFont="1" applyFill="1" applyBorder="1" applyAlignment="1">
      <alignment horizontal="center" vertical="center"/>
    </xf>
    <xf numFmtId="42" fontId="33" fillId="5" borderId="9" xfId="4" applyFont="1" applyFill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31" fillId="0" borderId="25" xfId="1" applyNumberFormat="1" applyFont="1" applyFill="1" applyBorder="1" applyAlignment="1">
      <alignment horizontal="center" vertical="center"/>
    </xf>
    <xf numFmtId="0" fontId="29" fillId="3" borderId="26" xfId="0" applyFont="1" applyFill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29" fillId="3" borderId="27" xfId="0" applyFont="1" applyFill="1" applyBorder="1" applyAlignment="1">
      <alignment horizontal="center" vertical="center"/>
    </xf>
    <xf numFmtId="0" fontId="29" fillId="3" borderId="24" xfId="0" applyFont="1" applyFill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11" fillId="0" borderId="25" xfId="0" applyFont="1" applyBorder="1" applyAlignment="1">
      <alignment horizontal="center" vertical="center" wrapText="1"/>
    </xf>
    <xf numFmtId="165" fontId="4" fillId="2" borderId="0" xfId="1" applyNumberFormat="1" applyFont="1" applyFill="1" applyBorder="1" applyAlignment="1">
      <alignment horizontal="center" vertical="center"/>
    </xf>
    <xf numFmtId="0" fontId="19" fillId="0" borderId="0" xfId="0" applyFont="1"/>
    <xf numFmtId="42" fontId="31" fillId="0" borderId="0" xfId="3" applyFont="1" applyFill="1" applyBorder="1" applyAlignment="1">
      <alignment horizontal="center" vertical="center"/>
    </xf>
    <xf numFmtId="0" fontId="4" fillId="4" borderId="0" xfId="0" applyFont="1" applyFill="1" applyAlignment="1">
      <alignment vertical="center"/>
    </xf>
    <xf numFmtId="3" fontId="4" fillId="4" borderId="0" xfId="0" applyNumberFormat="1" applyFont="1" applyFill="1" applyAlignment="1">
      <alignment vertical="center"/>
    </xf>
    <xf numFmtId="165" fontId="4" fillId="4" borderId="0" xfId="1" applyNumberFormat="1" applyFont="1" applyFill="1" applyBorder="1" applyAlignment="1">
      <alignment horizontal="center" vertical="center"/>
    </xf>
    <xf numFmtId="0" fontId="32" fillId="0" borderId="0" xfId="1" applyNumberFormat="1" applyFont="1" applyFill="1" applyBorder="1" applyAlignment="1">
      <alignment horizontal="center" vertical="center"/>
    </xf>
    <xf numFmtId="42" fontId="33" fillId="5" borderId="17" xfId="3" applyFont="1" applyFill="1" applyBorder="1" applyAlignment="1">
      <alignment horizontal="center" vertical="center"/>
    </xf>
    <xf numFmtId="42" fontId="29" fillId="5" borderId="11" xfId="3" applyFont="1" applyFill="1" applyBorder="1" applyAlignment="1">
      <alignment horizontal="center" vertical="center"/>
    </xf>
    <xf numFmtId="0" fontId="29" fillId="5" borderId="7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9" fillId="5" borderId="10" xfId="0" applyFont="1" applyFill="1" applyBorder="1" applyAlignment="1">
      <alignment horizontal="center" vertical="center"/>
    </xf>
    <xf numFmtId="0" fontId="37" fillId="5" borderId="10" xfId="0" applyFont="1" applyFill="1" applyBorder="1" applyAlignment="1">
      <alignment horizontal="center" vertical="center"/>
    </xf>
    <xf numFmtId="165" fontId="33" fillId="0" borderId="0" xfId="1" applyNumberFormat="1" applyFont="1" applyFill="1" applyBorder="1" applyAlignment="1">
      <alignment horizontal="center" vertical="center" wrapText="1"/>
    </xf>
    <xf numFmtId="42" fontId="35" fillId="0" borderId="0" xfId="3" applyFont="1" applyFill="1" applyBorder="1" applyAlignment="1">
      <alignment horizontal="center" vertical="center"/>
    </xf>
    <xf numFmtId="0" fontId="29" fillId="0" borderId="31" xfId="0" applyFont="1" applyBorder="1" applyAlignment="1">
      <alignment horizontal="left" vertical="center"/>
    </xf>
    <xf numFmtId="0" fontId="29" fillId="0" borderId="31" xfId="0" applyFont="1" applyBorder="1" applyAlignment="1">
      <alignment horizontal="center" vertical="center"/>
    </xf>
    <xf numFmtId="167" fontId="33" fillId="0" borderId="31" xfId="0" applyNumberFormat="1" applyFont="1" applyBorder="1" applyAlignment="1">
      <alignment vertical="center"/>
    </xf>
    <xf numFmtId="0" fontId="29" fillId="0" borderId="31" xfId="0" applyFont="1" applyBorder="1" applyAlignment="1">
      <alignment vertical="center"/>
    </xf>
    <xf numFmtId="3" fontId="29" fillId="0" borderId="31" xfId="0" applyNumberFormat="1" applyFont="1" applyBorder="1" applyAlignment="1">
      <alignment vertical="center"/>
    </xf>
    <xf numFmtId="0" fontId="29" fillId="0" borderId="32" xfId="0" applyFont="1" applyBorder="1" applyAlignment="1">
      <alignment vertical="center"/>
    </xf>
    <xf numFmtId="0" fontId="29" fillId="0" borderId="33" xfId="0" applyFont="1" applyBorder="1" applyAlignment="1">
      <alignment vertical="center"/>
    </xf>
    <xf numFmtId="0" fontId="33" fillId="0" borderId="31" xfId="0" applyFont="1" applyBorder="1" applyAlignment="1">
      <alignment vertical="center"/>
    </xf>
    <xf numFmtId="3" fontId="33" fillId="0" borderId="31" xfId="0" applyNumberFormat="1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1" fillId="0" borderId="5" xfId="0" applyFont="1" applyBorder="1" applyAlignment="1">
      <alignment horizontal="center" vertical="center" wrapText="1"/>
    </xf>
    <xf numFmtId="42" fontId="35" fillId="0" borderId="0" xfId="1" applyNumberFormat="1" applyFont="1" applyFill="1" applyBorder="1" applyAlignment="1">
      <alignment horizontal="center" vertical="center"/>
    </xf>
    <xf numFmtId="0" fontId="29" fillId="0" borderId="37" xfId="0" applyFont="1" applyBorder="1" applyAlignment="1">
      <alignment vertical="center"/>
    </xf>
    <xf numFmtId="0" fontId="29" fillId="0" borderId="15" xfId="0" applyFont="1" applyBorder="1" applyAlignment="1">
      <alignment horizontal="left" vertical="center"/>
    </xf>
    <xf numFmtId="0" fontId="29" fillId="0" borderId="15" xfId="0" applyFont="1" applyBorder="1" applyAlignment="1">
      <alignment horizontal="center" vertical="center"/>
    </xf>
    <xf numFmtId="0" fontId="29" fillId="0" borderId="38" xfId="0" applyFont="1" applyBorder="1" applyAlignment="1">
      <alignment horizontal="center" vertical="center"/>
    </xf>
    <xf numFmtId="42" fontId="29" fillId="0" borderId="15" xfId="3" applyFont="1" applyFill="1" applyBorder="1" applyAlignment="1">
      <alignment horizontal="center" vertical="center"/>
    </xf>
    <xf numFmtId="42" fontId="29" fillId="0" borderId="38" xfId="3" applyFont="1" applyFill="1" applyBorder="1" applyAlignment="1">
      <alignment horizontal="center" vertical="center" wrapText="1"/>
    </xf>
    <xf numFmtId="0" fontId="16" fillId="3" borderId="17" xfId="0" applyFont="1" applyFill="1" applyBorder="1" applyAlignment="1">
      <alignment vertical="center"/>
    </xf>
    <xf numFmtId="0" fontId="24" fillId="3" borderId="17" xfId="0" applyFont="1" applyFill="1" applyBorder="1"/>
    <xf numFmtId="165" fontId="30" fillId="3" borderId="40" xfId="1" applyNumberFormat="1" applyFont="1" applyFill="1" applyBorder="1" applyAlignment="1">
      <alignment horizontal="center" vertical="center" wrapText="1"/>
    </xf>
    <xf numFmtId="42" fontId="16" fillId="3" borderId="40" xfId="3" applyFont="1" applyFill="1" applyBorder="1" applyAlignment="1">
      <alignment horizontal="center" vertical="center" wrapText="1"/>
    </xf>
    <xf numFmtId="165" fontId="32" fillId="3" borderId="40" xfId="1" applyNumberFormat="1" applyFont="1" applyFill="1" applyBorder="1" applyAlignment="1">
      <alignment horizontal="center" vertical="center" wrapText="1"/>
    </xf>
    <xf numFmtId="42" fontId="29" fillId="3" borderId="41" xfId="3" applyFont="1" applyFill="1" applyBorder="1" applyAlignment="1">
      <alignment horizontal="center" vertical="center" wrapText="1"/>
    </xf>
    <xf numFmtId="42" fontId="29" fillId="3" borderId="40" xfId="4" applyFont="1" applyFill="1" applyBorder="1" applyAlignment="1">
      <alignment horizontal="center" vertical="center" wrapText="1"/>
    </xf>
    <xf numFmtId="42" fontId="29" fillId="3" borderId="42" xfId="3" applyFont="1" applyFill="1" applyBorder="1" applyAlignment="1">
      <alignment horizontal="center" vertical="center" wrapText="1"/>
    </xf>
    <xf numFmtId="165" fontId="30" fillId="6" borderId="12" xfId="1" applyNumberFormat="1" applyFont="1" applyFill="1" applyBorder="1" applyAlignment="1">
      <alignment horizontal="center" vertical="center" wrapText="1"/>
    </xf>
    <xf numFmtId="165" fontId="30" fillId="6" borderId="14" xfId="1" applyNumberFormat="1" applyFont="1" applyFill="1" applyBorder="1" applyAlignment="1">
      <alignment horizontal="center" vertical="center" wrapText="1"/>
    </xf>
    <xf numFmtId="165" fontId="8" fillId="0" borderId="0" xfId="1" applyNumberFormat="1" applyFont="1" applyAlignment="1">
      <alignment horizontal="center" vertical="center" wrapText="1"/>
    </xf>
    <xf numFmtId="0" fontId="25" fillId="5" borderId="34" xfId="0" applyFont="1" applyFill="1" applyBorder="1" applyAlignment="1">
      <alignment horizontal="center" vertical="center"/>
    </xf>
    <xf numFmtId="165" fontId="16" fillId="5" borderId="22" xfId="1" applyNumberFormat="1" applyFont="1" applyFill="1" applyBorder="1" applyAlignment="1">
      <alignment horizontal="center" vertical="center"/>
    </xf>
    <xf numFmtId="0" fontId="24" fillId="5" borderId="22" xfId="0" applyFont="1" applyFill="1" applyBorder="1"/>
    <xf numFmtId="170" fontId="25" fillId="5" borderId="35" xfId="0" applyNumberFormat="1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13" fillId="3" borderId="25" xfId="0" applyFont="1" applyFill="1" applyBorder="1" applyAlignment="1">
      <alignment horizontal="center" vertical="center" wrapText="1"/>
    </xf>
    <xf numFmtId="165" fontId="13" fillId="6" borderId="12" xfId="1" applyNumberFormat="1" applyFont="1" applyFill="1" applyBorder="1" applyAlignment="1">
      <alignment horizontal="center" vertical="center" wrapText="1"/>
    </xf>
    <xf numFmtId="165" fontId="13" fillId="6" borderId="14" xfId="1" applyNumberFormat="1" applyFont="1" applyFill="1" applyBorder="1" applyAlignment="1">
      <alignment horizontal="center" vertical="center" wrapText="1"/>
    </xf>
    <xf numFmtId="165" fontId="40" fillId="8" borderId="12" xfId="1" applyNumberFormat="1" applyFont="1" applyFill="1" applyBorder="1" applyAlignment="1">
      <alignment horizontal="center" vertical="center" wrapText="1"/>
    </xf>
    <xf numFmtId="165" fontId="40" fillId="8" borderId="13" xfId="1" applyNumberFormat="1" applyFont="1" applyFill="1" applyBorder="1" applyAlignment="1">
      <alignment horizontal="center" vertical="center" wrapText="1"/>
    </xf>
    <xf numFmtId="165" fontId="40" fillId="8" borderId="14" xfId="1" applyNumberFormat="1" applyFont="1" applyFill="1" applyBorder="1" applyAlignment="1">
      <alignment horizontal="center" vertical="center" wrapText="1"/>
    </xf>
    <xf numFmtId="165" fontId="13" fillId="0" borderId="25" xfId="1" applyNumberFormat="1" applyFont="1" applyFill="1" applyBorder="1" applyAlignment="1">
      <alignment horizontal="center" vertical="center" wrapText="1"/>
    </xf>
    <xf numFmtId="165" fontId="13" fillId="0" borderId="23" xfId="1" applyNumberFormat="1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  <xf numFmtId="42" fontId="13" fillId="4" borderId="0" xfId="3" applyFont="1" applyFill="1" applyAlignment="1">
      <alignment horizontal="center" vertical="center" wrapText="1"/>
    </xf>
    <xf numFmtId="0" fontId="30" fillId="3" borderId="23" xfId="0" applyFont="1" applyFill="1" applyBorder="1" applyAlignment="1">
      <alignment horizontal="center" vertical="center" wrapText="1"/>
    </xf>
    <xf numFmtId="0" fontId="29" fillId="0" borderId="23" xfId="0" applyFont="1" applyBorder="1" applyAlignment="1">
      <alignment vertical="center"/>
    </xf>
    <xf numFmtId="165" fontId="30" fillId="0" borderId="21" xfId="1" applyNumberFormat="1" applyFont="1" applyFill="1" applyBorder="1" applyAlignment="1">
      <alignment horizontal="center" vertical="center" wrapText="1"/>
    </xf>
    <xf numFmtId="0" fontId="29" fillId="5" borderId="7" xfId="0" applyFont="1" applyFill="1" applyBorder="1" applyAlignment="1">
      <alignment horizontal="left" vertical="center" indent="2"/>
    </xf>
    <xf numFmtId="0" fontId="29" fillId="5" borderId="10" xfId="0" applyFont="1" applyFill="1" applyBorder="1" applyAlignment="1">
      <alignment horizontal="left" vertical="center" indent="2"/>
    </xf>
    <xf numFmtId="0" fontId="29" fillId="5" borderId="6" xfId="0" applyFont="1" applyFill="1" applyBorder="1" applyAlignment="1">
      <alignment horizontal="left" vertical="center" indent="2"/>
    </xf>
    <xf numFmtId="0" fontId="3" fillId="0" borderId="34" xfId="0" applyFont="1" applyBorder="1" applyAlignment="1">
      <alignment vertical="center"/>
    </xf>
    <xf numFmtId="0" fontId="25" fillId="7" borderId="11" xfId="0" applyFont="1" applyFill="1" applyBorder="1" applyAlignment="1">
      <alignment horizontal="center" vertical="center"/>
    </xf>
    <xf numFmtId="0" fontId="5" fillId="0" borderId="44" xfId="0" applyFont="1" applyBorder="1" applyAlignment="1">
      <alignment vertical="center"/>
    </xf>
    <xf numFmtId="0" fontId="16" fillId="0" borderId="24" xfId="0" applyFont="1" applyBorder="1" applyAlignment="1">
      <alignment vertical="center"/>
    </xf>
    <xf numFmtId="165" fontId="13" fillId="0" borderId="45" xfId="1" applyNumberFormat="1" applyFont="1" applyFill="1" applyBorder="1" applyAlignment="1">
      <alignment horizontal="center" vertical="center" wrapText="1"/>
    </xf>
    <xf numFmtId="165" fontId="13" fillId="8" borderId="14" xfId="1" applyNumberFormat="1" applyFont="1" applyFill="1" applyBorder="1" applyAlignment="1">
      <alignment horizontal="center" vertical="center" wrapText="1"/>
    </xf>
    <xf numFmtId="165" fontId="30" fillId="0" borderId="44" xfId="1" applyNumberFormat="1" applyFont="1" applyFill="1" applyBorder="1" applyAlignment="1">
      <alignment horizontal="center" vertical="center" wrapText="1"/>
    </xf>
    <xf numFmtId="0" fontId="25" fillId="5" borderId="43" xfId="0" applyFont="1" applyFill="1" applyBorder="1" applyAlignment="1">
      <alignment horizontal="center" vertical="center"/>
    </xf>
    <xf numFmtId="165" fontId="16" fillId="5" borderId="43" xfId="1" applyNumberFormat="1" applyFont="1" applyFill="1" applyBorder="1" applyAlignment="1">
      <alignment horizontal="center" vertical="center"/>
    </xf>
    <xf numFmtId="0" fontId="24" fillId="5" borderId="43" xfId="0" applyFont="1" applyFill="1" applyBorder="1"/>
    <xf numFmtId="0" fontId="36" fillId="5" borderId="43" xfId="0" applyFont="1" applyFill="1" applyBorder="1"/>
    <xf numFmtId="170" fontId="25" fillId="5" borderId="43" xfId="0" applyNumberFormat="1" applyFont="1" applyFill="1" applyBorder="1" applyAlignment="1">
      <alignment horizontal="center" vertical="center"/>
    </xf>
    <xf numFmtId="165" fontId="30" fillId="3" borderId="39" xfId="1" applyNumberFormat="1" applyFont="1" applyFill="1" applyBorder="1" applyAlignment="1">
      <alignment horizontal="center" vertical="center" wrapText="1"/>
    </xf>
    <xf numFmtId="0" fontId="39" fillId="8" borderId="21" xfId="0" applyFont="1" applyFill="1" applyBorder="1" applyAlignment="1">
      <alignment horizontal="left" vertical="center" indent="1"/>
    </xf>
    <xf numFmtId="0" fontId="30" fillId="3" borderId="47" xfId="0" applyFont="1" applyFill="1" applyBorder="1" applyAlignment="1">
      <alignment horizontal="center" vertical="center" wrapText="1"/>
    </xf>
    <xf numFmtId="0" fontId="30" fillId="3" borderId="36" xfId="0" applyFont="1" applyFill="1" applyBorder="1" applyAlignment="1">
      <alignment horizontal="center" vertical="center" wrapText="1"/>
    </xf>
    <xf numFmtId="0" fontId="24" fillId="0" borderId="19" xfId="0" applyFont="1" applyBorder="1"/>
    <xf numFmtId="165" fontId="30" fillId="0" borderId="48" xfId="1" applyNumberFormat="1" applyFont="1" applyFill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43" fillId="0" borderId="4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4" fillId="0" borderId="30" xfId="0" applyFont="1" applyBorder="1" applyAlignment="1">
      <alignment horizontal="center" vertical="center"/>
    </xf>
    <xf numFmtId="0" fontId="42" fillId="4" borderId="0" xfId="0" applyFont="1" applyFill="1" applyAlignment="1">
      <alignment horizontal="center" vertical="center"/>
    </xf>
    <xf numFmtId="9" fontId="33" fillId="0" borderId="0" xfId="2" applyFont="1" applyFill="1" applyBorder="1" applyAlignment="1">
      <alignment horizontal="center" vertical="center"/>
    </xf>
    <xf numFmtId="9" fontId="34" fillId="0" borderId="0" xfId="2" applyFont="1" applyFill="1" applyBorder="1" applyAlignment="1">
      <alignment horizontal="center" vertical="center"/>
    </xf>
    <xf numFmtId="165" fontId="30" fillId="6" borderId="6" xfId="1" applyNumberFormat="1" applyFont="1" applyFill="1" applyBorder="1" applyAlignment="1">
      <alignment horizontal="center" vertical="center" wrapText="1"/>
    </xf>
    <xf numFmtId="165" fontId="30" fillId="6" borderId="12" xfId="1" applyNumberFormat="1" applyFont="1" applyFill="1" applyBorder="1" applyAlignment="1">
      <alignment horizontal="center" vertical="center" wrapText="1"/>
    </xf>
    <xf numFmtId="165" fontId="30" fillId="6" borderId="7" xfId="1" applyNumberFormat="1" applyFont="1" applyFill="1" applyBorder="1" applyAlignment="1">
      <alignment horizontal="center" vertical="center" wrapText="1"/>
    </xf>
    <xf numFmtId="165" fontId="30" fillId="6" borderId="13" xfId="1" applyNumberFormat="1" applyFont="1" applyFill="1" applyBorder="1" applyAlignment="1">
      <alignment horizontal="center" vertical="center" wrapText="1"/>
    </xf>
    <xf numFmtId="165" fontId="30" fillId="6" borderId="8" xfId="1" applyNumberFormat="1" applyFont="1" applyFill="1" applyBorder="1" applyAlignment="1">
      <alignment horizontal="center" vertical="center" wrapText="1"/>
    </xf>
    <xf numFmtId="165" fontId="30" fillId="6" borderId="14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168" fontId="27" fillId="0" borderId="0" xfId="0" applyNumberFormat="1" applyFont="1" applyAlignment="1">
      <alignment horizontal="left" vertical="center"/>
    </xf>
    <xf numFmtId="165" fontId="38" fillId="8" borderId="15" xfId="1" applyNumberFormat="1" applyFont="1" applyFill="1" applyBorder="1" applyAlignment="1">
      <alignment horizontal="center" vertical="center" wrapText="1"/>
    </xf>
    <xf numFmtId="165" fontId="30" fillId="6" borderId="15" xfId="1" applyNumberFormat="1" applyFont="1" applyFill="1" applyBorder="1" applyAlignment="1">
      <alignment horizontal="center" vertical="center" wrapText="1"/>
    </xf>
    <xf numFmtId="165" fontId="30" fillId="6" borderId="16" xfId="1" applyNumberFormat="1" applyFont="1" applyFill="1" applyBorder="1" applyAlignment="1">
      <alignment horizontal="center" vertical="center" wrapText="1"/>
    </xf>
    <xf numFmtId="0" fontId="30" fillId="6" borderId="17" xfId="0" applyFont="1" applyFill="1" applyBorder="1" applyAlignment="1">
      <alignment horizontal="center" vertical="center" wrapText="1"/>
    </xf>
    <xf numFmtId="0" fontId="30" fillId="6" borderId="19" xfId="0" applyFont="1" applyFill="1" applyBorder="1" applyAlignment="1">
      <alignment horizontal="center" vertical="center" wrapText="1"/>
    </xf>
    <xf numFmtId="0" fontId="30" fillId="6" borderId="18" xfId="0" applyFont="1" applyFill="1" applyBorder="1" applyAlignment="1">
      <alignment horizontal="center" vertical="center" wrapText="1"/>
    </xf>
    <xf numFmtId="165" fontId="38" fillId="8" borderId="6" xfId="1" applyNumberFormat="1" applyFont="1" applyFill="1" applyBorder="1" applyAlignment="1">
      <alignment horizontal="center" vertical="center" wrapText="1"/>
    </xf>
    <xf numFmtId="165" fontId="38" fillId="8" borderId="7" xfId="1" applyNumberFormat="1" applyFont="1" applyFill="1" applyBorder="1" applyAlignment="1">
      <alignment horizontal="center" vertical="center" wrapText="1"/>
    </xf>
    <xf numFmtId="165" fontId="38" fillId="8" borderId="8" xfId="1" applyNumberFormat="1" applyFont="1" applyFill="1" applyBorder="1" applyAlignment="1">
      <alignment horizontal="center" vertical="center" wrapText="1"/>
    </xf>
    <xf numFmtId="0" fontId="38" fillId="8" borderId="34" xfId="0" applyFont="1" applyFill="1" applyBorder="1" applyAlignment="1">
      <alignment horizontal="left" vertical="center" indent="1"/>
    </xf>
    <xf numFmtId="0" fontId="38" fillId="8" borderId="22" xfId="0" applyFont="1" applyFill="1" applyBorder="1" applyAlignment="1">
      <alignment horizontal="left" vertical="center" indent="1"/>
    </xf>
    <xf numFmtId="0" fontId="38" fillId="8" borderId="35" xfId="0" applyFont="1" applyFill="1" applyBorder="1" applyAlignment="1">
      <alignment horizontal="left" vertical="center" indent="1"/>
    </xf>
    <xf numFmtId="0" fontId="41" fillId="6" borderId="15" xfId="0" applyFont="1" applyFill="1" applyBorder="1" applyAlignment="1">
      <alignment horizontal="center" vertical="center" wrapText="1"/>
    </xf>
    <xf numFmtId="165" fontId="38" fillId="8" borderId="28" xfId="1" applyNumberFormat="1" applyFont="1" applyFill="1" applyBorder="1" applyAlignment="1">
      <alignment horizontal="center" vertical="center" wrapText="1"/>
    </xf>
    <xf numFmtId="165" fontId="38" fillId="8" borderId="29" xfId="1" applyNumberFormat="1" applyFont="1" applyFill="1" applyBorder="1" applyAlignment="1">
      <alignment horizontal="center" vertical="center" wrapText="1"/>
    </xf>
    <xf numFmtId="165" fontId="39" fillId="8" borderId="10" xfId="1" applyNumberFormat="1" applyFont="1" applyFill="1" applyBorder="1" applyAlignment="1">
      <alignment horizontal="center" vertical="center" wrapText="1"/>
    </xf>
    <xf numFmtId="165" fontId="39" fillId="8" borderId="11" xfId="1" applyNumberFormat="1" applyFont="1" applyFill="1" applyBorder="1" applyAlignment="1">
      <alignment horizontal="center" vertical="center" wrapText="1"/>
    </xf>
    <xf numFmtId="165" fontId="39" fillId="8" borderId="36" xfId="1" applyNumberFormat="1" applyFont="1" applyFill="1" applyBorder="1" applyAlignment="1">
      <alignment horizontal="center" vertical="center" wrapText="1"/>
    </xf>
    <xf numFmtId="42" fontId="29" fillId="5" borderId="47" xfId="3" applyFont="1" applyFill="1" applyBorder="1" applyAlignment="1">
      <alignment horizontal="center" vertical="center"/>
    </xf>
    <xf numFmtId="42" fontId="29" fillId="5" borderId="46" xfId="3" applyFont="1" applyFill="1" applyBorder="1" applyAlignment="1">
      <alignment horizontal="center" vertical="center"/>
    </xf>
  </cellXfs>
  <cellStyles count="5">
    <cellStyle name="Millares" xfId="1" builtinId="3"/>
    <cellStyle name="Moneda [0]" xfId="3" builtinId="7"/>
    <cellStyle name="Moneda [0] 2" xfId="4" xr:uid="{C0D9AB52-39EE-4FB0-92E9-2CF9BA3D4EF2}"/>
    <cellStyle name="Normal" xfId="0" builtinId="0"/>
    <cellStyle name="Porcentaje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196AE"/>
      <color rgb="FFE6B8B7"/>
      <color rgb="FFEC8D80"/>
      <color rgb="FFE55A47"/>
      <color rgb="FFDF3821"/>
      <color rgb="FFC9311D"/>
      <color rgb="FF632523"/>
      <color rgb="FFA09696"/>
      <color rgb="FFFFDDD5"/>
      <color rgb="FFE55F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1126157</xdr:colOff>
      <xdr:row>0</xdr:row>
      <xdr:rowOff>7869</xdr:rowOff>
    </xdr:from>
    <xdr:to>
      <xdr:col>2</xdr:col>
      <xdr:colOff>3286157</xdr:colOff>
      <xdr:row>6</xdr:row>
      <xdr:rowOff>219962</xdr:rowOff>
    </xdr:to>
    <xdr:pic>
      <xdr:nvPicPr>
        <xdr:cNvPr id="4" name="Imagen 5">
          <a:extLst>
            <a:ext uri="{FF2B5EF4-FFF2-40B4-BE49-F238E27FC236}">
              <a16:creationId xmlns:a16="http://schemas.microsoft.com/office/drawing/2014/main" id="{DBC8B006-618C-44B2-AF2F-75F033185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050" y="7869"/>
          <a:ext cx="2160000" cy="20980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1129393</xdr:colOff>
      <xdr:row>0</xdr:row>
      <xdr:rowOff>0</xdr:rowOff>
    </xdr:from>
    <xdr:to>
      <xdr:col>2</xdr:col>
      <xdr:colOff>3289393</xdr:colOff>
      <xdr:row>6</xdr:row>
      <xdr:rowOff>212093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2311D7DA-F44F-414C-92EE-D7DFB94CA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6286" y="0"/>
          <a:ext cx="2160000" cy="20980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1166978</xdr:colOff>
      <xdr:row>0</xdr:row>
      <xdr:rowOff>7869</xdr:rowOff>
    </xdr:from>
    <xdr:to>
      <xdr:col>1</xdr:col>
      <xdr:colOff>3326978</xdr:colOff>
      <xdr:row>6</xdr:row>
      <xdr:rowOff>219962</xdr:rowOff>
    </xdr:to>
    <xdr:pic>
      <xdr:nvPicPr>
        <xdr:cNvPr id="3" name="Imagen 5">
          <a:extLst>
            <a:ext uri="{FF2B5EF4-FFF2-40B4-BE49-F238E27FC236}">
              <a16:creationId xmlns:a16="http://schemas.microsoft.com/office/drawing/2014/main" id="{814F0222-14D1-4708-9C4A-21BE7C70E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3871" y="7869"/>
          <a:ext cx="2160000" cy="20980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hiftup.sharepoint.com/sites/SALESMANAGEMENT/Shared%20Documents/General/ACCIONES%20COMERCIALES/LISTAS%20DE%20PRECIO/2026/5.%20Mayo/Lista%20de%20Precios%20Citro&#235;n%20Mayo%202026.xlsx" TargetMode="External"/><Relationship Id="rId1" Type="http://schemas.openxmlformats.org/officeDocument/2006/relationships/externalLinkPath" Target="https://shiftup.sharepoint.com/sites/SALESMANAGEMENT/Shared%20Documents/General/ACCIONES%20COMERCIALES/LISTAS%20DE%20PRECIO/2026/5.%20Mayo/Lista%20de%20Precios%20Citro&#235;n%20May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SAJEROS"/>
      <sheetName val="COMERCIALES"/>
      <sheetName val="Trámites PreInscripciones"/>
      <sheetName val="MESES"/>
      <sheetName val="Lista de Precios Citroën Mayo 2"/>
    </sheetNames>
    <sheetDataSet>
      <sheetData sheetId="0">
        <row r="1">
          <cell r="B1"/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  <cell r="AA1"/>
          <cell r="AB1"/>
        </row>
        <row r="2">
          <cell r="B2"/>
          <cell r="C2"/>
          <cell r="D2"/>
          <cell r="E2" t="str">
            <v>LISTA DE PRECIOS VEHÍCULOS NUEVOS</v>
          </cell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</row>
        <row r="3">
          <cell r="B3"/>
          <cell r="C3"/>
          <cell r="D3"/>
          <cell r="E3" t="str">
            <v>Nº 05 - 2026</v>
          </cell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</row>
        <row r="4">
          <cell r="B4"/>
          <cell r="C4"/>
          <cell r="D4"/>
          <cell r="E4">
            <v>46143</v>
          </cell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</row>
        <row r="6">
          <cell r="B6"/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</row>
        <row r="7">
          <cell r="B7"/>
          <cell r="C7"/>
          <cell r="D7"/>
          <cell r="E7"/>
          <cell r="F7"/>
          <cell r="G7"/>
          <cell r="H7"/>
          <cell r="I7"/>
          <cell r="J7" t="str">
            <v>Tope CE</v>
          </cell>
          <cell r="K7"/>
          <cell r="L7"/>
          <cell r="M7">
            <v>2.5000000000000001E-2</v>
          </cell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</row>
        <row r="8">
          <cell r="A8"/>
          <cell r="B8"/>
          <cell r="C8" t="str">
            <v>VEHÍCULOS PASAJEROS</v>
          </cell>
          <cell r="D8" t="str">
            <v>LCDV</v>
          </cell>
          <cell r="E8" t="str">
            <v>CIT</v>
          </cell>
          <cell r="F8"/>
          <cell r="G8" t="str">
            <v>PRECIO LISTA</v>
          </cell>
          <cell r="H8"/>
          <cell r="I8"/>
          <cell r="J8" t="str">
            <v>TODO MEDIO DE PAGO</v>
          </cell>
          <cell r="K8"/>
          <cell r="L8"/>
          <cell r="M8"/>
          <cell r="N8"/>
          <cell r="O8" t="str">
            <v>CRÉDITO CONVENCIONAL</v>
          </cell>
          <cell r="P8"/>
          <cell r="Q8"/>
          <cell r="R8"/>
          <cell r="S8"/>
          <cell r="T8"/>
          <cell r="U8" t="str">
            <v>COMPRA INTELIGENTE</v>
          </cell>
          <cell r="V8"/>
          <cell r="W8"/>
          <cell r="X8"/>
          <cell r="Y8"/>
          <cell r="Z8"/>
          <cell r="AA8" t="str">
            <v>∆ Precio 
Lista M-1</v>
          </cell>
          <cell r="AB8" t="str">
            <v>∆ Precio 
TMP M-1</v>
          </cell>
        </row>
        <row r="9">
          <cell r="A9" t="str">
            <v>KEY MCV</v>
          </cell>
          <cell r="B9"/>
          <cell r="C9"/>
          <cell r="D9"/>
          <cell r="E9"/>
          <cell r="F9"/>
          <cell r="G9" t="str">
            <v>CON IVA</v>
          </cell>
          <cell r="H9" t="str">
            <v>SIN IVA</v>
          </cell>
          <cell r="I9"/>
          <cell r="J9" t="str">
            <v>BONO CON IVA</v>
          </cell>
          <cell r="K9" t="str">
            <v>APORTE CE</v>
          </cell>
          <cell r="L9" t="str">
            <v>APORTE STELLANTIS</v>
          </cell>
          <cell r="M9" t="str">
            <v>PRECIO PROMO</v>
          </cell>
          <cell r="N9"/>
          <cell r="O9" t="str">
            <v>BONO CON IVA</v>
          </cell>
          <cell r="P9" t="str">
            <v>APORTE CE</v>
          </cell>
          <cell r="Q9" t="str">
            <v>APORTE STELLANTIS</v>
          </cell>
          <cell r="R9" t="str">
            <v>APORTE FINANCIERA</v>
          </cell>
          <cell r="S9" t="str">
            <v>PRECIO PROMO</v>
          </cell>
          <cell r="T9"/>
          <cell r="U9" t="str">
            <v>BONO CON IVA</v>
          </cell>
          <cell r="V9" t="str">
            <v>APORTE CE</v>
          </cell>
          <cell r="W9" t="str">
            <v>APORTE STELLANTIS</v>
          </cell>
          <cell r="X9" t="str">
            <v>APORTE FINANCIERA</v>
          </cell>
          <cell r="Y9" t="str">
            <v>PRECIO PROMO</v>
          </cell>
          <cell r="Z9"/>
          <cell r="AA9"/>
          <cell r="AB9"/>
        </row>
        <row r="10">
          <cell r="B10"/>
          <cell r="C10"/>
          <cell r="D10"/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</row>
        <row r="11">
          <cell r="A11"/>
          <cell r="B11"/>
          <cell r="C11" t="str">
            <v>C3</v>
          </cell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</row>
        <row r="12">
          <cell r="A12" t="str">
            <v>C3 Puretech 82 Live Pack</v>
          </cell>
          <cell r="B12"/>
          <cell r="C12" t="str">
            <v>C3 Live Pack Gasolina 82HP MT</v>
          </cell>
          <cell r="D12" t="str">
            <v>1CSBSUDMY5N0A0B3198</v>
          </cell>
          <cell r="E12" t="str">
            <v>CT8669E60622S01-7</v>
          </cell>
          <cell r="F12"/>
          <cell r="G12">
            <v>12890000</v>
          </cell>
          <cell r="H12">
            <v>10831932.773109244</v>
          </cell>
          <cell r="I12"/>
          <cell r="J12">
            <v>1400000</v>
          </cell>
          <cell r="K12">
            <v>322250</v>
          </cell>
          <cell r="L12">
            <v>1077750</v>
          </cell>
          <cell r="M12">
            <v>11490000</v>
          </cell>
          <cell r="N12"/>
          <cell r="O12">
            <v>3200000</v>
          </cell>
          <cell r="P12">
            <v>322250</v>
          </cell>
          <cell r="Q12">
            <v>1077750</v>
          </cell>
          <cell r="R12">
            <v>1800000</v>
          </cell>
          <cell r="S12">
            <v>9690000</v>
          </cell>
          <cell r="T12"/>
          <cell r="U12">
            <v>4200000</v>
          </cell>
          <cell r="V12">
            <v>322250</v>
          </cell>
          <cell r="W12">
            <v>1077750</v>
          </cell>
          <cell r="X12">
            <v>2800000</v>
          </cell>
          <cell r="Y12">
            <v>8690000</v>
          </cell>
          <cell r="Z12"/>
          <cell r="AA12" t="str">
            <v>ISO</v>
          </cell>
          <cell r="AB12" t="str">
            <v>ISO</v>
          </cell>
        </row>
        <row r="13">
          <cell r="A13" t="str">
            <v>C3 Live Pack Gasolina 96HP MT</v>
          </cell>
          <cell r="B13"/>
          <cell r="C13" t="str">
            <v>C3 Live Pack Gasolina 96HP MT</v>
          </cell>
          <cell r="D13" t="str">
            <v>1CSBSUD425J0A0B7000</v>
          </cell>
          <cell r="E13" t="str">
            <v>CT10477E60326S02-0</v>
          </cell>
          <cell r="F13"/>
          <cell r="G13">
            <v>12890000</v>
          </cell>
          <cell r="H13">
            <v>10831932.773109244</v>
          </cell>
          <cell r="I13"/>
          <cell r="J13">
            <v>1600000</v>
          </cell>
          <cell r="K13">
            <v>322250</v>
          </cell>
          <cell r="L13">
            <v>1277750</v>
          </cell>
          <cell r="M13">
            <v>11290000</v>
          </cell>
          <cell r="N13"/>
          <cell r="O13">
            <v>3200000</v>
          </cell>
          <cell r="P13">
            <v>322250</v>
          </cell>
          <cell r="Q13">
            <v>1277750</v>
          </cell>
          <cell r="R13">
            <v>1600000</v>
          </cell>
          <cell r="S13">
            <v>9690000</v>
          </cell>
          <cell r="T13"/>
          <cell r="U13">
            <v>4200000</v>
          </cell>
          <cell r="V13">
            <v>322250</v>
          </cell>
          <cell r="W13">
            <v>1277750</v>
          </cell>
          <cell r="X13">
            <v>2600000</v>
          </cell>
          <cell r="Y13">
            <v>8690000</v>
          </cell>
          <cell r="Z13"/>
          <cell r="AA13" t="str">
            <v>ISO</v>
          </cell>
          <cell r="AB13" t="str">
            <v>ISO</v>
          </cell>
        </row>
        <row r="14">
          <cell r="A14" t="str">
            <v>C3 Puretech 82 Feel</v>
          </cell>
          <cell r="B14"/>
          <cell r="C14" t="str">
            <v>C3 Feel Gasolina 82HP MT</v>
          </cell>
          <cell r="D14" t="str">
            <v>1CSBSUDMY5N0A0B3197</v>
          </cell>
          <cell r="E14" t="str">
            <v>CT8669E60622S01-7</v>
          </cell>
          <cell r="F14"/>
          <cell r="G14">
            <v>13690000</v>
          </cell>
          <cell r="H14">
            <v>11504201.680672269</v>
          </cell>
          <cell r="I14"/>
          <cell r="J14">
            <v>1500000</v>
          </cell>
          <cell r="K14">
            <v>342250</v>
          </cell>
          <cell r="L14">
            <v>1157750</v>
          </cell>
          <cell r="M14">
            <v>12190000</v>
          </cell>
          <cell r="N14"/>
          <cell r="O14">
            <v>3300000</v>
          </cell>
          <cell r="P14">
            <v>342250</v>
          </cell>
          <cell r="Q14">
            <v>1157750</v>
          </cell>
          <cell r="R14">
            <v>1800000</v>
          </cell>
          <cell r="S14">
            <v>10390000</v>
          </cell>
          <cell r="T14"/>
          <cell r="U14">
            <v>4300000</v>
          </cell>
          <cell r="V14">
            <v>342250</v>
          </cell>
          <cell r="W14">
            <v>1157750</v>
          </cell>
          <cell r="X14">
            <v>2800000</v>
          </cell>
          <cell r="Y14">
            <v>9390000</v>
          </cell>
          <cell r="Z14"/>
          <cell r="AA14" t="str">
            <v>ISO</v>
          </cell>
          <cell r="AB14" t="str">
            <v>ISO</v>
          </cell>
        </row>
        <row r="15">
          <cell r="A15" t="str">
            <v>C3 Feel Gasolina 96HP MT</v>
          </cell>
          <cell r="B15"/>
          <cell r="C15" t="str">
            <v>C3 Feel Gasolina 96HP MT</v>
          </cell>
          <cell r="D15" t="str">
            <v>1CSBSUD425J0A0B7392</v>
          </cell>
          <cell r="E15" t="str">
            <v>CT10477E60326S00-1</v>
          </cell>
          <cell r="F15"/>
          <cell r="G15">
            <v>13690000</v>
          </cell>
          <cell r="H15">
            <v>11504201.680672269</v>
          </cell>
          <cell r="I15"/>
          <cell r="J15">
            <v>1500000</v>
          </cell>
          <cell r="K15">
            <v>342250</v>
          </cell>
          <cell r="L15">
            <v>1157750</v>
          </cell>
          <cell r="M15">
            <v>12190000</v>
          </cell>
          <cell r="N15"/>
          <cell r="O15">
            <v>3300000</v>
          </cell>
          <cell r="P15">
            <v>342250</v>
          </cell>
          <cell r="Q15">
            <v>1157750</v>
          </cell>
          <cell r="R15">
            <v>1800000</v>
          </cell>
          <cell r="S15">
            <v>10390000</v>
          </cell>
          <cell r="T15"/>
          <cell r="U15">
            <v>4300000</v>
          </cell>
          <cell r="V15">
            <v>342250</v>
          </cell>
          <cell r="W15">
            <v>1157750</v>
          </cell>
          <cell r="X15">
            <v>2800000</v>
          </cell>
          <cell r="Y15">
            <v>9390000</v>
          </cell>
          <cell r="Z15"/>
          <cell r="AA15" t="str">
            <v>ISO</v>
          </cell>
          <cell r="AB15" t="str">
            <v>ISO</v>
          </cell>
        </row>
        <row r="16">
          <cell r="A16" t="str">
            <v>C3 Turbo 125 CVT You</v>
          </cell>
          <cell r="B16"/>
          <cell r="C16" t="str">
            <v>C3 YOU Turbo 125HP AT</v>
          </cell>
          <cell r="D16" t="str">
            <v>1CSBSUHV2ZNXB4B4000</v>
          </cell>
          <cell r="E16" t="str">
            <v>CT9651T3C0924S00-8</v>
          </cell>
          <cell r="F16"/>
          <cell r="G16">
            <v>16590000</v>
          </cell>
          <cell r="H16">
            <v>13941176.470588235</v>
          </cell>
          <cell r="I16"/>
          <cell r="J16">
            <v>900000</v>
          </cell>
          <cell r="K16">
            <v>414750</v>
          </cell>
          <cell r="L16">
            <v>485250</v>
          </cell>
          <cell r="M16">
            <v>15690000</v>
          </cell>
          <cell r="N16"/>
          <cell r="O16">
            <v>2700000</v>
          </cell>
          <cell r="P16">
            <v>414750</v>
          </cell>
          <cell r="Q16">
            <v>485250</v>
          </cell>
          <cell r="R16">
            <v>1800000</v>
          </cell>
          <cell r="S16">
            <v>13890000</v>
          </cell>
          <cell r="T16"/>
          <cell r="U16">
            <v>3700000</v>
          </cell>
          <cell r="V16">
            <v>414750</v>
          </cell>
          <cell r="W16">
            <v>485250</v>
          </cell>
          <cell r="X16">
            <v>2800000</v>
          </cell>
          <cell r="Y16">
            <v>12890000</v>
          </cell>
          <cell r="Z16"/>
          <cell r="AA16" t="str">
            <v>ISO</v>
          </cell>
          <cell r="AB16" t="str">
            <v>ISO</v>
          </cell>
        </row>
        <row r="17">
          <cell r="A17"/>
          <cell r="B17"/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</row>
        <row r="18">
          <cell r="A18"/>
          <cell r="B18"/>
          <cell r="C18" t="str">
            <v>BASALT</v>
          </cell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</row>
        <row r="19">
          <cell r="A19" t="str">
            <v>Basalt Turbo 125 CVT SHINE</v>
          </cell>
          <cell r="B19"/>
          <cell r="C19" t="str">
            <v>Basalt Shine Turbo 125HP AT</v>
          </cell>
          <cell r="D19" t="str">
            <v>1CSFA5KV2ZNXA0B0209</v>
          </cell>
          <cell r="E19" t="str">
            <v>CT9692T3C1024S00-0</v>
          </cell>
          <cell r="F19"/>
          <cell r="G19">
            <v>15690000</v>
          </cell>
          <cell r="H19">
            <v>13184873.949579833</v>
          </cell>
          <cell r="I19"/>
          <cell r="J19">
            <v>700000</v>
          </cell>
          <cell r="K19">
            <v>350000</v>
          </cell>
          <cell r="L19">
            <v>350000</v>
          </cell>
          <cell r="M19">
            <v>14990000</v>
          </cell>
          <cell r="N19"/>
          <cell r="O19">
            <v>1200000</v>
          </cell>
          <cell r="P19">
            <v>350000</v>
          </cell>
          <cell r="Q19">
            <v>350000</v>
          </cell>
          <cell r="R19">
            <v>500000</v>
          </cell>
          <cell r="S19">
            <v>14490000</v>
          </cell>
          <cell r="T19"/>
          <cell r="U19">
            <v>1700000</v>
          </cell>
          <cell r="V19">
            <v>350000</v>
          </cell>
          <cell r="W19">
            <v>350000</v>
          </cell>
          <cell r="X19">
            <v>1000000</v>
          </cell>
          <cell r="Y19">
            <v>13990000</v>
          </cell>
          <cell r="Z19"/>
          <cell r="AA19" t="str">
            <v>ISO</v>
          </cell>
          <cell r="AB19" t="str">
            <v>ISO</v>
          </cell>
        </row>
        <row r="20">
          <cell r="A20"/>
          <cell r="B20"/>
          <cell r="C20"/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</row>
        <row r="21">
          <cell r="A21"/>
          <cell r="B21"/>
          <cell r="C21" t="str">
            <v>C4 MCA</v>
          </cell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>
            <v>0</v>
          </cell>
          <cell r="AB21"/>
        </row>
        <row r="22">
          <cell r="A22" t="str">
            <v>C4 MCA Hybrid 136 eDCT6 Plus</v>
          </cell>
          <cell r="B22"/>
          <cell r="C22" t="str">
            <v>C4 Plus Hybrid 136HP AT</v>
          </cell>
          <cell r="D22" t="str">
            <v>1CLEA5KJHWJRA050209</v>
          </cell>
          <cell r="E22" t="str">
            <v>CT9861E60225S00-6</v>
          </cell>
          <cell r="F22"/>
          <cell r="G22">
            <v>24590000</v>
          </cell>
          <cell r="H22">
            <v>20663865.546218488</v>
          </cell>
          <cell r="I22"/>
          <cell r="J22">
            <v>2100000</v>
          </cell>
          <cell r="K22">
            <v>614750</v>
          </cell>
          <cell r="L22">
            <v>1485250</v>
          </cell>
          <cell r="M22">
            <v>22490000</v>
          </cell>
          <cell r="N22"/>
          <cell r="O22">
            <v>3100000</v>
          </cell>
          <cell r="P22">
            <v>614750</v>
          </cell>
          <cell r="Q22">
            <v>1485250</v>
          </cell>
          <cell r="R22">
            <v>1000000</v>
          </cell>
          <cell r="S22">
            <v>21490000</v>
          </cell>
          <cell r="T22"/>
          <cell r="U22">
            <v>3600000</v>
          </cell>
          <cell r="V22">
            <v>614750</v>
          </cell>
          <cell r="W22">
            <v>1485250</v>
          </cell>
          <cell r="X22">
            <v>1500000</v>
          </cell>
          <cell r="Y22">
            <v>20990000</v>
          </cell>
          <cell r="Z22"/>
          <cell r="AA22" t="str">
            <v>ISO</v>
          </cell>
          <cell r="AB22" t="str">
            <v>ISO</v>
          </cell>
        </row>
        <row r="23">
          <cell r="A23" t="str">
            <v>C4 MCA Hybrid 136 eDCT6 Max</v>
          </cell>
          <cell r="B23"/>
          <cell r="C23" t="str">
            <v>C4 Max Hybrid 136HP AT</v>
          </cell>
          <cell r="D23" t="str">
            <v>1CLEA5NJHWJRA050210</v>
          </cell>
          <cell r="E23" t="str">
            <v>CT9861E60225S00-6</v>
          </cell>
          <cell r="F23"/>
          <cell r="G23">
            <v>26590000</v>
          </cell>
          <cell r="H23">
            <v>22344537.81512605</v>
          </cell>
          <cell r="I23"/>
          <cell r="J23">
            <v>2100000</v>
          </cell>
          <cell r="K23">
            <v>664750</v>
          </cell>
          <cell r="L23">
            <v>1435250</v>
          </cell>
          <cell r="M23">
            <v>24490000</v>
          </cell>
          <cell r="N23"/>
          <cell r="O23">
            <v>3100000</v>
          </cell>
          <cell r="P23">
            <v>664750</v>
          </cell>
          <cell r="Q23">
            <v>1435250</v>
          </cell>
          <cell r="R23">
            <v>1000000</v>
          </cell>
          <cell r="S23">
            <v>23490000</v>
          </cell>
          <cell r="T23"/>
          <cell r="U23">
            <v>3600000</v>
          </cell>
          <cell r="V23">
            <v>664750</v>
          </cell>
          <cell r="W23">
            <v>1435250</v>
          </cell>
          <cell r="X23">
            <v>1500000</v>
          </cell>
          <cell r="Y23">
            <v>22990000</v>
          </cell>
          <cell r="Z23"/>
          <cell r="AA23" t="str">
            <v>ISO</v>
          </cell>
          <cell r="AB23" t="str">
            <v>ISO</v>
          </cell>
        </row>
        <row r="24">
          <cell r="A24"/>
          <cell r="B24"/>
          <cell r="C24"/>
          <cell r="D24"/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</row>
        <row r="25">
          <cell r="A25"/>
          <cell r="B25"/>
          <cell r="C25" t="str">
            <v>NEW C3 Aircross</v>
          </cell>
          <cell r="D25"/>
          <cell r="E25"/>
          <cell r="F25"/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>
            <v>0</v>
          </cell>
          <cell r="AB25"/>
        </row>
        <row r="26">
          <cell r="A26" t="str">
            <v>C3 Aircross VTi 115 Feel Pack 5P</v>
          </cell>
          <cell r="B26"/>
          <cell r="C26" t="str">
            <v>C3 Aircross Feel Pack 5P Gasolina 115HP MT</v>
          </cell>
          <cell r="D26" t="str">
            <v>1CSLSUEEF5J0A0B2202</v>
          </cell>
          <cell r="E26" t="str">
            <v>CT9422E60124S00-9</v>
          </cell>
          <cell r="F26"/>
          <cell r="G26">
            <v>16190000</v>
          </cell>
          <cell r="H26">
            <v>13605042.016806724</v>
          </cell>
          <cell r="I26"/>
          <cell r="J26">
            <v>1500000</v>
          </cell>
          <cell r="K26">
            <v>404750</v>
          </cell>
          <cell r="L26">
            <v>1095250</v>
          </cell>
          <cell r="M26">
            <v>14690000</v>
          </cell>
          <cell r="N26"/>
          <cell r="O26">
            <v>2800000</v>
          </cell>
          <cell r="P26">
            <v>404750</v>
          </cell>
          <cell r="Q26">
            <v>1095250</v>
          </cell>
          <cell r="R26">
            <v>1300000</v>
          </cell>
          <cell r="S26">
            <v>13390000</v>
          </cell>
          <cell r="T26"/>
          <cell r="U26">
            <v>3400000</v>
          </cell>
          <cell r="V26">
            <v>404750</v>
          </cell>
          <cell r="W26">
            <v>1095250</v>
          </cell>
          <cell r="X26">
            <v>1900000</v>
          </cell>
          <cell r="Y26">
            <v>12790000</v>
          </cell>
          <cell r="Z26"/>
          <cell r="AA26" t="str">
            <v>ISO</v>
          </cell>
          <cell r="AB26" t="str">
            <v>ISO</v>
          </cell>
        </row>
        <row r="27">
          <cell r="A27" t="str">
            <v>C3 Aircross VTi 115 Feel Pack 7P</v>
          </cell>
          <cell r="B27"/>
          <cell r="C27" t="str">
            <v>C3 Aircross Feel Pack 7P Gasolina 115HP MT</v>
          </cell>
          <cell r="D27" t="str">
            <v>1CSLSUEEF5J0A0B2201</v>
          </cell>
          <cell r="E27" t="str">
            <v>CT9422E60225S01-2</v>
          </cell>
          <cell r="F27"/>
          <cell r="G27">
            <v>17290000</v>
          </cell>
          <cell r="H27">
            <v>14529411.764705883</v>
          </cell>
          <cell r="I27"/>
          <cell r="J27">
            <v>1500000</v>
          </cell>
          <cell r="K27">
            <v>432250</v>
          </cell>
          <cell r="L27">
            <v>1067750</v>
          </cell>
          <cell r="M27">
            <v>15790000</v>
          </cell>
          <cell r="N27"/>
          <cell r="O27">
            <v>3300000</v>
          </cell>
          <cell r="P27">
            <v>432250</v>
          </cell>
          <cell r="Q27">
            <v>1067750</v>
          </cell>
          <cell r="R27">
            <v>1800000</v>
          </cell>
          <cell r="S27">
            <v>13990000</v>
          </cell>
          <cell r="T27"/>
          <cell r="U27">
            <v>4000000</v>
          </cell>
          <cell r="V27">
            <v>432250</v>
          </cell>
          <cell r="W27">
            <v>1067750</v>
          </cell>
          <cell r="X27">
            <v>2500000</v>
          </cell>
          <cell r="Y27">
            <v>13290000</v>
          </cell>
          <cell r="Z27"/>
          <cell r="AA27" t="str">
            <v>ISO</v>
          </cell>
          <cell r="AB27" t="str">
            <v>ISO</v>
          </cell>
        </row>
        <row r="28">
          <cell r="A28" t="str">
            <v>C3 Aircross VTi 115 Shine 5P</v>
          </cell>
          <cell r="B28"/>
          <cell r="C28" t="str">
            <v>C3 Aircross Shine 5P Gasolina 115HP MT</v>
          </cell>
          <cell r="D28" t="str">
            <v>1CSLSUHEF5J0A0B2203</v>
          </cell>
          <cell r="E28" t="str">
            <v>CT9422E60124S00-9</v>
          </cell>
          <cell r="F28"/>
          <cell r="G28">
            <v>16790000</v>
          </cell>
          <cell r="H28">
            <v>14109243.697478993</v>
          </cell>
          <cell r="I28"/>
          <cell r="J28">
            <v>1800000</v>
          </cell>
          <cell r="K28">
            <v>419750</v>
          </cell>
          <cell r="L28">
            <v>1380250</v>
          </cell>
          <cell r="M28">
            <v>14990000</v>
          </cell>
          <cell r="N28"/>
          <cell r="O28">
            <v>3100000</v>
          </cell>
          <cell r="P28">
            <v>419750</v>
          </cell>
          <cell r="Q28">
            <v>1380250</v>
          </cell>
          <cell r="R28">
            <v>1300000</v>
          </cell>
          <cell r="S28">
            <v>13690000</v>
          </cell>
          <cell r="T28"/>
          <cell r="U28">
            <v>3600000</v>
          </cell>
          <cell r="V28">
            <v>419750</v>
          </cell>
          <cell r="W28">
            <v>1380250</v>
          </cell>
          <cell r="X28">
            <v>1800000</v>
          </cell>
          <cell r="Y28">
            <v>13190000</v>
          </cell>
          <cell r="Z28"/>
          <cell r="AA28" t="str">
            <v>ISO</v>
          </cell>
          <cell r="AB28" t="str">
            <v>ISO</v>
          </cell>
        </row>
        <row r="29">
          <cell r="A29" t="str">
            <v>C3 Aircross Turbo 125 CVT Shine 5P</v>
          </cell>
          <cell r="B29"/>
          <cell r="C29" t="str">
            <v>C3 Aircross Shine 5P Turbo 125HP AT</v>
          </cell>
          <cell r="D29" t="str">
            <v>1CSLSUHV2ZNXA0B3237</v>
          </cell>
          <cell r="E29" t="str">
            <v>CT9573T3C0724S01-9</v>
          </cell>
          <cell r="F29"/>
          <cell r="G29">
            <v>19390000</v>
          </cell>
          <cell r="H29">
            <v>16294117.647058824</v>
          </cell>
          <cell r="I29"/>
          <cell r="J29">
            <v>1700000</v>
          </cell>
          <cell r="K29">
            <v>484750</v>
          </cell>
          <cell r="L29">
            <v>1215250</v>
          </cell>
          <cell r="M29">
            <v>17690000</v>
          </cell>
          <cell r="N29"/>
          <cell r="O29">
            <v>3000000</v>
          </cell>
          <cell r="P29">
            <v>484750</v>
          </cell>
          <cell r="Q29">
            <v>1215250</v>
          </cell>
          <cell r="R29">
            <v>1300000</v>
          </cell>
          <cell r="S29">
            <v>16390000</v>
          </cell>
          <cell r="T29"/>
          <cell r="U29">
            <v>3500000</v>
          </cell>
          <cell r="V29">
            <v>484750</v>
          </cell>
          <cell r="W29">
            <v>1215250</v>
          </cell>
          <cell r="X29">
            <v>1800000</v>
          </cell>
          <cell r="Y29">
            <v>15890000</v>
          </cell>
          <cell r="Z29"/>
          <cell r="AA29" t="str">
            <v>ISO</v>
          </cell>
          <cell r="AB29" t="str">
            <v>ISO</v>
          </cell>
        </row>
        <row r="30">
          <cell r="A30" t="str">
            <v>C3 Aircross Turbo 125 CVT Shine 7P</v>
          </cell>
          <cell r="B30"/>
          <cell r="C30" t="str">
            <v>C3 Aircross Shine 7P Turbo 125HP AT</v>
          </cell>
          <cell r="D30" t="str">
            <v>1CSLSUHV2ZNXA0B3241</v>
          </cell>
          <cell r="E30" t="str">
            <v>CT9573T3C0724S00-4</v>
          </cell>
          <cell r="F30"/>
          <cell r="G30">
            <v>20490000</v>
          </cell>
          <cell r="H30">
            <v>17218487.394957986</v>
          </cell>
          <cell r="I30"/>
          <cell r="J30">
            <v>1700000</v>
          </cell>
          <cell r="K30">
            <v>512250</v>
          </cell>
          <cell r="L30">
            <v>1187750</v>
          </cell>
          <cell r="M30">
            <v>18790000</v>
          </cell>
          <cell r="N30"/>
          <cell r="O30">
            <v>3500000</v>
          </cell>
          <cell r="P30">
            <v>512250</v>
          </cell>
          <cell r="Q30">
            <v>1187750</v>
          </cell>
          <cell r="R30">
            <v>1800000</v>
          </cell>
          <cell r="S30">
            <v>16990000</v>
          </cell>
          <cell r="T30"/>
          <cell r="U30">
            <v>4200000</v>
          </cell>
          <cell r="V30">
            <v>512250</v>
          </cell>
          <cell r="W30">
            <v>1187750</v>
          </cell>
          <cell r="X30">
            <v>2500000</v>
          </cell>
          <cell r="Y30">
            <v>16290000</v>
          </cell>
          <cell r="Z30"/>
          <cell r="AA30" t="str">
            <v>ISO</v>
          </cell>
          <cell r="AB30" t="str">
            <v>ISO</v>
          </cell>
        </row>
        <row r="31">
          <cell r="A31"/>
          <cell r="B31"/>
          <cell r="C31"/>
          <cell r="D31"/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</row>
        <row r="32">
          <cell r="A32"/>
          <cell r="B32"/>
          <cell r="C32" t="str">
            <v>C5 Aircross</v>
          </cell>
          <cell r="D32"/>
          <cell r="E32"/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>
            <v>0</v>
          </cell>
          <cell r="AB32"/>
        </row>
        <row r="33">
          <cell r="A33"/>
          <cell r="B33"/>
          <cell r="C33" t="str">
            <v>C5 Aircross Feel Pack Diesel 130HP AT</v>
          </cell>
          <cell r="D33" t="str">
            <v>1CCESYTMK1JRA061275</v>
          </cell>
          <cell r="E33" t="str">
            <v>CT8284E60421S00-1</v>
          </cell>
          <cell r="F33"/>
          <cell r="G33">
            <v>26990000</v>
          </cell>
          <cell r="H33">
            <v>22680672.268907566</v>
          </cell>
          <cell r="I33"/>
          <cell r="J33">
            <v>1000000</v>
          </cell>
          <cell r="K33">
            <v>500000</v>
          </cell>
          <cell r="L33">
            <v>500000</v>
          </cell>
          <cell r="M33">
            <v>25990000</v>
          </cell>
          <cell r="N33"/>
          <cell r="O33">
            <v>1900000</v>
          </cell>
          <cell r="P33">
            <v>500000</v>
          </cell>
          <cell r="Q33">
            <v>500000</v>
          </cell>
          <cell r="R33">
            <v>900000</v>
          </cell>
          <cell r="S33">
            <v>25090000</v>
          </cell>
          <cell r="T33"/>
          <cell r="U33">
            <v>2300000</v>
          </cell>
          <cell r="V33">
            <v>500000</v>
          </cell>
          <cell r="W33">
            <v>500000</v>
          </cell>
          <cell r="X33">
            <v>1300000</v>
          </cell>
          <cell r="Y33">
            <v>24690000</v>
          </cell>
          <cell r="Z33"/>
          <cell r="AA33" t="str">
            <v>ISO</v>
          </cell>
          <cell r="AB33" t="str">
            <v>ISO</v>
          </cell>
        </row>
        <row r="34">
          <cell r="A34"/>
          <cell r="B34"/>
          <cell r="C34" t="str">
            <v>C5 Aircross Shine Diesel 130HP AT</v>
          </cell>
          <cell r="D34" t="str">
            <v>1CCESYVMK1JRA070193</v>
          </cell>
          <cell r="E34" t="str">
            <v>CT8284E60421S00-1</v>
          </cell>
          <cell r="F34"/>
          <cell r="G34">
            <v>30990000</v>
          </cell>
          <cell r="H34">
            <v>26042016.806722689</v>
          </cell>
          <cell r="I34"/>
          <cell r="J34">
            <v>1000000</v>
          </cell>
          <cell r="K34">
            <v>500000</v>
          </cell>
          <cell r="L34">
            <v>500000</v>
          </cell>
          <cell r="M34">
            <v>29990000</v>
          </cell>
          <cell r="N34"/>
          <cell r="O34">
            <v>1900000</v>
          </cell>
          <cell r="P34">
            <v>500000</v>
          </cell>
          <cell r="Q34">
            <v>500000</v>
          </cell>
          <cell r="R34">
            <v>900000</v>
          </cell>
          <cell r="S34">
            <v>29090000</v>
          </cell>
          <cell r="T34"/>
          <cell r="U34">
            <v>2300000</v>
          </cell>
          <cell r="V34">
            <v>500000</v>
          </cell>
          <cell r="W34">
            <v>500000</v>
          </cell>
          <cell r="X34">
            <v>1300000</v>
          </cell>
          <cell r="Y34">
            <v>28690000</v>
          </cell>
          <cell r="Z34"/>
          <cell r="AA34" t="str">
            <v>ISO</v>
          </cell>
          <cell r="AB34" t="str">
            <v>ISO</v>
          </cell>
        </row>
        <row r="35">
          <cell r="A35"/>
          <cell r="B35"/>
          <cell r="C35"/>
          <cell r="D35"/>
          <cell r="E35"/>
          <cell r="F35"/>
          <cell r="G35"/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</row>
        <row r="36">
          <cell r="A36"/>
          <cell r="B36"/>
          <cell r="C36" t="str">
            <v>BERLINGO MULTISPACE MCA</v>
          </cell>
          <cell r="D36"/>
          <cell r="E36"/>
          <cell r="F36"/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>
            <v>0</v>
          </cell>
          <cell r="AB36"/>
        </row>
        <row r="37">
          <cell r="A37" t="str">
            <v>Berlingo MCA Multispace XL BlueHDi 100 Feel</v>
          </cell>
          <cell r="B37"/>
          <cell r="C37" t="str">
            <v>Berlingo Multispace MCA Plus XL Diesel 100HP MT</v>
          </cell>
          <cell r="D37" t="str">
            <v>1CK9CLSMNKJRA070269</v>
          </cell>
          <cell r="E37" t="str">
            <v>CT9512E60524S00-4</v>
          </cell>
          <cell r="F37"/>
          <cell r="G37">
            <v>23090000</v>
          </cell>
          <cell r="H37">
            <v>19403361.344537817</v>
          </cell>
          <cell r="I37"/>
          <cell r="J37">
            <v>2100000</v>
          </cell>
          <cell r="K37">
            <v>577250</v>
          </cell>
          <cell r="L37">
            <v>1522750</v>
          </cell>
          <cell r="M37">
            <v>20990000</v>
          </cell>
          <cell r="N37"/>
          <cell r="O37">
            <v>3200000</v>
          </cell>
          <cell r="P37">
            <v>577250</v>
          </cell>
          <cell r="Q37">
            <v>1522750</v>
          </cell>
          <cell r="R37">
            <v>1100000</v>
          </cell>
          <cell r="S37">
            <v>19890000</v>
          </cell>
          <cell r="T37"/>
          <cell r="U37">
            <v>3600000</v>
          </cell>
          <cell r="V37">
            <v>577250</v>
          </cell>
          <cell r="W37">
            <v>1522750</v>
          </cell>
          <cell r="X37">
            <v>1500000</v>
          </cell>
          <cell r="Y37">
            <v>19490000</v>
          </cell>
          <cell r="Z37"/>
          <cell r="AA37" t="str">
            <v>ISO</v>
          </cell>
          <cell r="AB37" t="str">
            <v>ISO</v>
          </cell>
        </row>
        <row r="38">
          <cell r="A38" t="str">
            <v>Berlingo MCA Multispace XL BlueHDi 130 EAT8 Feel</v>
          </cell>
          <cell r="B38"/>
          <cell r="C38" t="str">
            <v>Berlingo Multispace MCA Plus XL Diesel 130HP AT</v>
          </cell>
          <cell r="D38" t="str">
            <v>1CK9CLSMK1JRA070269</v>
          </cell>
          <cell r="E38" t="str">
            <v>CT9515E60524S00-0</v>
          </cell>
          <cell r="F38"/>
          <cell r="G38">
            <v>25090000</v>
          </cell>
          <cell r="H38">
            <v>21084033.613445379</v>
          </cell>
          <cell r="I38"/>
          <cell r="J38">
            <v>2100000</v>
          </cell>
          <cell r="K38">
            <v>627250</v>
          </cell>
          <cell r="L38">
            <v>1472750</v>
          </cell>
          <cell r="M38">
            <v>22990000</v>
          </cell>
          <cell r="N38"/>
          <cell r="O38">
            <v>3200000</v>
          </cell>
          <cell r="P38">
            <v>627250</v>
          </cell>
          <cell r="Q38">
            <v>1472750</v>
          </cell>
          <cell r="R38">
            <v>1100000</v>
          </cell>
          <cell r="S38">
            <v>21890000</v>
          </cell>
          <cell r="T38"/>
          <cell r="U38">
            <v>3600000</v>
          </cell>
          <cell r="V38">
            <v>627250</v>
          </cell>
          <cell r="W38">
            <v>1472750</v>
          </cell>
          <cell r="X38">
            <v>1500000</v>
          </cell>
          <cell r="Y38">
            <v>21490000</v>
          </cell>
          <cell r="Z38"/>
          <cell r="AA38" t="str">
            <v>ISO</v>
          </cell>
          <cell r="AB38" t="str">
            <v>ISO</v>
          </cell>
        </row>
        <row r="39">
          <cell r="A39"/>
          <cell r="B39"/>
          <cell r="C39"/>
          <cell r="D39"/>
          <cell r="E39"/>
          <cell r="F39"/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</row>
        <row r="40">
          <cell r="G40"/>
          <cell r="H40"/>
          <cell r="J40"/>
          <cell r="K40"/>
          <cell r="L40"/>
          <cell r="M40"/>
          <cell r="O40"/>
          <cell r="P40"/>
          <cell r="Q40"/>
          <cell r="R40"/>
          <cell r="S40"/>
          <cell r="U40"/>
          <cell r="V40"/>
          <cell r="W40"/>
          <cell r="X40"/>
          <cell r="Y40"/>
        </row>
        <row r="41">
          <cell r="G41"/>
          <cell r="H41"/>
          <cell r="J41"/>
          <cell r="K41"/>
          <cell r="L41"/>
          <cell r="M41"/>
          <cell r="O41"/>
          <cell r="P41"/>
          <cell r="Q41"/>
          <cell r="R41"/>
          <cell r="S41"/>
          <cell r="U41"/>
          <cell r="V41"/>
          <cell r="W41"/>
          <cell r="X41"/>
          <cell r="Y41"/>
        </row>
        <row r="42">
          <cell r="C42"/>
          <cell r="D42"/>
          <cell r="E42"/>
          <cell r="F42"/>
          <cell r="G42"/>
          <cell r="H42"/>
          <cell r="J42"/>
          <cell r="K42"/>
          <cell r="L42"/>
          <cell r="M42"/>
          <cell r="O42"/>
          <cell r="P42"/>
          <cell r="Q42"/>
          <cell r="R42"/>
          <cell r="S42"/>
          <cell r="U42"/>
          <cell r="V42"/>
          <cell r="W42"/>
          <cell r="X42"/>
          <cell r="Y42"/>
        </row>
        <row r="43">
          <cell r="C43"/>
          <cell r="D43"/>
          <cell r="E43"/>
          <cell r="F43"/>
          <cell r="G43"/>
          <cell r="H43"/>
          <cell r="J43"/>
          <cell r="K43"/>
          <cell r="L43"/>
          <cell r="M43"/>
          <cell r="O43"/>
          <cell r="P43"/>
          <cell r="Q43"/>
          <cell r="R43"/>
          <cell r="S43"/>
          <cell r="U43"/>
          <cell r="V43"/>
          <cell r="W43"/>
          <cell r="X43"/>
          <cell r="Y43"/>
        </row>
        <row r="44">
          <cell r="C44"/>
          <cell r="D44"/>
          <cell r="E44"/>
          <cell r="F44"/>
        </row>
        <row r="45">
          <cell r="C45"/>
          <cell r="D45"/>
          <cell r="E45"/>
          <cell r="F45"/>
        </row>
        <row r="46">
          <cell r="C46"/>
          <cell r="D46"/>
          <cell r="E46"/>
          <cell r="F46"/>
        </row>
        <row r="47">
          <cell r="C47"/>
          <cell r="D47"/>
          <cell r="E47"/>
          <cell r="F47"/>
        </row>
      </sheetData>
      <sheetData sheetId="1">
        <row r="1">
          <cell r="B1"/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  <cell r="AA1"/>
          <cell r="AB1"/>
          <cell r="AC1"/>
          <cell r="AD1"/>
          <cell r="AE1"/>
          <cell r="AF1"/>
          <cell r="AG1"/>
          <cell r="AH1"/>
          <cell r="AI1"/>
          <cell r="AJ1"/>
          <cell r="AK1"/>
          <cell r="AL1"/>
          <cell r="AM1"/>
        </row>
        <row r="2">
          <cell r="B2"/>
          <cell r="C2"/>
          <cell r="D2"/>
          <cell r="E2" t="str">
            <v>LISTA DE PRECIOS VEHÍCULOS NUEVOS</v>
          </cell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  <cell r="AH2"/>
          <cell r="AI2"/>
          <cell r="AJ2"/>
          <cell r="AK2"/>
          <cell r="AL2"/>
          <cell r="AM2"/>
        </row>
        <row r="3">
          <cell r="B3"/>
          <cell r="C3"/>
          <cell r="D3"/>
          <cell r="E3" t="str">
            <v>Nº 05 - 2026</v>
          </cell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C3"/>
          <cell r="AD3"/>
          <cell r="AE3"/>
          <cell r="AF3"/>
          <cell r="AG3"/>
          <cell r="AH3"/>
          <cell r="AI3"/>
          <cell r="AJ3"/>
          <cell r="AK3"/>
          <cell r="AL3"/>
          <cell r="AM3"/>
        </row>
        <row r="4">
          <cell r="B4"/>
          <cell r="C4"/>
          <cell r="D4"/>
          <cell r="E4">
            <v>46143</v>
          </cell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  <cell r="AH4"/>
          <cell r="AI4"/>
          <cell r="AJ4"/>
          <cell r="AK4"/>
          <cell r="AL4"/>
          <cell r="AM4"/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C5"/>
          <cell r="AD5"/>
          <cell r="AE5"/>
          <cell r="AF5"/>
          <cell r="AG5"/>
          <cell r="AH5"/>
          <cell r="AI5"/>
          <cell r="AJ5"/>
          <cell r="AK5"/>
          <cell r="AL5"/>
          <cell r="AM5"/>
        </row>
        <row r="6">
          <cell r="B6"/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C6"/>
          <cell r="AD6"/>
          <cell r="AE6"/>
          <cell r="AF6"/>
          <cell r="AG6"/>
          <cell r="AH6"/>
          <cell r="AI6"/>
          <cell r="AJ6"/>
          <cell r="AK6"/>
          <cell r="AL6"/>
          <cell r="AM6"/>
        </row>
        <row r="7">
          <cell r="B7"/>
          <cell r="C7"/>
          <cell r="D7"/>
          <cell r="E7"/>
          <cell r="F7"/>
          <cell r="G7"/>
          <cell r="H7"/>
          <cell r="I7"/>
          <cell r="J7"/>
          <cell r="K7" t="str">
            <v>Tope CE</v>
          </cell>
          <cell r="L7"/>
          <cell r="M7"/>
          <cell r="N7"/>
          <cell r="O7">
            <v>2.5000000000000001E-2</v>
          </cell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</row>
        <row r="8">
          <cell r="A8"/>
          <cell r="B8"/>
          <cell r="C8" t="str">
            <v>VEHÍCULOS COMERCIALES</v>
          </cell>
          <cell r="D8" t="str">
            <v>LCDV</v>
          </cell>
          <cell r="E8" t="str">
            <v>CIT</v>
          </cell>
          <cell r="F8"/>
          <cell r="G8" t="str">
            <v>PRECIO LISTA</v>
          </cell>
          <cell r="H8"/>
          <cell r="I8"/>
          <cell r="J8" t="str">
            <v>TODO MEDIO DE PAGO</v>
          </cell>
          <cell r="K8"/>
          <cell r="L8"/>
          <cell r="M8"/>
          <cell r="N8"/>
          <cell r="O8"/>
          <cell r="P8"/>
          <cell r="Q8" t="str">
            <v>CRÉDITO CONVENCIONAL</v>
          </cell>
          <cell r="R8"/>
          <cell r="S8"/>
          <cell r="T8"/>
          <cell r="U8"/>
          <cell r="V8"/>
          <cell r="W8"/>
          <cell r="X8"/>
          <cell r="Y8" t="str">
            <v>COMPRA INTELIGENTE</v>
          </cell>
          <cell r="Z8"/>
          <cell r="AA8"/>
          <cell r="AB8"/>
          <cell r="AC8"/>
          <cell r="AD8"/>
          <cell r="AE8"/>
          <cell r="AF8"/>
          <cell r="AG8" t="str">
            <v>∆ Precio 
Lista M-1</v>
          </cell>
          <cell r="AH8" t="str">
            <v>∆ Precio 
TMP M-1</v>
          </cell>
          <cell r="AI8" t="str">
            <v>∆ Precio 
CC M-1</v>
          </cell>
          <cell r="AJ8"/>
          <cell r="AK8" t="str">
            <v>Margen 
Red</v>
          </cell>
          <cell r="AL8" t="str">
            <v>Costo CE</v>
          </cell>
          <cell r="AM8" t="str">
            <v>Factura Neta</v>
          </cell>
        </row>
        <row r="9">
          <cell r="A9" t="str">
            <v>CÓDIGO REF</v>
          </cell>
          <cell r="B9"/>
          <cell r="C9"/>
          <cell r="D9"/>
          <cell r="E9"/>
          <cell r="F9"/>
          <cell r="G9" t="str">
            <v>CON IVA</v>
          </cell>
          <cell r="H9" t="str">
            <v>SIN IVA</v>
          </cell>
          <cell r="I9"/>
          <cell r="J9" t="str">
            <v>BONO CON IVA</v>
          </cell>
          <cell r="K9" t="str">
            <v>BONO SIN IVA</v>
          </cell>
          <cell r="L9" t="str">
            <v>APORTE RED</v>
          </cell>
          <cell r="M9" t="str">
            <v>APORTE STELLANTIS</v>
          </cell>
          <cell r="N9" t="str">
            <v>PRECIO CON IVA</v>
          </cell>
          <cell r="O9" t="str">
            <v>PRECIO SIN IVA</v>
          </cell>
          <cell r="P9"/>
          <cell r="Q9" t="str">
            <v>BONO CON IVA</v>
          </cell>
          <cell r="R9" t="str">
            <v>BONO SIN IVA</v>
          </cell>
          <cell r="S9" t="str">
            <v>APORTE RED</v>
          </cell>
          <cell r="T9" t="str">
            <v>APORTE STELLANTIS</v>
          </cell>
          <cell r="U9" t="str">
            <v>APORTE FINANCIERA</v>
          </cell>
          <cell r="V9" t="str">
            <v>PRECIO CON IVA</v>
          </cell>
          <cell r="W9" t="str">
            <v>PRECIO SIN IVA</v>
          </cell>
          <cell r="X9" t="str">
            <v/>
          </cell>
          <cell r="Y9" t="str">
            <v>BONO CON IVA</v>
          </cell>
          <cell r="Z9" t="str">
            <v>BONO SIN IVA</v>
          </cell>
          <cell r="AA9" t="str">
            <v>APORTE RED</v>
          </cell>
          <cell r="AB9" t="str">
            <v>APORTE STELLANTIS</v>
          </cell>
          <cell r="AC9" t="str">
            <v>APORTE FINANCIERA</v>
          </cell>
          <cell r="AD9" t="str">
            <v>PRECIO CON IVA</v>
          </cell>
          <cell r="AE9" t="str">
            <v>PRECIO SIN IVA</v>
          </cell>
          <cell r="AF9"/>
          <cell r="AG9"/>
          <cell r="AH9"/>
          <cell r="AI9"/>
          <cell r="AJ9"/>
          <cell r="AK9"/>
          <cell r="AL9"/>
          <cell r="AM9"/>
        </row>
        <row r="10">
          <cell r="A10"/>
          <cell r="B10"/>
          <cell r="C10"/>
          <cell r="D10"/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</row>
        <row r="11">
          <cell r="A11"/>
          <cell r="B11"/>
          <cell r="C11" t="str">
            <v>BERLINGO MCA</v>
          </cell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/>
          <cell r="AG11">
            <v>0</v>
          </cell>
          <cell r="AH11"/>
          <cell r="AI11"/>
          <cell r="AJ11"/>
          <cell r="AK11">
            <v>0</v>
          </cell>
          <cell r="AL11"/>
          <cell r="AM11">
            <v>0</v>
          </cell>
        </row>
        <row r="12">
          <cell r="A12" t="str">
            <v>Berlingo MCA M BlueHDi 100</v>
          </cell>
          <cell r="B12"/>
          <cell r="C12" t="str">
            <v>Berlingo MCA M Diesel 100HP MT</v>
          </cell>
          <cell r="D12" t="str">
            <v>2CK91CNMNKJRA070208</v>
          </cell>
          <cell r="E12" t="str">
            <v>CT9509E60524S01-1</v>
          </cell>
          <cell r="F12"/>
          <cell r="G12">
            <v>23074100</v>
          </cell>
          <cell r="H12">
            <v>19390000</v>
          </cell>
          <cell r="I12"/>
          <cell r="J12">
            <v>2499000</v>
          </cell>
          <cell r="K12">
            <v>2100000</v>
          </cell>
          <cell r="L12">
            <v>484750</v>
          </cell>
          <cell r="M12">
            <v>1615250</v>
          </cell>
          <cell r="N12">
            <v>20575100</v>
          </cell>
          <cell r="O12">
            <v>17290000</v>
          </cell>
          <cell r="P12"/>
          <cell r="Q12">
            <v>3094000</v>
          </cell>
          <cell r="R12">
            <v>2600000</v>
          </cell>
          <cell r="S12">
            <v>484750</v>
          </cell>
          <cell r="T12">
            <v>1615250</v>
          </cell>
          <cell r="U12">
            <v>500000</v>
          </cell>
          <cell r="V12">
            <v>19980100</v>
          </cell>
          <cell r="W12">
            <v>16790000</v>
          </cell>
          <cell r="X12"/>
          <cell r="Y12">
            <v>0</v>
          </cell>
          <cell r="Z12" t="str">
            <v>N/A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/>
          <cell r="AG12" t="str">
            <v>ISO</v>
          </cell>
          <cell r="AH12">
            <v>-400000</v>
          </cell>
          <cell r="AI12">
            <v>-400000</v>
          </cell>
          <cell r="AJ12"/>
          <cell r="AK12">
            <v>0.1</v>
          </cell>
          <cell r="AL12">
            <v>20766690</v>
          </cell>
          <cell r="AM12">
            <v>17451000</v>
          </cell>
        </row>
        <row r="13">
          <cell r="A13" t="str">
            <v>Berlingo MCA XL BlueHDi 100</v>
          </cell>
          <cell r="B13"/>
          <cell r="C13" t="str">
            <v>Berlingo MCA XL Diesel 100HP MT</v>
          </cell>
          <cell r="D13" t="str">
            <v>2CK95CNMNKJRA080208</v>
          </cell>
          <cell r="E13" t="str">
            <v>CT9509E60524S00-8</v>
          </cell>
          <cell r="F13"/>
          <cell r="G13">
            <v>24026100</v>
          </cell>
          <cell r="H13">
            <v>20190000</v>
          </cell>
          <cell r="I13"/>
          <cell r="J13">
            <v>2499000</v>
          </cell>
          <cell r="K13">
            <v>2100000</v>
          </cell>
          <cell r="L13">
            <v>504750</v>
          </cell>
          <cell r="M13">
            <v>1595250</v>
          </cell>
          <cell r="N13">
            <v>21527100</v>
          </cell>
          <cell r="O13">
            <v>18090000</v>
          </cell>
          <cell r="P13"/>
          <cell r="Q13">
            <v>3094000</v>
          </cell>
          <cell r="R13">
            <v>2600000</v>
          </cell>
          <cell r="S13">
            <v>504750</v>
          </cell>
          <cell r="T13">
            <v>1595250</v>
          </cell>
          <cell r="U13">
            <v>500000</v>
          </cell>
          <cell r="V13">
            <v>20932100</v>
          </cell>
          <cell r="W13">
            <v>17590000</v>
          </cell>
          <cell r="X13"/>
          <cell r="Y13">
            <v>0</v>
          </cell>
          <cell r="Z13" t="str">
            <v>N/A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/>
          <cell r="AG13" t="str">
            <v>ISO</v>
          </cell>
          <cell r="AH13">
            <v>-400000</v>
          </cell>
          <cell r="AI13">
            <v>-400000</v>
          </cell>
          <cell r="AJ13"/>
          <cell r="AK13">
            <v>0.1</v>
          </cell>
          <cell r="AL13">
            <v>21623490</v>
          </cell>
          <cell r="AM13">
            <v>18171000</v>
          </cell>
        </row>
        <row r="14">
          <cell r="A14"/>
          <cell r="B14"/>
          <cell r="C14"/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C14"/>
          <cell r="AD14"/>
          <cell r="AE14"/>
          <cell r="AF14"/>
          <cell r="AG14"/>
          <cell r="AH14">
            <v>700000</v>
          </cell>
          <cell r="AI14">
            <v>700000</v>
          </cell>
          <cell r="AJ14"/>
          <cell r="AK14"/>
          <cell r="AL14"/>
          <cell r="AM14"/>
        </row>
        <row r="15">
          <cell r="A15"/>
          <cell r="B15"/>
          <cell r="C15" t="str">
            <v>JUMPY MCA</v>
          </cell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</row>
        <row r="16">
          <cell r="A16" t="str">
            <v>JUMPY MCA Comfort XL BlueHDi 145</v>
          </cell>
          <cell r="B16"/>
          <cell r="C16" t="str">
            <v>Jumpy MCA XL Diesel 145HP MT</v>
          </cell>
          <cell r="D16" t="str">
            <v>2CK0F3NWR6JRA0J0207</v>
          </cell>
          <cell r="E16" t="str">
            <v>CT9684E61024M00-1</v>
          </cell>
          <cell r="F16"/>
          <cell r="G16">
            <v>31404100</v>
          </cell>
          <cell r="H16">
            <v>26390000</v>
          </cell>
          <cell r="I16"/>
          <cell r="J16">
            <v>3927000</v>
          </cell>
          <cell r="K16">
            <v>3300000</v>
          </cell>
          <cell r="L16">
            <v>659750</v>
          </cell>
          <cell r="M16">
            <v>2640250</v>
          </cell>
          <cell r="N16">
            <v>27477100</v>
          </cell>
          <cell r="O16">
            <v>23090000</v>
          </cell>
          <cell r="P16"/>
          <cell r="Q16">
            <v>4522000</v>
          </cell>
          <cell r="R16">
            <v>3800000</v>
          </cell>
          <cell r="S16">
            <v>659750</v>
          </cell>
          <cell r="T16">
            <v>2640250</v>
          </cell>
          <cell r="U16">
            <v>500000</v>
          </cell>
          <cell r="V16">
            <v>26882100</v>
          </cell>
          <cell r="W16">
            <v>22590000</v>
          </cell>
          <cell r="X16"/>
          <cell r="Y16">
            <v>0</v>
          </cell>
          <cell r="Z16" t="str">
            <v>N/A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/>
          <cell r="AG16" t="str">
            <v>ISO</v>
          </cell>
          <cell r="AH16" t="str">
            <v>ISO</v>
          </cell>
          <cell r="AI16" t="str">
            <v>ISO</v>
          </cell>
          <cell r="AJ16"/>
          <cell r="AK16">
            <v>0.1</v>
          </cell>
          <cell r="AL16">
            <v>28263690</v>
          </cell>
          <cell r="AM16">
            <v>23751000</v>
          </cell>
        </row>
        <row r="17">
          <cell r="A17"/>
          <cell r="B17"/>
          <cell r="C17"/>
          <cell r="D17"/>
          <cell r="E17"/>
          <cell r="F17"/>
          <cell r="G17"/>
          <cell r="H17"/>
          <cell r="I17"/>
          <cell r="J17"/>
          <cell r="K17">
            <v>527800</v>
          </cell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H17">
            <v>700000</v>
          </cell>
          <cell r="AI17">
            <v>700000</v>
          </cell>
          <cell r="AJ17"/>
          <cell r="AK17"/>
          <cell r="AL17"/>
          <cell r="AM17"/>
        </row>
        <row r="18">
          <cell r="A18"/>
          <cell r="B18"/>
          <cell r="C18" t="str">
            <v>SPACETOURER MCA</v>
          </cell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</row>
        <row r="19">
          <cell r="A19" t="str">
            <v>Spacetourer MCA BlueHDi 180 EAT8 8P</v>
          </cell>
          <cell r="B19"/>
          <cell r="C19" t="str">
            <v>Spacetourer MCA 8P Diesel 180HP AT</v>
          </cell>
          <cell r="D19" t="str">
            <v>1CK0NPQWQ1JRA0K0194</v>
          </cell>
          <cell r="E19" t="str">
            <v>CT9611E60824M00-8</v>
          </cell>
          <cell r="F19"/>
          <cell r="G19">
            <v>36640100</v>
          </cell>
          <cell r="H19">
            <v>30790000</v>
          </cell>
          <cell r="I19"/>
          <cell r="J19">
            <v>4998000</v>
          </cell>
          <cell r="K19">
            <v>4200000</v>
          </cell>
          <cell r="L19">
            <v>769750</v>
          </cell>
          <cell r="M19">
            <v>3430250</v>
          </cell>
          <cell r="N19">
            <v>31642100</v>
          </cell>
          <cell r="O19">
            <v>26590000</v>
          </cell>
          <cell r="P19"/>
          <cell r="Q19">
            <v>5593000</v>
          </cell>
          <cell r="R19">
            <v>4700000</v>
          </cell>
          <cell r="S19">
            <v>769750</v>
          </cell>
          <cell r="T19">
            <v>3430250</v>
          </cell>
          <cell r="U19">
            <v>500000</v>
          </cell>
          <cell r="V19">
            <v>31047100</v>
          </cell>
          <cell r="W19">
            <v>26090000</v>
          </cell>
          <cell r="X19"/>
          <cell r="Y19">
            <v>0</v>
          </cell>
          <cell r="Z19" t="str">
            <v>N/A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/>
          <cell r="AG19" t="str">
            <v>ISO</v>
          </cell>
          <cell r="AH19" t="str">
            <v>ISO</v>
          </cell>
          <cell r="AI19" t="str">
            <v>ISO</v>
          </cell>
          <cell r="AJ19"/>
          <cell r="AK19">
            <v>0.1</v>
          </cell>
          <cell r="AL19">
            <v>32976090</v>
          </cell>
          <cell r="AM19">
            <v>27711000</v>
          </cell>
        </row>
        <row r="20">
          <cell r="A20" t="str">
            <v>Spacetourer MCA BlueHDi 180 EAT8 9P</v>
          </cell>
          <cell r="B20"/>
          <cell r="C20" t="str">
            <v>Spacetourer MCA 9P Diesel 180HP AT</v>
          </cell>
          <cell r="D20" t="str">
            <v>1CK0NPQWQ1JRA0K0335</v>
          </cell>
          <cell r="E20" t="str">
            <v>CT9611E60824M01-1</v>
          </cell>
          <cell r="F20"/>
          <cell r="G20">
            <v>36759100</v>
          </cell>
          <cell r="H20">
            <v>30890000</v>
          </cell>
          <cell r="I20"/>
          <cell r="J20">
            <v>4998000</v>
          </cell>
          <cell r="K20">
            <v>4200000</v>
          </cell>
          <cell r="L20">
            <v>772250</v>
          </cell>
          <cell r="M20">
            <v>3427750</v>
          </cell>
          <cell r="N20">
            <v>31761100</v>
          </cell>
          <cell r="O20">
            <v>26690000</v>
          </cell>
          <cell r="P20"/>
          <cell r="Q20">
            <v>5593000</v>
          </cell>
          <cell r="R20">
            <v>4700000</v>
          </cell>
          <cell r="S20">
            <v>772250</v>
          </cell>
          <cell r="T20">
            <v>3427750</v>
          </cell>
          <cell r="U20">
            <v>500000</v>
          </cell>
          <cell r="V20">
            <v>31166100</v>
          </cell>
          <cell r="W20">
            <v>26190000</v>
          </cell>
          <cell r="X20"/>
          <cell r="Y20">
            <v>0</v>
          </cell>
          <cell r="Z20" t="str">
            <v>N/A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/>
          <cell r="AG20" t="str">
            <v>ISO</v>
          </cell>
          <cell r="AH20" t="str">
            <v>ISO</v>
          </cell>
          <cell r="AI20" t="str">
            <v>ISO</v>
          </cell>
          <cell r="AJ20"/>
          <cell r="AK20">
            <v>0.1</v>
          </cell>
          <cell r="AL20">
            <v>33083190</v>
          </cell>
          <cell r="AM20">
            <v>27801000</v>
          </cell>
        </row>
        <row r="21">
          <cell r="A21"/>
          <cell r="B21"/>
          <cell r="C21"/>
          <cell r="D21">
            <v>19</v>
          </cell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</row>
        <row r="22">
          <cell r="A22"/>
          <cell r="B22"/>
          <cell r="C22" t="str">
            <v>JUMPER MCA</v>
          </cell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>
            <v>0</v>
          </cell>
          <cell r="AL22"/>
          <cell r="AM22">
            <v>0</v>
          </cell>
        </row>
        <row r="23">
          <cell r="A23" t="str">
            <v>JUMPER MCA L2H2 BlueHDi</v>
          </cell>
          <cell r="B23"/>
          <cell r="C23" t="str">
            <v>Jumper MCA L2H2 Diesel 140HP MT</v>
          </cell>
          <cell r="D23" t="str">
            <v>2CXE3LHOK6NXA010353</v>
          </cell>
          <cell r="E23" t="str">
            <v xml:space="preserve"> CT9964E60525M03-2</v>
          </cell>
          <cell r="F23"/>
          <cell r="G23">
            <v>36640100</v>
          </cell>
          <cell r="H23">
            <v>30790000</v>
          </cell>
          <cell r="I23"/>
          <cell r="J23">
            <v>5593000</v>
          </cell>
          <cell r="K23">
            <v>4700000</v>
          </cell>
          <cell r="L23">
            <v>769750</v>
          </cell>
          <cell r="M23">
            <v>3930250</v>
          </cell>
          <cell r="N23">
            <v>31047100</v>
          </cell>
          <cell r="O23">
            <v>26090000</v>
          </cell>
          <cell r="P23"/>
          <cell r="Q23">
            <v>6188000</v>
          </cell>
          <cell r="R23">
            <v>5200000</v>
          </cell>
          <cell r="S23">
            <v>769750</v>
          </cell>
          <cell r="T23">
            <v>3930250</v>
          </cell>
          <cell r="U23">
            <v>500000</v>
          </cell>
          <cell r="V23">
            <v>30452100</v>
          </cell>
          <cell r="W23">
            <v>25590000</v>
          </cell>
          <cell r="X23"/>
          <cell r="Y23">
            <v>0</v>
          </cell>
          <cell r="Z23" t="str">
            <v>N/A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/>
          <cell r="AG23" t="str">
            <v>ISO</v>
          </cell>
          <cell r="AH23" t="str">
            <v>ISO</v>
          </cell>
          <cell r="AI23" t="str">
            <v>ISO</v>
          </cell>
          <cell r="AJ23"/>
          <cell r="AK23">
            <v>0.1</v>
          </cell>
          <cell r="AL23">
            <v>32976090</v>
          </cell>
          <cell r="AM23">
            <v>27711000</v>
          </cell>
        </row>
        <row r="24">
          <cell r="A24" t="str">
            <v>JUMPER MCA L3H2 BlueHDi</v>
          </cell>
          <cell r="B24"/>
          <cell r="C24" t="str">
            <v>Jumper MCA L3H2 Diesel 140HP MT</v>
          </cell>
          <cell r="D24" t="str">
            <v>2CXE5LHOK6NXA010353</v>
          </cell>
          <cell r="E24" t="str">
            <v>CT9964E60525M02-9</v>
          </cell>
          <cell r="F24"/>
          <cell r="G24">
            <v>37949100</v>
          </cell>
          <cell r="H24">
            <v>31890000</v>
          </cell>
          <cell r="I24"/>
          <cell r="J24">
            <v>5236000</v>
          </cell>
          <cell r="K24">
            <v>4400000</v>
          </cell>
          <cell r="L24">
            <v>797250</v>
          </cell>
          <cell r="M24">
            <v>3602750</v>
          </cell>
          <cell r="N24">
            <v>32713100</v>
          </cell>
          <cell r="O24">
            <v>27490000</v>
          </cell>
          <cell r="P24"/>
          <cell r="Q24">
            <v>5831000</v>
          </cell>
          <cell r="R24">
            <v>4900000</v>
          </cell>
          <cell r="S24">
            <v>797250</v>
          </cell>
          <cell r="T24">
            <v>3602750</v>
          </cell>
          <cell r="U24">
            <v>500000</v>
          </cell>
          <cell r="V24">
            <v>32118100</v>
          </cell>
          <cell r="W24">
            <v>26990000</v>
          </cell>
          <cell r="X24"/>
          <cell r="Y24">
            <v>0</v>
          </cell>
          <cell r="Z24" t="str">
            <v>N/A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/>
          <cell r="AG24" t="str">
            <v>ISO</v>
          </cell>
          <cell r="AH24" t="str">
            <v>ISO</v>
          </cell>
          <cell r="AI24" t="str">
            <v>ISO</v>
          </cell>
          <cell r="AJ24"/>
          <cell r="AK24">
            <v>0.1</v>
          </cell>
          <cell r="AL24">
            <v>34154190</v>
          </cell>
          <cell r="AM24">
            <v>28701000</v>
          </cell>
        </row>
        <row r="25">
          <cell r="A25" t="str">
            <v>JUMPER MCA L4H2 BlueHDi</v>
          </cell>
          <cell r="B25"/>
          <cell r="C25" t="str">
            <v>Jumper MCA L4H2 Diesel 140HP MT</v>
          </cell>
          <cell r="D25" t="str">
            <v>2CXE7LHOK6NXA010354</v>
          </cell>
          <cell r="E25" t="str">
            <v>CT9964E60525M00-1</v>
          </cell>
          <cell r="F25"/>
          <cell r="G25">
            <v>39139100</v>
          </cell>
          <cell r="H25">
            <v>32890000</v>
          </cell>
          <cell r="I25"/>
          <cell r="J25">
            <v>4522000</v>
          </cell>
          <cell r="K25">
            <v>3800000</v>
          </cell>
          <cell r="L25">
            <v>822250</v>
          </cell>
          <cell r="M25">
            <v>2977750</v>
          </cell>
          <cell r="N25">
            <v>34617100</v>
          </cell>
          <cell r="O25">
            <v>29090000</v>
          </cell>
          <cell r="P25"/>
          <cell r="Q25">
            <v>5117000</v>
          </cell>
          <cell r="R25">
            <v>4300000</v>
          </cell>
          <cell r="S25">
            <v>822250</v>
          </cell>
          <cell r="T25">
            <v>2977750</v>
          </cell>
          <cell r="U25">
            <v>500000</v>
          </cell>
          <cell r="V25">
            <v>34022100</v>
          </cell>
          <cell r="W25">
            <v>28590000</v>
          </cell>
          <cell r="X25"/>
          <cell r="Y25">
            <v>0</v>
          </cell>
          <cell r="Z25" t="str">
            <v>N/A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/>
          <cell r="AG25" t="str">
            <v>ISO</v>
          </cell>
          <cell r="AH25" t="str">
            <v>ISO</v>
          </cell>
          <cell r="AI25" t="str">
            <v>ISO</v>
          </cell>
          <cell r="AJ25"/>
          <cell r="AK25">
            <v>0.1</v>
          </cell>
          <cell r="AL25">
            <v>35225190</v>
          </cell>
          <cell r="AM25">
            <v>29601000</v>
          </cell>
        </row>
        <row r="26">
          <cell r="A26"/>
          <cell r="B26"/>
          <cell r="C26"/>
          <cell r="D26"/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</row>
        <row r="27">
          <cell r="G27"/>
          <cell r="H27"/>
          <cell r="J27"/>
          <cell r="K27"/>
          <cell r="L27"/>
          <cell r="M27"/>
          <cell r="N27"/>
          <cell r="O27"/>
          <cell r="Q27"/>
          <cell r="R27"/>
          <cell r="S27"/>
          <cell r="T27"/>
          <cell r="U27"/>
          <cell r="V27"/>
          <cell r="W27"/>
          <cell r="Y27"/>
          <cell r="Z27"/>
          <cell r="AA27"/>
          <cell r="AB27"/>
          <cell r="AC27"/>
          <cell r="AD27"/>
          <cell r="AE27"/>
        </row>
        <row r="28">
          <cell r="G28"/>
          <cell r="H28"/>
          <cell r="J28"/>
          <cell r="K28"/>
          <cell r="L28"/>
          <cell r="M28"/>
          <cell r="N28"/>
          <cell r="O28"/>
          <cell r="Q28"/>
          <cell r="R28"/>
          <cell r="S28"/>
          <cell r="T28"/>
          <cell r="U28"/>
          <cell r="V28"/>
          <cell r="W28"/>
          <cell r="Y28"/>
          <cell r="Z28"/>
          <cell r="AA28"/>
          <cell r="AB28"/>
          <cell r="AC28"/>
          <cell r="AD28"/>
          <cell r="AE28"/>
        </row>
        <row r="29">
          <cell r="A29"/>
          <cell r="B29"/>
          <cell r="C29"/>
          <cell r="D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Q29"/>
          <cell r="R29"/>
          <cell r="S29"/>
          <cell r="T29"/>
          <cell r="U29"/>
          <cell r="V29"/>
          <cell r="W29"/>
          <cell r="Y29"/>
          <cell r="Z29"/>
          <cell r="AA29"/>
          <cell r="AB29"/>
          <cell r="AC29"/>
          <cell r="AD29"/>
          <cell r="AE29"/>
          <cell r="AG29"/>
          <cell r="AH29"/>
          <cell r="AI29"/>
          <cell r="AJ29"/>
          <cell r="AK29"/>
          <cell r="AL29"/>
          <cell r="AM29"/>
        </row>
        <row r="30">
          <cell r="A30"/>
          <cell r="B30"/>
          <cell r="C30"/>
          <cell r="D30"/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Q30"/>
          <cell r="R30"/>
          <cell r="S30"/>
          <cell r="T30"/>
          <cell r="U30"/>
          <cell r="V30"/>
          <cell r="W30"/>
          <cell r="Y30"/>
          <cell r="Z30"/>
          <cell r="AA30"/>
          <cell r="AB30"/>
          <cell r="AC30"/>
          <cell r="AD30"/>
          <cell r="AE30"/>
          <cell r="AG30"/>
          <cell r="AH30"/>
          <cell r="AI30"/>
          <cell r="AJ30"/>
          <cell r="AK30"/>
          <cell r="AL30"/>
          <cell r="AM30"/>
        </row>
        <row r="31">
          <cell r="A31"/>
          <cell r="B31"/>
          <cell r="C31"/>
          <cell r="D31"/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Q31"/>
          <cell r="R31"/>
          <cell r="S31"/>
          <cell r="T31"/>
          <cell r="U31"/>
          <cell r="V31"/>
          <cell r="W31"/>
          <cell r="Y31"/>
          <cell r="Z31"/>
          <cell r="AA31"/>
          <cell r="AB31"/>
          <cell r="AC31"/>
          <cell r="AD31"/>
          <cell r="AE31"/>
          <cell r="AG31"/>
          <cell r="AH31"/>
          <cell r="AI31"/>
          <cell r="AJ31"/>
          <cell r="AK31"/>
          <cell r="AL31"/>
          <cell r="AM31"/>
        </row>
        <row r="32">
          <cell r="A32"/>
          <cell r="B32"/>
          <cell r="C32"/>
          <cell r="D32"/>
          <cell r="E32"/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Q32"/>
          <cell r="R32"/>
          <cell r="S32"/>
          <cell r="T32"/>
          <cell r="U32"/>
          <cell r="V32"/>
          <cell r="W32"/>
          <cell r="Y32"/>
          <cell r="Z32"/>
          <cell r="AA32"/>
          <cell r="AB32"/>
          <cell r="AC32"/>
          <cell r="AD32"/>
          <cell r="AE32"/>
          <cell r="AG32"/>
          <cell r="AH32"/>
          <cell r="AI32"/>
          <cell r="AJ32"/>
          <cell r="AK32"/>
          <cell r="AL32"/>
          <cell r="AM32"/>
        </row>
        <row r="33">
          <cell r="A33"/>
          <cell r="B33"/>
          <cell r="C33"/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Q33"/>
          <cell r="R33"/>
          <cell r="S33"/>
          <cell r="T33"/>
          <cell r="U33"/>
          <cell r="V33"/>
          <cell r="W33"/>
          <cell r="Y33"/>
          <cell r="Z33"/>
          <cell r="AA33"/>
          <cell r="AB33"/>
          <cell r="AC33"/>
          <cell r="AD33"/>
          <cell r="AE33"/>
          <cell r="AG33"/>
          <cell r="AH33"/>
          <cell r="AI33"/>
          <cell r="AJ33"/>
          <cell r="AK33"/>
          <cell r="AL33"/>
          <cell r="AM33"/>
        </row>
        <row r="34">
          <cell r="A34"/>
          <cell r="B34"/>
          <cell r="C34"/>
          <cell r="D34"/>
          <cell r="E34"/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Q34"/>
          <cell r="R34"/>
          <cell r="S34"/>
          <cell r="T34"/>
          <cell r="U34"/>
          <cell r="V34"/>
          <cell r="W34"/>
          <cell r="Y34"/>
          <cell r="Z34"/>
          <cell r="AA34"/>
          <cell r="AB34"/>
          <cell r="AC34"/>
          <cell r="AD34"/>
          <cell r="AE34"/>
          <cell r="AG34"/>
          <cell r="AH34"/>
          <cell r="AI34"/>
          <cell r="AJ34"/>
          <cell r="AK34"/>
          <cell r="AL34"/>
          <cell r="AM34"/>
        </row>
      </sheetData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47"/>
  <sheetViews>
    <sheetView showGridLines="0" zoomScale="70" zoomScaleNormal="70" workbookViewId="0">
      <pane xSplit="5" ySplit="9" topLeftCell="F10" activePane="bottomRight" state="frozen"/>
      <selection activeCell="B1" sqref="B1"/>
      <selection pane="topRight" activeCell="F1" sqref="F1"/>
      <selection pane="bottomLeft" activeCell="B10" sqref="B10"/>
      <selection pane="bottomRight" activeCell="S7" sqref="S7"/>
    </sheetView>
  </sheetViews>
  <sheetFormatPr baseColWidth="10" defaultColWidth="3.5703125" defaultRowHeight="24.95" customHeight="1" outlineLevelCol="1"/>
  <cols>
    <col min="1" max="1" width="40.7109375" style="33" hidden="1" customWidth="1" outlineLevel="1"/>
    <col min="2" max="2" width="2.7109375" style="257" customWidth="1" collapsed="1"/>
    <col min="3" max="3" width="65.7109375" style="39" customWidth="1"/>
    <col min="4" max="4" width="35.7109375" style="60" hidden="1" customWidth="1" outlineLevel="1"/>
    <col min="5" max="5" width="35.7109375" style="60" customWidth="1" collapsed="1"/>
    <col min="6" max="6" width="2.7109375" style="60" customWidth="1"/>
    <col min="7" max="7" width="25.7109375" style="71" customWidth="1"/>
    <col min="8" max="8" width="25.7109375" style="71" hidden="1" customWidth="1" outlineLevel="1"/>
    <col min="9" max="9" width="2.7109375" style="39" customWidth="1" collapsed="1"/>
    <col min="10" max="10" width="25.7109375" style="65" customWidth="1"/>
    <col min="11" max="12" width="25.7109375" style="65" hidden="1" customWidth="1" outlineLevel="1"/>
    <col min="13" max="13" width="25.7109375" style="65" customWidth="1" collapsed="1"/>
    <col min="14" max="14" width="2.7109375" style="39" customWidth="1"/>
    <col min="15" max="15" width="25.7109375" style="65" customWidth="1"/>
    <col min="16" max="18" width="25.7109375" style="65" hidden="1" customWidth="1" outlineLevel="1"/>
    <col min="19" max="19" width="25.7109375" style="65" customWidth="1" collapsed="1"/>
    <col min="20" max="20" width="2.7109375" style="39" customWidth="1"/>
    <col min="21" max="21" width="25.7109375" style="65" customWidth="1"/>
    <col min="22" max="24" width="25.7109375" style="65" hidden="1" customWidth="1" outlineLevel="1"/>
    <col min="25" max="25" width="25.7109375" style="65" customWidth="1" collapsed="1"/>
    <col min="26" max="26" width="2.7109375" style="39" customWidth="1"/>
    <col min="27" max="30" width="20.7109375" style="39" customWidth="1" outlineLevel="1"/>
    <col min="31" max="31" width="2.7109375" style="39" customWidth="1"/>
    <col min="32" max="32" width="15.7109375" style="39" hidden="1" customWidth="1" outlineLevel="1"/>
    <col min="33" max="34" width="20.7109375" style="39" hidden="1" customWidth="1" outlineLevel="1"/>
    <col min="35" max="35" width="2.7109375" style="39" customWidth="1" collapsed="1"/>
    <col min="36" max="36" width="3.5703125" style="39"/>
    <col min="37" max="37" width="45.42578125" style="62" bestFit="1" customWidth="1"/>
    <col min="38" max="38" width="24.28515625" style="62" customWidth="1"/>
    <col min="39" max="39" width="3.5703125" style="39" customWidth="1"/>
    <col min="40" max="40" width="15.7109375" style="39" customWidth="1"/>
    <col min="41" max="41" width="16.28515625" style="39" bestFit="1" customWidth="1"/>
    <col min="42" max="16384" width="3.5703125" style="39"/>
  </cols>
  <sheetData>
    <row r="1" spans="1:38" ht="24.95" customHeight="1">
      <c r="B1" s="253"/>
      <c r="C1" s="35"/>
      <c r="D1" s="17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6"/>
      <c r="AB1" s="37"/>
      <c r="AC1" s="37"/>
      <c r="AD1" s="37"/>
      <c r="AE1" s="36"/>
      <c r="AF1" s="36"/>
      <c r="AG1" s="36"/>
      <c r="AH1" s="36"/>
      <c r="AI1" s="38"/>
      <c r="AK1" s="40"/>
      <c r="AL1" s="40"/>
    </row>
    <row r="2" spans="1:38" ht="24.95" customHeight="1">
      <c r="B2" s="254"/>
      <c r="C2" s="42"/>
      <c r="D2" s="50"/>
      <c r="E2" s="72" t="s">
        <v>7</v>
      </c>
      <c r="F2" s="72"/>
      <c r="G2" s="72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2"/>
      <c r="U2" s="44"/>
      <c r="V2" s="44"/>
      <c r="W2" s="44"/>
      <c r="X2" s="44"/>
      <c r="Y2" s="44"/>
      <c r="Z2" s="42"/>
      <c r="AA2" s="42"/>
      <c r="AB2" s="45"/>
      <c r="AC2" s="45"/>
      <c r="AD2" s="45"/>
      <c r="AE2" s="42"/>
      <c r="AF2" s="42"/>
      <c r="AG2" s="42"/>
      <c r="AH2" s="42"/>
      <c r="AI2" s="46"/>
      <c r="AK2" s="40"/>
      <c r="AL2" s="40"/>
    </row>
    <row r="3" spans="1:38" ht="24.95" customHeight="1">
      <c r="B3" s="254"/>
      <c r="C3" s="47"/>
      <c r="D3" s="47"/>
      <c r="E3" s="266" t="s">
        <v>163</v>
      </c>
      <c r="F3" s="266"/>
      <c r="G3" s="266"/>
      <c r="H3" s="66"/>
      <c r="I3" s="42"/>
      <c r="J3" s="44"/>
      <c r="K3" s="44"/>
      <c r="L3" s="44"/>
      <c r="M3" s="44"/>
      <c r="N3" s="42"/>
      <c r="O3" s="44"/>
      <c r="P3" s="44"/>
      <c r="Q3" s="44"/>
      <c r="R3" s="44"/>
      <c r="S3" s="44"/>
      <c r="T3" s="42"/>
      <c r="U3" s="44"/>
      <c r="V3" s="44"/>
      <c r="W3" s="44"/>
      <c r="X3" s="44"/>
      <c r="Y3" s="44"/>
      <c r="Z3" s="42"/>
      <c r="AA3" s="42"/>
      <c r="AB3" s="45"/>
      <c r="AC3" s="45"/>
      <c r="AD3" s="45"/>
      <c r="AE3" s="42"/>
      <c r="AF3" s="42"/>
      <c r="AG3" s="42"/>
      <c r="AH3" s="42"/>
      <c r="AI3" s="46"/>
      <c r="AK3" s="40"/>
      <c r="AL3" s="40"/>
    </row>
    <row r="4" spans="1:38" ht="24.95" customHeight="1">
      <c r="B4" s="254"/>
      <c r="C4" s="48"/>
      <c r="D4" s="48"/>
      <c r="E4" s="267">
        <v>46174</v>
      </c>
      <c r="F4" s="267"/>
      <c r="G4" s="267"/>
      <c r="H4" s="67"/>
      <c r="I4" s="49"/>
      <c r="J4" s="44"/>
      <c r="K4" s="44"/>
      <c r="L4" s="44"/>
      <c r="M4" s="44"/>
      <c r="N4" s="42"/>
      <c r="O4" s="44"/>
      <c r="P4" s="44"/>
      <c r="Q4" s="44"/>
      <c r="R4" s="44"/>
      <c r="S4" s="44"/>
      <c r="T4" s="42"/>
      <c r="U4" s="44"/>
      <c r="V4" s="44"/>
      <c r="W4" s="44"/>
      <c r="X4" s="44"/>
      <c r="Y4" s="44"/>
      <c r="Z4" s="42"/>
      <c r="AA4" s="42"/>
      <c r="AB4" s="45"/>
      <c r="AC4" s="45"/>
      <c r="AD4" s="45"/>
      <c r="AE4" s="42"/>
      <c r="AF4" s="42"/>
      <c r="AG4" s="42"/>
      <c r="AH4" s="42"/>
      <c r="AI4" s="46"/>
      <c r="AK4" s="40"/>
      <c r="AL4" s="40"/>
    </row>
    <row r="5" spans="1:38" ht="24.95" customHeight="1">
      <c r="B5" s="254"/>
      <c r="C5" s="42"/>
      <c r="D5" s="50"/>
      <c r="E5" s="50"/>
      <c r="F5" s="50"/>
      <c r="G5" s="51"/>
      <c r="H5" s="51"/>
      <c r="I5" s="42"/>
      <c r="J5" s="44"/>
      <c r="K5" s="44"/>
      <c r="L5" s="44"/>
      <c r="M5" s="44"/>
      <c r="N5" s="42"/>
      <c r="O5" s="52"/>
      <c r="P5" s="52"/>
      <c r="Q5" s="44"/>
      <c r="R5" s="44"/>
      <c r="S5" s="44"/>
      <c r="T5" s="42"/>
      <c r="U5" s="44"/>
      <c r="V5" s="44"/>
      <c r="W5" s="44"/>
      <c r="X5" s="44"/>
      <c r="Y5" s="44"/>
      <c r="Z5" s="42"/>
      <c r="AA5" s="42"/>
      <c r="AB5" s="45"/>
      <c r="AC5" s="45"/>
      <c r="AD5" s="45"/>
      <c r="AE5" s="42"/>
      <c r="AF5" s="42"/>
      <c r="AG5" s="42"/>
      <c r="AH5" s="42"/>
      <c r="AI5" s="46"/>
      <c r="AK5" s="40"/>
      <c r="AL5" s="40"/>
    </row>
    <row r="6" spans="1:38" ht="24.95" customHeight="1" thickBot="1">
      <c r="B6" s="254"/>
      <c r="C6" s="42"/>
      <c r="D6" s="50"/>
      <c r="E6" s="50"/>
      <c r="F6" s="50"/>
      <c r="G6" s="51"/>
      <c r="H6" s="51"/>
      <c r="I6" s="42"/>
      <c r="J6" s="44"/>
      <c r="K6" s="44"/>
      <c r="L6" s="44"/>
      <c r="M6" s="44"/>
      <c r="N6" s="42"/>
      <c r="O6" s="52"/>
      <c r="P6" s="52"/>
      <c r="Q6" s="44"/>
      <c r="R6" s="44"/>
      <c r="S6" s="44"/>
      <c r="T6" s="42"/>
      <c r="U6" s="44"/>
      <c r="V6" s="44"/>
      <c r="W6" s="44"/>
      <c r="X6" s="44"/>
      <c r="Y6" s="44"/>
      <c r="Z6" s="42"/>
      <c r="AA6" s="42"/>
      <c r="AB6" s="45"/>
      <c r="AC6" s="45"/>
      <c r="AD6" s="45"/>
      <c r="AE6" s="42"/>
      <c r="AF6" s="42"/>
      <c r="AG6" s="42"/>
      <c r="AH6" s="42"/>
      <c r="AI6" s="46"/>
      <c r="AK6" s="40"/>
      <c r="AL6" s="40"/>
    </row>
    <row r="7" spans="1:38" ht="24.95" customHeight="1" thickBot="1">
      <c r="B7" s="254"/>
      <c r="C7" s="53"/>
      <c r="D7" s="176"/>
      <c r="E7" s="50"/>
      <c r="F7" s="50"/>
      <c r="G7" s="68"/>
      <c r="H7" s="68"/>
      <c r="I7" s="42"/>
      <c r="J7" s="210" t="s">
        <v>25</v>
      </c>
      <c r="K7" s="211"/>
      <c r="L7" s="212"/>
      <c r="M7" s="213">
        <v>2.5000000000000001E-2</v>
      </c>
      <c r="N7" s="4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42"/>
      <c r="AB7" s="45"/>
      <c r="AC7" s="45"/>
      <c r="AD7" s="45"/>
      <c r="AE7" s="42"/>
      <c r="AF7" s="42"/>
      <c r="AG7" s="42"/>
      <c r="AH7" s="42"/>
      <c r="AI7" s="46"/>
      <c r="AK7" s="40"/>
      <c r="AL7" s="40"/>
    </row>
    <row r="8" spans="1:38" s="119" customFormat="1" ht="24.95" customHeight="1" thickBot="1">
      <c r="A8" s="112"/>
      <c r="B8" s="251"/>
      <c r="C8" s="271" t="s">
        <v>6</v>
      </c>
      <c r="D8" s="273" t="s">
        <v>8</v>
      </c>
      <c r="E8" s="272" t="s">
        <v>0</v>
      </c>
      <c r="F8" s="227"/>
      <c r="G8" s="260" t="s">
        <v>48</v>
      </c>
      <c r="H8" s="264"/>
      <c r="I8" s="228"/>
      <c r="J8" s="274" t="s">
        <v>49</v>
      </c>
      <c r="K8" s="275"/>
      <c r="L8" s="275"/>
      <c r="M8" s="276"/>
      <c r="N8" s="141"/>
      <c r="O8" s="268" t="s">
        <v>50</v>
      </c>
      <c r="P8" s="268"/>
      <c r="Q8" s="268"/>
      <c r="R8" s="268"/>
      <c r="S8" s="268"/>
      <c r="T8" s="141"/>
      <c r="U8" s="268" t="s">
        <v>51</v>
      </c>
      <c r="V8" s="268"/>
      <c r="W8" s="268"/>
      <c r="X8" s="268"/>
      <c r="Y8" s="268"/>
      <c r="Z8" s="229"/>
      <c r="AA8" s="269" t="s">
        <v>151</v>
      </c>
      <c r="AB8" s="262" t="s">
        <v>152</v>
      </c>
      <c r="AC8" s="262" t="s">
        <v>153</v>
      </c>
      <c r="AD8" s="262" t="s">
        <v>154</v>
      </c>
      <c r="AE8" s="122"/>
      <c r="AF8" s="260" t="s">
        <v>10</v>
      </c>
      <c r="AG8" s="262" t="s">
        <v>52</v>
      </c>
      <c r="AH8" s="264" t="s">
        <v>12</v>
      </c>
      <c r="AI8" s="118"/>
      <c r="AK8" s="123"/>
      <c r="AL8" s="123"/>
    </row>
    <row r="9" spans="1:38" s="225" customFormat="1" ht="35.1" customHeight="1">
      <c r="A9" s="214" t="s">
        <v>61</v>
      </c>
      <c r="B9" s="252"/>
      <c r="C9" s="271"/>
      <c r="D9" s="273"/>
      <c r="E9" s="272"/>
      <c r="F9" s="216"/>
      <c r="G9" s="217" t="s">
        <v>139</v>
      </c>
      <c r="H9" s="218" t="s">
        <v>140</v>
      </c>
      <c r="I9" s="151"/>
      <c r="J9" s="219" t="s">
        <v>141</v>
      </c>
      <c r="K9" s="220" t="s">
        <v>142</v>
      </c>
      <c r="L9" s="220" t="s">
        <v>143</v>
      </c>
      <c r="M9" s="221" t="s">
        <v>144</v>
      </c>
      <c r="N9" s="222"/>
      <c r="O9" s="219" t="s">
        <v>141</v>
      </c>
      <c r="P9" s="220" t="s">
        <v>142</v>
      </c>
      <c r="Q9" s="220" t="s">
        <v>143</v>
      </c>
      <c r="R9" s="220" t="s">
        <v>145</v>
      </c>
      <c r="S9" s="221" t="s">
        <v>144</v>
      </c>
      <c r="T9" s="222"/>
      <c r="U9" s="219" t="s">
        <v>141</v>
      </c>
      <c r="V9" s="220" t="s">
        <v>142</v>
      </c>
      <c r="W9" s="220" t="s">
        <v>143</v>
      </c>
      <c r="X9" s="220" t="s">
        <v>145</v>
      </c>
      <c r="Y9" s="221" t="s">
        <v>144</v>
      </c>
      <c r="Z9" s="223"/>
      <c r="AA9" s="270"/>
      <c r="AB9" s="263"/>
      <c r="AC9" s="263"/>
      <c r="AD9" s="263"/>
      <c r="AE9" s="122"/>
      <c r="AF9" s="261"/>
      <c r="AG9" s="263"/>
      <c r="AH9" s="265"/>
      <c r="AI9" s="224"/>
      <c r="AK9" s="226"/>
      <c r="AL9" s="226"/>
    </row>
    <row r="10" spans="1:38" ht="15" customHeight="1" thickBot="1">
      <c r="B10" s="254"/>
      <c r="C10" s="54"/>
      <c r="D10" s="50"/>
      <c r="E10" s="50"/>
      <c r="F10" s="156"/>
      <c r="G10" s="56"/>
      <c r="H10" s="56"/>
      <c r="I10" s="151"/>
      <c r="J10" s="55"/>
      <c r="K10" s="55"/>
      <c r="L10" s="55"/>
      <c r="M10" s="56"/>
      <c r="N10" s="142"/>
      <c r="O10" s="55"/>
      <c r="P10" s="55"/>
      <c r="Q10" s="55"/>
      <c r="R10" s="55"/>
      <c r="S10" s="56"/>
      <c r="T10" s="142"/>
      <c r="U10" s="55"/>
      <c r="V10" s="55"/>
      <c r="W10" s="55"/>
      <c r="X10" s="55"/>
      <c r="Y10" s="56"/>
      <c r="Z10" s="142"/>
      <c r="AA10" s="57"/>
      <c r="AB10" s="58"/>
      <c r="AC10" s="58"/>
      <c r="AD10" s="58"/>
      <c r="AE10" s="42"/>
      <c r="AF10" s="59"/>
      <c r="AG10" s="55"/>
      <c r="AH10" s="55"/>
      <c r="AI10" s="46"/>
      <c r="AK10" s="40"/>
      <c r="AL10" s="40"/>
    </row>
    <row r="11" spans="1:38" s="80" customFormat="1" ht="24.95" customHeight="1" thickBot="1">
      <c r="A11" s="73"/>
      <c r="B11" s="255"/>
      <c r="C11" s="277" t="s">
        <v>30</v>
      </c>
      <c r="D11" s="278"/>
      <c r="E11" s="279"/>
      <c r="F11" s="157"/>
      <c r="G11" s="75"/>
      <c r="H11" s="75"/>
      <c r="I11" s="132"/>
      <c r="J11" s="77"/>
      <c r="K11" s="77"/>
      <c r="L11" s="77"/>
      <c r="M11" s="77"/>
      <c r="N11" s="143"/>
      <c r="O11" s="77"/>
      <c r="P11" s="77"/>
      <c r="Q11" s="77"/>
      <c r="R11" s="77"/>
      <c r="S11" s="77"/>
      <c r="T11" s="143"/>
      <c r="U11" s="77"/>
      <c r="V11" s="77"/>
      <c r="W11" s="77"/>
      <c r="X11" s="77"/>
      <c r="Y11" s="77"/>
      <c r="Z11" s="143"/>
      <c r="AA11" s="77"/>
      <c r="AB11" s="78"/>
      <c r="AC11" s="78"/>
      <c r="AD11" s="78"/>
      <c r="AE11" s="76"/>
      <c r="AF11" s="77"/>
      <c r="AG11" s="77"/>
      <c r="AH11" s="77"/>
      <c r="AI11" s="79"/>
      <c r="AK11" s="81"/>
      <c r="AL11" s="81"/>
    </row>
    <row r="12" spans="1:38" s="80" customFormat="1" ht="24.95" customHeight="1">
      <c r="A12" s="73" t="s">
        <v>62</v>
      </c>
      <c r="B12" s="255"/>
      <c r="C12" s="230" t="s">
        <v>98</v>
      </c>
      <c r="D12" s="177" t="s">
        <v>32</v>
      </c>
      <c r="E12" s="153" t="s">
        <v>2</v>
      </c>
      <c r="F12" s="158"/>
      <c r="G12" s="154">
        <v>12890000</v>
      </c>
      <c r="H12" s="172">
        <f>G12/1.19</f>
        <v>10831932.773109244</v>
      </c>
      <c r="I12" s="152"/>
      <c r="J12" s="149">
        <v>1400000</v>
      </c>
      <c r="K12" s="83">
        <f>IF(J12/2&gt;G12*$M$7,G12*$M$7,J12/2)</f>
        <v>322250</v>
      </c>
      <c r="L12" s="83">
        <f>J12-K12</f>
        <v>1077750</v>
      </c>
      <c r="M12" s="139">
        <f>+$G12-J12</f>
        <v>11490000</v>
      </c>
      <c r="N12" s="144"/>
      <c r="O12" s="149">
        <v>3200000</v>
      </c>
      <c r="P12" s="83">
        <f t="shared" ref="P12:Q16" si="0">K12</f>
        <v>322250</v>
      </c>
      <c r="Q12" s="83">
        <f t="shared" si="0"/>
        <v>1077750</v>
      </c>
      <c r="R12" s="83">
        <f>O12-P12-Q12</f>
        <v>1800000</v>
      </c>
      <c r="S12" s="139">
        <f>+G12-O12</f>
        <v>9690000</v>
      </c>
      <c r="T12" s="144"/>
      <c r="U12" s="149">
        <v>4200000</v>
      </c>
      <c r="V12" s="83">
        <f>K12</f>
        <v>322250</v>
      </c>
      <c r="W12" s="83">
        <f>Q12</f>
        <v>1077750</v>
      </c>
      <c r="X12" s="83">
        <f>U12-V12-W12</f>
        <v>2800000</v>
      </c>
      <c r="Y12" s="139">
        <f>G12-U12</f>
        <v>8690000</v>
      </c>
      <c r="Z12" s="144"/>
      <c r="AA12" s="140" t="str">
        <f>IFERROR(IF(G12-VLOOKUP($A12,[1]PASAJEROS!$A:$AB,COLUMNS([1]PASAJEROS!$A$39:$G$39),0)=0,"ISO",G12-VLOOKUP($A12,[1]PASAJEROS!$A:$AB,COLUMNS([1]PASAJEROS!$A$39:$G$39),0)),"N/A")</f>
        <v>ISO</v>
      </c>
      <c r="AB12" s="140" t="str">
        <f>IFERROR(IF(M12-VLOOKUP($A12,[1]PASAJEROS!$A:$AB,COLUMNS([1]PASAJEROS!$A$39:$M$39),0)=0,"ISO",M12-VLOOKUP($A12,[1]PASAJEROS!$A:$AB,COLUMNS([1]PASAJEROS!$A$39:$M$39),0)),"N/A")</f>
        <v>ISO</v>
      </c>
      <c r="AC12" s="140" t="str">
        <f>IFERROR(+IF(S12-VLOOKUP($A12,[1]PASAJEROS!$A:$AB,COLUMNS([1]PASAJEROS!$A$39:$S$39),0)=0,"ISO",S12-VLOOKUP($A12,[1]PASAJEROS!$A:$AB,COLUMNS([1]PASAJEROS!$A$39:$S$39),0)),"N/A")</f>
        <v>ISO</v>
      </c>
      <c r="AD12" s="140" t="str">
        <f>IFERROR(IF(Y12-VLOOKUP($A12,[1]PASAJEROS!$A:$AB,COLUMNS([1]PASAJEROS!$A$39:$Y$39),0)=0,"ISO",Y12-VLOOKUP($A12,[1]PASAJEROS!$A:$AB,COLUMNS([1]PASAJEROS!$A$39:$Y$39),0)),"N/A")</f>
        <v>ISO</v>
      </c>
      <c r="AE12" s="82"/>
      <c r="AF12" s="84">
        <v>0.09</v>
      </c>
      <c r="AG12" s="83">
        <f>G12*(100%-AF12)</f>
        <v>11729900</v>
      </c>
      <c r="AH12" s="83">
        <f>AG12/1.19</f>
        <v>9857058.823529413</v>
      </c>
      <c r="AI12" s="85"/>
      <c r="AK12" s="81"/>
      <c r="AL12" s="81"/>
    </row>
    <row r="13" spans="1:38" s="80" customFormat="1" ht="24.95" customHeight="1">
      <c r="A13" s="73" t="s">
        <v>158</v>
      </c>
      <c r="B13" s="255"/>
      <c r="C13" s="230" t="s">
        <v>158</v>
      </c>
      <c r="D13" s="177" t="s">
        <v>159</v>
      </c>
      <c r="E13" s="153" t="s">
        <v>161</v>
      </c>
      <c r="F13" s="158"/>
      <c r="G13" s="154">
        <v>12890000</v>
      </c>
      <c r="H13" s="172">
        <f>G13/1.19</f>
        <v>10831932.773109244</v>
      </c>
      <c r="I13" s="152"/>
      <c r="J13" s="149">
        <v>1600000</v>
      </c>
      <c r="K13" s="83">
        <f>IF(J13/2&gt;G13*$M$7,G13*$M$7,J13/2)</f>
        <v>322250</v>
      </c>
      <c r="L13" s="83">
        <f>J13-K13</f>
        <v>1277750</v>
      </c>
      <c r="M13" s="139">
        <f>+$G13-J13</f>
        <v>11290000</v>
      </c>
      <c r="N13" s="144"/>
      <c r="O13" s="149">
        <v>3000000</v>
      </c>
      <c r="P13" s="83">
        <f>K13</f>
        <v>322250</v>
      </c>
      <c r="Q13" s="83">
        <f>L13</f>
        <v>1277750</v>
      </c>
      <c r="R13" s="83">
        <f>O13-P13-Q13</f>
        <v>1400000</v>
      </c>
      <c r="S13" s="139">
        <f>+G13-O13</f>
        <v>9890000</v>
      </c>
      <c r="T13" s="144"/>
      <c r="U13" s="149">
        <v>4000000</v>
      </c>
      <c r="V13" s="83">
        <f>K13</f>
        <v>322250</v>
      </c>
      <c r="W13" s="83">
        <f>Q13</f>
        <v>1277750</v>
      </c>
      <c r="X13" s="83">
        <f>U13-V13-W13</f>
        <v>2400000</v>
      </c>
      <c r="Y13" s="139">
        <f>G13-U13</f>
        <v>8890000</v>
      </c>
      <c r="Z13" s="144"/>
      <c r="AA13" s="140" t="str">
        <f>IFERROR(IF(G13-VLOOKUP($A13,[1]PASAJEROS!$A:$AB,COLUMNS([1]PASAJEROS!$A$39:$G$39),0)=0,"ISO",G13-VLOOKUP($A13,[1]PASAJEROS!$A:$AB,COLUMNS([1]PASAJEROS!$A$39:$G$39),0)),"N/A")</f>
        <v>ISO</v>
      </c>
      <c r="AB13" s="140" t="str">
        <f>IFERROR(IF(M13-VLOOKUP($A13,[1]PASAJEROS!$A:$AB,COLUMNS([1]PASAJEROS!$A$39:$M$39),0)=0,"ISO",M13-VLOOKUP($A13,[1]PASAJEROS!$A:$AB,COLUMNS([1]PASAJEROS!$A$39:$M$39),0)),"N/A")</f>
        <v>ISO</v>
      </c>
      <c r="AC13" s="140">
        <f>IFERROR(+IF(S13-VLOOKUP($A13,[1]PASAJEROS!$A:$AB,COLUMNS([1]PASAJEROS!$A$39:$S$39),0)=0,"ISO",S13-VLOOKUP($A13,[1]PASAJEROS!$A:$AB,COLUMNS([1]PASAJEROS!$A$39:$S$39),0)),"N/A")</f>
        <v>200000</v>
      </c>
      <c r="AD13" s="140">
        <f>IFERROR(IF(Y13-VLOOKUP($A13,[1]PASAJEROS!$A:$AB,COLUMNS([1]PASAJEROS!$A$39:$Y$39),0)=0,"ISO",Y13-VLOOKUP($A13,[1]PASAJEROS!$A:$AB,COLUMNS([1]PASAJEROS!$A$39:$Y$39),0)),"N/A")</f>
        <v>200000</v>
      </c>
      <c r="AE13" s="82"/>
      <c r="AF13" s="84">
        <v>0.09</v>
      </c>
      <c r="AG13" s="83">
        <f>G13*(100%-AF13)</f>
        <v>11729900</v>
      </c>
      <c r="AH13" s="83">
        <f>AG13/1.19</f>
        <v>9857058.823529413</v>
      </c>
      <c r="AI13" s="85"/>
      <c r="AK13" s="81"/>
      <c r="AL13" s="81"/>
    </row>
    <row r="14" spans="1:38" s="80" customFormat="1" ht="24.95" customHeight="1">
      <c r="A14" s="73" t="s">
        <v>66</v>
      </c>
      <c r="B14" s="255"/>
      <c r="C14" s="231" t="s">
        <v>99</v>
      </c>
      <c r="D14" s="177" t="s">
        <v>31</v>
      </c>
      <c r="E14" s="153" t="s">
        <v>2</v>
      </c>
      <c r="F14" s="158"/>
      <c r="G14" s="154">
        <v>13690000</v>
      </c>
      <c r="H14" s="172">
        <f t="shared" ref="H14" si="1">G14/1.19</f>
        <v>11504201.680672269</v>
      </c>
      <c r="I14" s="152"/>
      <c r="J14" s="149">
        <v>1500000</v>
      </c>
      <c r="K14" s="83">
        <f>IF(J14/2&gt;G14*$M$7,G14*$M$7,J14/2)</f>
        <v>342250</v>
      </c>
      <c r="L14" s="83">
        <f>J14-K14</f>
        <v>1157750</v>
      </c>
      <c r="M14" s="139">
        <f>+$G14-J14</f>
        <v>12190000</v>
      </c>
      <c r="N14" s="144"/>
      <c r="O14" s="149">
        <v>3300000</v>
      </c>
      <c r="P14" s="83">
        <f t="shared" si="0"/>
        <v>342250</v>
      </c>
      <c r="Q14" s="83">
        <f t="shared" si="0"/>
        <v>1157750</v>
      </c>
      <c r="R14" s="83">
        <f>O14-P14-Q14</f>
        <v>1800000</v>
      </c>
      <c r="S14" s="139">
        <f>+G14-O14</f>
        <v>10390000</v>
      </c>
      <c r="T14" s="144"/>
      <c r="U14" s="149">
        <v>4300000</v>
      </c>
      <c r="V14" s="83">
        <f>K14</f>
        <v>342250</v>
      </c>
      <c r="W14" s="83">
        <f>Q14</f>
        <v>1157750</v>
      </c>
      <c r="X14" s="83">
        <f>U14-V14-W14</f>
        <v>2800000</v>
      </c>
      <c r="Y14" s="139">
        <f>G14-U14</f>
        <v>9390000</v>
      </c>
      <c r="Z14" s="144"/>
      <c r="AA14" s="140" t="str">
        <f>IFERROR(IF(G14-VLOOKUP($A14,[1]PASAJEROS!$A:$AB,COLUMNS([1]PASAJEROS!$A$39:$G$39),0)=0,"ISO",G14-VLOOKUP($A14,[1]PASAJEROS!$A:$AB,COLUMNS([1]PASAJEROS!$A$39:$G$39),0)),"N/A")</f>
        <v>ISO</v>
      </c>
      <c r="AB14" s="140" t="str">
        <f>IFERROR(IF(M14-VLOOKUP($A14,[1]PASAJEROS!$A:$AB,COLUMNS([1]PASAJEROS!$A$39:$M$39),0)=0,"ISO",M14-VLOOKUP($A14,[1]PASAJEROS!$A:$AB,COLUMNS([1]PASAJEROS!$A$39:$M$39),0)),"N/A")</f>
        <v>ISO</v>
      </c>
      <c r="AC14" s="140" t="str">
        <f>IFERROR(+IF(S14-VLOOKUP($A14,[1]PASAJEROS!$A:$AB,COLUMNS([1]PASAJEROS!$A$39:$S$39),0)=0,"ISO",S14-VLOOKUP($A14,[1]PASAJEROS!$A:$AB,COLUMNS([1]PASAJEROS!$A$39:$S$39),0)),"N/A")</f>
        <v>ISO</v>
      </c>
      <c r="AD14" s="140" t="str">
        <f>IFERROR(IF(Y14-VLOOKUP($A14,[1]PASAJEROS!$A:$AB,COLUMNS([1]PASAJEROS!$A$39:$Y$39),0)=0,"ISO",Y14-VLOOKUP($A14,[1]PASAJEROS!$A:$AB,COLUMNS([1]PASAJEROS!$A$39:$Y$39),0)),"N/A")</f>
        <v>ISO</v>
      </c>
      <c r="AE14" s="82"/>
      <c r="AF14" s="84">
        <v>0.09</v>
      </c>
      <c r="AG14" s="83">
        <f>G14*(100%-AF14)</f>
        <v>12457900</v>
      </c>
      <c r="AH14" s="83">
        <f>AG14/1.19</f>
        <v>10468823.529411765</v>
      </c>
      <c r="AI14" s="79"/>
      <c r="AK14" s="81"/>
      <c r="AL14" s="81"/>
    </row>
    <row r="15" spans="1:38" s="80" customFormat="1" ht="24.95" customHeight="1">
      <c r="A15" s="73" t="s">
        <v>157</v>
      </c>
      <c r="B15" s="255"/>
      <c r="C15" s="231" t="s">
        <v>157</v>
      </c>
      <c r="D15" s="177" t="s">
        <v>160</v>
      </c>
      <c r="E15" s="153" t="s">
        <v>162</v>
      </c>
      <c r="F15" s="158"/>
      <c r="G15" s="154">
        <v>13690000</v>
      </c>
      <c r="H15" s="172">
        <f t="shared" ref="H15" si="2">G15/1.19</f>
        <v>11504201.680672269</v>
      </c>
      <c r="I15" s="152"/>
      <c r="J15" s="149">
        <v>1500000</v>
      </c>
      <c r="K15" s="83">
        <f>IF(J15/2&gt;G15*$M$7,G15*$M$7,J15/2)</f>
        <v>342250</v>
      </c>
      <c r="L15" s="83">
        <f>J15-K15</f>
        <v>1157750</v>
      </c>
      <c r="M15" s="139">
        <f>+$G15-J15</f>
        <v>12190000</v>
      </c>
      <c r="N15" s="144"/>
      <c r="O15" s="149">
        <v>3100000</v>
      </c>
      <c r="P15" s="83">
        <f t="shared" ref="P15" si="3">K15</f>
        <v>342250</v>
      </c>
      <c r="Q15" s="83">
        <f t="shared" ref="Q15" si="4">L15</f>
        <v>1157750</v>
      </c>
      <c r="R15" s="83">
        <f>O15-P15-Q15</f>
        <v>1600000</v>
      </c>
      <c r="S15" s="139">
        <f>+G15-O15</f>
        <v>10590000</v>
      </c>
      <c r="T15" s="144"/>
      <c r="U15" s="149">
        <v>4100000</v>
      </c>
      <c r="V15" s="83">
        <f>K15</f>
        <v>342250</v>
      </c>
      <c r="W15" s="83">
        <f>Q15</f>
        <v>1157750</v>
      </c>
      <c r="X15" s="83">
        <f>U15-V15-W15</f>
        <v>2600000</v>
      </c>
      <c r="Y15" s="139">
        <f>G15-U15</f>
        <v>9590000</v>
      </c>
      <c r="Z15" s="144"/>
      <c r="AA15" s="140" t="str">
        <f>IFERROR(IF(G15-VLOOKUP($A15,[1]PASAJEROS!$A:$AB,COLUMNS([1]PASAJEROS!$A$39:$G$39),0)=0,"ISO",G15-VLOOKUP($A15,[1]PASAJEROS!$A:$AB,COLUMNS([1]PASAJEROS!$A$39:$G$39),0)),"N/A")</f>
        <v>ISO</v>
      </c>
      <c r="AB15" s="140" t="str">
        <f>IFERROR(IF(M15-VLOOKUP($A15,[1]PASAJEROS!$A:$AB,COLUMNS([1]PASAJEROS!$A$39:$M$39),0)=0,"ISO",M15-VLOOKUP($A15,[1]PASAJEROS!$A:$AB,COLUMNS([1]PASAJEROS!$A$39:$M$39),0)),"N/A")</f>
        <v>ISO</v>
      </c>
      <c r="AC15" s="140">
        <f>IFERROR(+IF(S15-VLOOKUP($A15,[1]PASAJEROS!$A:$AB,COLUMNS([1]PASAJEROS!$A$39:$S$39),0)=0,"ISO",S15-VLOOKUP($A15,[1]PASAJEROS!$A:$AB,COLUMNS([1]PASAJEROS!$A$39:$S$39),0)),"N/A")</f>
        <v>200000</v>
      </c>
      <c r="AD15" s="140">
        <f>IFERROR(IF(Y15-VLOOKUP($A15,[1]PASAJEROS!$A:$AB,COLUMNS([1]PASAJEROS!$A$39:$Y$39),0)=0,"ISO",Y15-VLOOKUP($A15,[1]PASAJEROS!$A:$AB,COLUMNS([1]PASAJEROS!$A$39:$Y$39),0)),"N/A")</f>
        <v>200000</v>
      </c>
      <c r="AE15" s="82"/>
      <c r="AF15" s="84">
        <v>0.09</v>
      </c>
      <c r="AG15" s="83">
        <f>G15*(100%-AF15)</f>
        <v>12457900</v>
      </c>
      <c r="AH15" s="83">
        <f>AG15/1.19</f>
        <v>10468823.529411765</v>
      </c>
      <c r="AI15" s="79"/>
      <c r="AK15" s="81"/>
      <c r="AL15" s="81"/>
    </row>
    <row r="16" spans="1:38" s="80" customFormat="1" ht="24.95" customHeight="1">
      <c r="A16" s="73" t="s">
        <v>95</v>
      </c>
      <c r="B16" s="255"/>
      <c r="C16" s="231" t="s">
        <v>101</v>
      </c>
      <c r="D16" s="177" t="s">
        <v>96</v>
      </c>
      <c r="E16" s="153" t="s">
        <v>97</v>
      </c>
      <c r="F16" s="158"/>
      <c r="G16" s="154">
        <v>16590000</v>
      </c>
      <c r="H16" s="172">
        <f t="shared" ref="H16" si="5">G16/1.19</f>
        <v>13941176.470588235</v>
      </c>
      <c r="I16" s="152"/>
      <c r="J16" s="149">
        <v>900000</v>
      </c>
      <c r="K16" s="83">
        <f>IF(J16/2&gt;G16*$M$7,G16*$M$7,J16/2)</f>
        <v>414750</v>
      </c>
      <c r="L16" s="83">
        <f>J16-K16</f>
        <v>485250</v>
      </c>
      <c r="M16" s="139">
        <f>+$G16-J16</f>
        <v>15690000</v>
      </c>
      <c r="N16" s="144"/>
      <c r="O16" s="149">
        <v>2600000</v>
      </c>
      <c r="P16" s="83">
        <f t="shared" si="0"/>
        <v>414750</v>
      </c>
      <c r="Q16" s="83">
        <f t="shared" si="0"/>
        <v>485250</v>
      </c>
      <c r="R16" s="83">
        <f>O16-P16-Q16</f>
        <v>1700000</v>
      </c>
      <c r="S16" s="139">
        <f>+G16-O16</f>
        <v>13990000</v>
      </c>
      <c r="T16" s="144"/>
      <c r="U16" s="149">
        <v>3600000</v>
      </c>
      <c r="V16" s="83">
        <f>K16</f>
        <v>414750</v>
      </c>
      <c r="W16" s="83">
        <f>Q16</f>
        <v>485250</v>
      </c>
      <c r="X16" s="83">
        <f>U16-V16-W16</f>
        <v>2700000</v>
      </c>
      <c r="Y16" s="139">
        <f>G16-U16</f>
        <v>12990000</v>
      </c>
      <c r="Z16" s="144"/>
      <c r="AA16" s="140" t="str">
        <f>IFERROR(IF(G16-VLOOKUP($A16,[1]PASAJEROS!$A:$AB,COLUMNS([1]PASAJEROS!$A$39:$G$39),0)=0,"ISO",G16-VLOOKUP($A16,[1]PASAJEROS!$A:$AB,COLUMNS([1]PASAJEROS!$A$39:$G$39),0)),"N/A")</f>
        <v>ISO</v>
      </c>
      <c r="AB16" s="140" t="str">
        <f>IFERROR(IF(M16-VLOOKUP($A16,[1]PASAJEROS!$A:$AB,COLUMNS([1]PASAJEROS!$A$39:$M$39),0)=0,"ISO",M16-VLOOKUP($A16,[1]PASAJEROS!$A:$AB,COLUMNS([1]PASAJEROS!$A$39:$M$39),0)),"N/A")</f>
        <v>ISO</v>
      </c>
      <c r="AC16" s="140">
        <f>IFERROR(+IF(S16-VLOOKUP($A16,[1]PASAJEROS!$A:$AB,COLUMNS([1]PASAJEROS!$A$39:$S$39),0)=0,"ISO",S16-VLOOKUP($A16,[1]PASAJEROS!$A:$AB,COLUMNS([1]PASAJEROS!$A$39:$S$39),0)),"N/A")</f>
        <v>100000</v>
      </c>
      <c r="AD16" s="140">
        <f>IFERROR(IF(Y16-VLOOKUP($A16,[1]PASAJEROS!$A:$AB,COLUMNS([1]PASAJEROS!$A$39:$Y$39),0)=0,"ISO",Y16-VLOOKUP($A16,[1]PASAJEROS!$A:$AB,COLUMNS([1]PASAJEROS!$A$39:$Y$39),0)),"N/A")</f>
        <v>100000</v>
      </c>
      <c r="AE16" s="82"/>
      <c r="AF16" s="84">
        <v>0.09</v>
      </c>
      <c r="AG16" s="83">
        <f>G16*(100%-AF16)</f>
        <v>15096900</v>
      </c>
      <c r="AH16" s="83">
        <f>AG16/1.19</f>
        <v>12686470.588235294</v>
      </c>
      <c r="AI16" s="79"/>
      <c r="AK16" s="81"/>
      <c r="AL16" s="81"/>
    </row>
    <row r="17" spans="1:41" s="80" customFormat="1" ht="24.95" customHeight="1" thickBot="1">
      <c r="A17" s="73"/>
      <c r="B17" s="255"/>
      <c r="C17" s="86"/>
      <c r="D17" s="87"/>
      <c r="E17" s="87"/>
      <c r="F17" s="159"/>
      <c r="G17" s="88"/>
      <c r="H17" s="89"/>
      <c r="I17" s="132"/>
      <c r="J17" s="89"/>
      <c r="K17" s="89"/>
      <c r="L17" s="89"/>
      <c r="M17" s="88"/>
      <c r="N17" s="145"/>
      <c r="O17" s="89"/>
      <c r="P17" s="89"/>
      <c r="Q17" s="89"/>
      <c r="R17" s="89"/>
      <c r="S17" s="88"/>
      <c r="T17" s="145"/>
      <c r="U17" s="89"/>
      <c r="V17" s="89"/>
      <c r="W17" s="89"/>
      <c r="X17" s="89"/>
      <c r="Y17" s="88"/>
      <c r="Z17" s="145"/>
      <c r="AA17" s="90"/>
      <c r="AB17" s="91"/>
      <c r="AC17" s="91"/>
      <c r="AD17" s="91"/>
      <c r="AE17" s="76"/>
      <c r="AF17" s="92"/>
      <c r="AG17" s="89"/>
      <c r="AH17" s="89"/>
      <c r="AI17" s="79"/>
      <c r="AK17" s="81"/>
      <c r="AL17" s="81"/>
    </row>
    <row r="18" spans="1:41" s="80" customFormat="1" ht="24.95" customHeight="1" thickBot="1">
      <c r="A18" s="73"/>
      <c r="B18" s="255"/>
      <c r="C18" s="277" t="s">
        <v>86</v>
      </c>
      <c r="D18" s="278"/>
      <c r="E18" s="279"/>
      <c r="F18" s="157"/>
      <c r="G18" s="192"/>
      <c r="H18" s="75"/>
      <c r="I18" s="132"/>
      <c r="J18" s="77"/>
      <c r="K18" s="77"/>
      <c r="L18" s="77"/>
      <c r="M18" s="77"/>
      <c r="N18" s="143"/>
      <c r="O18" s="77"/>
      <c r="P18" s="77"/>
      <c r="Q18" s="77"/>
      <c r="R18" s="77"/>
      <c r="S18" s="77"/>
      <c r="T18" s="143"/>
      <c r="U18" s="77"/>
      <c r="V18" s="77"/>
      <c r="W18" s="77"/>
      <c r="X18" s="77"/>
      <c r="Y18" s="77"/>
      <c r="Z18" s="143"/>
      <c r="AA18" s="77"/>
      <c r="AB18" s="78"/>
      <c r="AC18" s="78"/>
      <c r="AD18" s="78"/>
      <c r="AE18" s="76"/>
      <c r="AF18" s="77"/>
      <c r="AG18" s="77"/>
      <c r="AH18" s="77"/>
      <c r="AI18" s="79"/>
      <c r="AK18" s="81"/>
      <c r="AL18" s="81"/>
    </row>
    <row r="19" spans="1:41" s="80" customFormat="1" ht="24.95" customHeight="1">
      <c r="A19" s="73" t="s">
        <v>87</v>
      </c>
      <c r="B19" s="255"/>
      <c r="C19" s="231" t="s">
        <v>102</v>
      </c>
      <c r="D19" s="177" t="s">
        <v>91</v>
      </c>
      <c r="E19" s="153" t="s">
        <v>90</v>
      </c>
      <c r="F19" s="158"/>
      <c r="G19" s="154">
        <v>15690000</v>
      </c>
      <c r="H19" s="172">
        <f t="shared" ref="H19" si="6">G19/1.19</f>
        <v>13184873.949579833</v>
      </c>
      <c r="I19" s="152"/>
      <c r="J19" s="149">
        <v>700000</v>
      </c>
      <c r="K19" s="83">
        <f>IF(J19/2&gt;G19*$M$7,G19*$M$7,J19/2)</f>
        <v>350000</v>
      </c>
      <c r="L19" s="83">
        <f>J19-K19</f>
        <v>350000</v>
      </c>
      <c r="M19" s="139">
        <f>+$G19-J19</f>
        <v>14990000</v>
      </c>
      <c r="N19" s="144"/>
      <c r="O19" s="149">
        <v>1200000</v>
      </c>
      <c r="P19" s="83">
        <f>K19</f>
        <v>350000</v>
      </c>
      <c r="Q19" s="83">
        <f>L19</f>
        <v>350000</v>
      </c>
      <c r="R19" s="83">
        <f>O19-P19-Q19</f>
        <v>500000</v>
      </c>
      <c r="S19" s="139">
        <f>+G19-O19</f>
        <v>14490000</v>
      </c>
      <c r="T19" s="144"/>
      <c r="U19" s="149">
        <v>1700000</v>
      </c>
      <c r="V19" s="83">
        <f>K19</f>
        <v>350000</v>
      </c>
      <c r="W19" s="83">
        <f>Q19</f>
        <v>350000</v>
      </c>
      <c r="X19" s="83">
        <f>U19-V19-W19</f>
        <v>1000000</v>
      </c>
      <c r="Y19" s="139">
        <f>G19-U19</f>
        <v>13990000</v>
      </c>
      <c r="Z19" s="144"/>
      <c r="AA19" s="140" t="str">
        <f>IFERROR(IF(G19-VLOOKUP($A19,[1]PASAJEROS!$A:$AB,COLUMNS([1]PASAJEROS!$A$39:$G$39),0)=0,"ISO",G19-VLOOKUP($A19,[1]PASAJEROS!$A:$AB,COLUMNS([1]PASAJEROS!$A$39:$G$39),0)),"N/A")</f>
        <v>ISO</v>
      </c>
      <c r="AB19" s="140" t="str">
        <f>IFERROR(IF(M19-VLOOKUP($A19,[1]PASAJEROS!$A:$AB,COLUMNS([1]PASAJEROS!$A$39:$M$39),0)=0,"ISO",M19-VLOOKUP($A19,[1]PASAJEROS!$A:$AB,COLUMNS([1]PASAJEROS!$A$39:$M$39),0)),"N/A")</f>
        <v>ISO</v>
      </c>
      <c r="AC19" s="140" t="str">
        <f>IFERROR(+IF(S19-VLOOKUP($A19,[1]PASAJEROS!$A:$AB,COLUMNS([1]PASAJEROS!$A$39:$S$39),0)=0,"ISO",S19-VLOOKUP($A19,[1]PASAJEROS!$A:$AB,COLUMNS([1]PASAJEROS!$A$39:$S$39),0)),"N/A")</f>
        <v>ISO</v>
      </c>
      <c r="AD19" s="140" t="str">
        <f>IFERROR(IF(Y19-VLOOKUP($A19,[1]PASAJEROS!$A:$AB,COLUMNS([1]PASAJEROS!$A$39:$Y$39),0)=0,"ISO",Y19-VLOOKUP($A19,[1]PASAJEROS!$A:$AB,COLUMNS([1]PASAJEROS!$A$39:$Y$39),0)),"N/A")</f>
        <v>ISO</v>
      </c>
      <c r="AE19" s="82"/>
      <c r="AF19" s="84">
        <v>0.09</v>
      </c>
      <c r="AG19" s="83">
        <f>G19*(100%-AF19)</f>
        <v>14277900</v>
      </c>
      <c r="AH19" s="83">
        <f>AG19/1.19</f>
        <v>11998235.294117648</v>
      </c>
      <c r="AI19" s="79"/>
      <c r="AK19" s="81"/>
      <c r="AL19" s="81"/>
    </row>
    <row r="20" spans="1:41" s="80" customFormat="1" ht="24.95" customHeight="1" thickBot="1">
      <c r="A20" s="73"/>
      <c r="B20" s="255"/>
      <c r="C20" s="86"/>
      <c r="D20" s="87"/>
      <c r="E20" s="87"/>
      <c r="F20" s="159"/>
      <c r="G20" s="88"/>
      <c r="H20" s="89"/>
      <c r="I20" s="132"/>
      <c r="J20" s="89"/>
      <c r="K20" s="89"/>
      <c r="L20" s="89"/>
      <c r="M20" s="88"/>
      <c r="N20" s="145"/>
      <c r="O20" s="89"/>
      <c r="P20" s="89"/>
      <c r="Q20" s="89"/>
      <c r="R20" s="89"/>
      <c r="S20" s="88"/>
      <c r="T20" s="145"/>
      <c r="U20" s="89"/>
      <c r="V20" s="89"/>
      <c r="W20" s="89"/>
      <c r="X20" s="89"/>
      <c r="Y20" s="88"/>
      <c r="Z20" s="145"/>
      <c r="AA20" s="90"/>
      <c r="AB20" s="91"/>
      <c r="AC20" s="91"/>
      <c r="AD20" s="91"/>
      <c r="AE20" s="76"/>
      <c r="AF20" s="92"/>
      <c r="AG20" s="89"/>
      <c r="AH20" s="89"/>
      <c r="AI20" s="79"/>
      <c r="AK20" s="81"/>
      <c r="AL20" s="81"/>
    </row>
    <row r="21" spans="1:41" s="80" customFormat="1" ht="24.95" customHeight="1" thickBot="1">
      <c r="A21" s="73"/>
      <c r="B21" s="255"/>
      <c r="C21" s="277" t="s">
        <v>85</v>
      </c>
      <c r="D21" s="278"/>
      <c r="E21" s="279"/>
      <c r="F21" s="128"/>
      <c r="G21" s="75"/>
      <c r="H21" s="170"/>
      <c r="I21" s="132"/>
      <c r="J21" s="77"/>
      <c r="K21" s="77"/>
      <c r="L21" s="77"/>
      <c r="M21" s="77"/>
      <c r="N21" s="143"/>
      <c r="O21" s="77"/>
      <c r="P21" s="77"/>
      <c r="Q21" s="77"/>
      <c r="R21" s="77"/>
      <c r="S21" s="77"/>
      <c r="T21" s="143"/>
      <c r="U21" s="77"/>
      <c r="V21" s="77"/>
      <c r="W21" s="77"/>
      <c r="X21" s="77"/>
      <c r="Y21" s="92"/>
      <c r="Z21" s="143"/>
      <c r="AA21" s="77">
        <v>0</v>
      </c>
      <c r="AB21" s="78"/>
      <c r="AC21" s="78"/>
      <c r="AD21" s="78"/>
      <c r="AE21" s="76"/>
      <c r="AF21" s="77">
        <v>0</v>
      </c>
      <c r="AG21" s="77"/>
      <c r="AH21" s="77">
        <v>0</v>
      </c>
      <c r="AI21" s="79"/>
      <c r="AK21" s="81"/>
      <c r="AL21" s="81"/>
    </row>
    <row r="22" spans="1:41" s="80" customFormat="1" ht="24.95" customHeight="1">
      <c r="A22" s="73" t="s">
        <v>88</v>
      </c>
      <c r="B22" s="255"/>
      <c r="C22" s="230" t="s">
        <v>103</v>
      </c>
      <c r="D22" s="177" t="s">
        <v>92</v>
      </c>
      <c r="E22" s="153" t="s">
        <v>93</v>
      </c>
      <c r="F22" s="158"/>
      <c r="G22" s="154">
        <v>24590000</v>
      </c>
      <c r="H22" s="172">
        <f t="shared" ref="H22:H23" si="7">G22/1.19</f>
        <v>20663865.546218488</v>
      </c>
      <c r="I22" s="152"/>
      <c r="J22" s="149">
        <v>2100000</v>
      </c>
      <c r="K22" s="83">
        <f>IF(J22/2&gt;G22*$M$7,G22*$M$7,J22/2)</f>
        <v>614750</v>
      </c>
      <c r="L22" s="83">
        <f>J22-K22</f>
        <v>1485250</v>
      </c>
      <c r="M22" s="139">
        <f>+$G22-J22</f>
        <v>22490000</v>
      </c>
      <c r="N22" s="144"/>
      <c r="O22" s="149">
        <v>2900000</v>
      </c>
      <c r="P22" s="83">
        <f>K22</f>
        <v>614750</v>
      </c>
      <c r="Q22" s="83">
        <f>L22</f>
        <v>1485250</v>
      </c>
      <c r="R22" s="83">
        <f>O22-P22-Q22</f>
        <v>800000</v>
      </c>
      <c r="S22" s="139">
        <f>+G22-O22</f>
        <v>21690000</v>
      </c>
      <c r="T22" s="144"/>
      <c r="U22" s="149">
        <v>3400000</v>
      </c>
      <c r="V22" s="83">
        <f>K22</f>
        <v>614750</v>
      </c>
      <c r="W22" s="83">
        <f>Q22</f>
        <v>1485250</v>
      </c>
      <c r="X22" s="83">
        <f>U22-V22-W22</f>
        <v>1300000</v>
      </c>
      <c r="Y22" s="139">
        <f>G22-U22</f>
        <v>21190000</v>
      </c>
      <c r="Z22" s="146"/>
      <c r="AA22" s="140" t="str">
        <f>IFERROR(IF(G22-VLOOKUP($A22,[1]PASAJEROS!$A:$AB,COLUMNS([1]PASAJEROS!$A$39:$G$39),0)=0,"ISO",G22-VLOOKUP($A22,[1]PASAJEROS!$A:$AB,COLUMNS([1]PASAJEROS!$A$39:$G$39),0)),"N/A")</f>
        <v>ISO</v>
      </c>
      <c r="AB22" s="140" t="str">
        <f>IFERROR(IF(M22-VLOOKUP($A22,[1]PASAJEROS!$A:$AB,COLUMNS([1]PASAJEROS!$A$39:$M$39),0)=0,"ISO",M22-VLOOKUP($A22,[1]PASAJEROS!$A:$AB,COLUMNS([1]PASAJEROS!$A$39:$M$39),0)),"N/A")</f>
        <v>ISO</v>
      </c>
      <c r="AC22" s="140">
        <f>IFERROR(+IF(S22-VLOOKUP($A22,[1]PASAJEROS!$A:$AB,COLUMNS([1]PASAJEROS!$A$39:$S$39),0)=0,"ISO",S22-VLOOKUP($A22,[1]PASAJEROS!$A:$AB,COLUMNS([1]PASAJEROS!$A$39:$S$39),0)),"N/A")</f>
        <v>200000</v>
      </c>
      <c r="AD22" s="140">
        <f>IFERROR(IF(Y22-VLOOKUP($A22,[1]PASAJEROS!$A:$AB,COLUMNS([1]PASAJEROS!$A$39:$Y$39),0)=0,"ISO",Y22-VLOOKUP($A22,[1]PASAJEROS!$A:$AB,COLUMNS([1]PASAJEROS!$A$39:$Y$39),0)),"N/A")</f>
        <v>200000</v>
      </c>
      <c r="AE22" s="82"/>
      <c r="AF22" s="84">
        <v>0.09</v>
      </c>
      <c r="AG22" s="93">
        <f>G22*(100%-AF22)</f>
        <v>22376900</v>
      </c>
      <c r="AH22" s="93">
        <f t="shared" ref="AH22:AH23" si="8">AG22/1.19</f>
        <v>18804117.647058826</v>
      </c>
      <c r="AI22" s="79"/>
      <c r="AK22" s="81"/>
      <c r="AL22" s="81"/>
    </row>
    <row r="23" spans="1:41" s="80" customFormat="1" ht="24.95" customHeight="1">
      <c r="A23" s="73" t="s">
        <v>89</v>
      </c>
      <c r="B23" s="255"/>
      <c r="C23" s="231" t="s">
        <v>118</v>
      </c>
      <c r="D23" s="177" t="s">
        <v>94</v>
      </c>
      <c r="E23" s="153" t="s">
        <v>93</v>
      </c>
      <c r="F23" s="158"/>
      <c r="G23" s="154">
        <v>26590000</v>
      </c>
      <c r="H23" s="172">
        <f t="shared" si="7"/>
        <v>22344537.81512605</v>
      </c>
      <c r="I23" s="152"/>
      <c r="J23" s="149">
        <v>2100000</v>
      </c>
      <c r="K23" s="83">
        <f>IF(J23/2&gt;G23*$M$7,G23*$M$7,J23/2)</f>
        <v>664750</v>
      </c>
      <c r="L23" s="83">
        <f>J23-K23</f>
        <v>1435250</v>
      </c>
      <c r="M23" s="139">
        <f>+$G23-J23</f>
        <v>24490000</v>
      </c>
      <c r="N23" s="144"/>
      <c r="O23" s="149">
        <v>2900000</v>
      </c>
      <c r="P23" s="83">
        <f>K23</f>
        <v>664750</v>
      </c>
      <c r="Q23" s="83">
        <f>L23</f>
        <v>1435250</v>
      </c>
      <c r="R23" s="83">
        <f>O23-P23-Q23</f>
        <v>800000</v>
      </c>
      <c r="S23" s="139">
        <f>+G23-O23</f>
        <v>23690000</v>
      </c>
      <c r="T23" s="144"/>
      <c r="U23" s="149">
        <v>3400000</v>
      </c>
      <c r="V23" s="83">
        <f>K23</f>
        <v>664750</v>
      </c>
      <c r="W23" s="83">
        <f>Q23</f>
        <v>1435250</v>
      </c>
      <c r="X23" s="83">
        <f>U23-V23-W23</f>
        <v>1300000</v>
      </c>
      <c r="Y23" s="139">
        <f>G23-U23</f>
        <v>23190000</v>
      </c>
      <c r="Z23" s="146"/>
      <c r="AA23" s="140" t="str">
        <f>IFERROR(IF(G23-VLOOKUP($A23,[1]PASAJEROS!$A:$AB,COLUMNS([1]PASAJEROS!$A$39:$G$39),0)=0,"ISO",G23-VLOOKUP($A23,[1]PASAJEROS!$A:$AB,COLUMNS([1]PASAJEROS!$A$39:$G$39),0)),"N/A")</f>
        <v>ISO</v>
      </c>
      <c r="AB23" s="140" t="str">
        <f>IFERROR(IF(M23-VLOOKUP($A23,[1]PASAJEROS!$A:$AB,COLUMNS([1]PASAJEROS!$A$39:$M$39),0)=0,"ISO",M23-VLOOKUP($A23,[1]PASAJEROS!$A:$AB,COLUMNS([1]PASAJEROS!$A$39:$M$39),0)),"N/A")</f>
        <v>ISO</v>
      </c>
      <c r="AC23" s="140">
        <f>IFERROR(+IF(S23-VLOOKUP($A23,[1]PASAJEROS!$A:$AB,COLUMNS([1]PASAJEROS!$A$39:$S$39),0)=0,"ISO",S23-VLOOKUP($A23,[1]PASAJEROS!$A:$AB,COLUMNS([1]PASAJEROS!$A$39:$S$39),0)),"N/A")</f>
        <v>200000</v>
      </c>
      <c r="AD23" s="140">
        <f>IFERROR(IF(Y23-VLOOKUP($A23,[1]PASAJEROS!$A:$AB,COLUMNS([1]PASAJEROS!$A$39:$Y$39),0)=0,"ISO",Y23-VLOOKUP($A23,[1]PASAJEROS!$A:$AB,COLUMNS([1]PASAJEROS!$A$39:$Y$39),0)),"N/A")</f>
        <v>200000</v>
      </c>
      <c r="AE23" s="82"/>
      <c r="AF23" s="84">
        <v>0.09</v>
      </c>
      <c r="AG23" s="93">
        <f>G23*(100%-AF23)</f>
        <v>24196900</v>
      </c>
      <c r="AH23" s="93">
        <f t="shared" si="8"/>
        <v>20333529.411764707</v>
      </c>
      <c r="AI23" s="79"/>
      <c r="AK23" s="81"/>
      <c r="AL23" s="81"/>
    </row>
    <row r="24" spans="1:41" s="80" customFormat="1" ht="24.95" customHeight="1" thickBot="1">
      <c r="A24" s="73"/>
      <c r="B24" s="255"/>
      <c r="C24" s="86"/>
      <c r="D24" s="87"/>
      <c r="E24" s="87"/>
      <c r="F24" s="159"/>
      <c r="G24" s="94"/>
      <c r="H24" s="95"/>
      <c r="I24" s="132"/>
      <c r="J24" s="95"/>
      <c r="K24" s="95"/>
      <c r="L24" s="95"/>
      <c r="M24" s="94"/>
      <c r="N24" s="147"/>
      <c r="O24" s="95"/>
      <c r="P24" s="95"/>
      <c r="Q24" s="95"/>
      <c r="R24" s="95"/>
      <c r="S24" s="94"/>
      <c r="T24" s="147"/>
      <c r="U24" s="95"/>
      <c r="V24" s="95"/>
      <c r="W24" s="95"/>
      <c r="X24" s="95"/>
      <c r="Y24" s="94"/>
      <c r="Z24" s="147"/>
      <c r="AA24" s="96"/>
      <c r="AB24" s="97"/>
      <c r="AC24" s="97"/>
      <c r="AD24" s="97"/>
      <c r="AE24" s="76"/>
      <c r="AF24" s="92"/>
      <c r="AG24" s="95"/>
      <c r="AH24" s="95"/>
      <c r="AI24" s="79"/>
      <c r="AK24" s="81"/>
      <c r="AL24" s="81"/>
    </row>
    <row r="25" spans="1:41" s="80" customFormat="1" ht="24.95" customHeight="1" thickBot="1">
      <c r="A25" s="73"/>
      <c r="B25" s="255"/>
      <c r="C25" s="277" t="s">
        <v>29</v>
      </c>
      <c r="D25" s="278"/>
      <c r="E25" s="279"/>
      <c r="F25" s="128"/>
      <c r="G25" s="75"/>
      <c r="H25" s="170"/>
      <c r="I25" s="132"/>
      <c r="J25" s="77"/>
      <c r="K25" s="77"/>
      <c r="L25" s="77"/>
      <c r="M25" s="77"/>
      <c r="N25" s="143"/>
      <c r="O25" s="77"/>
      <c r="P25" s="77"/>
      <c r="Q25" s="77"/>
      <c r="R25" s="77"/>
      <c r="S25" s="77"/>
      <c r="T25" s="143"/>
      <c r="U25" s="77"/>
      <c r="V25" s="77"/>
      <c r="W25" s="77"/>
      <c r="X25" s="77"/>
      <c r="Y25" s="77"/>
      <c r="Z25" s="143"/>
      <c r="AA25" s="77">
        <v>0</v>
      </c>
      <c r="AB25" s="78"/>
      <c r="AC25" s="78"/>
      <c r="AD25" s="78"/>
      <c r="AE25" s="76"/>
      <c r="AF25" s="77">
        <v>0</v>
      </c>
      <c r="AG25" s="77"/>
      <c r="AH25" s="77">
        <v>0</v>
      </c>
      <c r="AI25" s="79"/>
      <c r="AK25" s="81"/>
      <c r="AL25" s="81"/>
    </row>
    <row r="26" spans="1:41" s="80" customFormat="1" ht="24.95" customHeight="1">
      <c r="A26" s="73" t="s">
        <v>45</v>
      </c>
      <c r="B26" s="255"/>
      <c r="C26" s="230" t="s">
        <v>104</v>
      </c>
      <c r="D26" s="177" t="s">
        <v>34</v>
      </c>
      <c r="E26" s="153" t="s">
        <v>44</v>
      </c>
      <c r="F26" s="158"/>
      <c r="G26" s="154">
        <v>16190000</v>
      </c>
      <c r="H26" s="172">
        <f t="shared" ref="H26:H30" si="9">G26/1.19</f>
        <v>13605042.016806724</v>
      </c>
      <c r="I26" s="152"/>
      <c r="J26" s="149">
        <v>1500000</v>
      </c>
      <c r="K26" s="83">
        <f>IF(J26/2&gt;G26*$M$7,G26*$M$7,J26/2)</f>
        <v>404750</v>
      </c>
      <c r="L26" s="83">
        <f>J26-K26</f>
        <v>1095250</v>
      </c>
      <c r="M26" s="139">
        <f>+$G26-J26</f>
        <v>14690000</v>
      </c>
      <c r="N26" s="144"/>
      <c r="O26" s="149">
        <v>2800000</v>
      </c>
      <c r="P26" s="83">
        <f t="shared" ref="P26:Q30" si="10">K26</f>
        <v>404750</v>
      </c>
      <c r="Q26" s="83">
        <f t="shared" si="10"/>
        <v>1095250</v>
      </c>
      <c r="R26" s="83">
        <f>O26-P26-Q26</f>
        <v>1300000</v>
      </c>
      <c r="S26" s="139">
        <f>+G26-O26</f>
        <v>13390000</v>
      </c>
      <c r="T26" s="144"/>
      <c r="U26" s="149">
        <v>3400000</v>
      </c>
      <c r="V26" s="83">
        <f>K26</f>
        <v>404750</v>
      </c>
      <c r="W26" s="83">
        <f>Q26</f>
        <v>1095250</v>
      </c>
      <c r="X26" s="83">
        <f>U26-V26-W26</f>
        <v>1900000</v>
      </c>
      <c r="Y26" s="139">
        <f>G26-U26</f>
        <v>12790000</v>
      </c>
      <c r="Z26" s="146"/>
      <c r="AA26" s="140" t="str">
        <f>IFERROR(IF(G26-VLOOKUP($A26,[1]PASAJEROS!$A:$AB,COLUMNS([1]PASAJEROS!$A$39:$G$39),0)=0,"ISO",G26-VLOOKUP($A26,[1]PASAJEROS!$A:$AB,COLUMNS([1]PASAJEROS!$A$39:$G$39),0)),"N/A")</f>
        <v>ISO</v>
      </c>
      <c r="AB26" s="140" t="str">
        <f>IFERROR(IF(M26-VLOOKUP($A26,[1]PASAJEROS!$A:$AB,COLUMNS([1]PASAJEROS!$A$39:$M$39),0)=0,"ISO",M26-VLOOKUP($A26,[1]PASAJEROS!$A:$AB,COLUMNS([1]PASAJEROS!$A$39:$M$39),0)),"N/A")</f>
        <v>ISO</v>
      </c>
      <c r="AC26" s="140" t="str">
        <f>IFERROR(+IF(S26-VLOOKUP($A26,[1]PASAJEROS!$A:$AB,COLUMNS([1]PASAJEROS!$A$39:$S$39),0)=0,"ISO",S26-VLOOKUP($A26,[1]PASAJEROS!$A:$AB,COLUMNS([1]PASAJEROS!$A$39:$S$39),0)),"N/A")</f>
        <v>ISO</v>
      </c>
      <c r="AD26" s="140" t="str">
        <f>IFERROR(IF(Y26-VLOOKUP($A26,[1]PASAJEROS!$A:$AB,COLUMNS([1]PASAJEROS!$A$39:$Y$39),0)=0,"ISO",Y26-VLOOKUP($A26,[1]PASAJEROS!$A:$AB,COLUMNS([1]PASAJEROS!$A$39:$Y$39),0)),"N/A")</f>
        <v>ISO</v>
      </c>
      <c r="AE26" s="82"/>
      <c r="AF26" s="84">
        <v>0.09</v>
      </c>
      <c r="AG26" s="93">
        <f>G26*(100%-AF26)</f>
        <v>14732900</v>
      </c>
      <c r="AH26" s="93">
        <f t="shared" ref="AH26:AH30" si="11">AG26/1.19</f>
        <v>12380588.235294119</v>
      </c>
      <c r="AI26" s="79"/>
      <c r="AK26" s="81"/>
      <c r="AL26" s="81"/>
      <c r="AO26" s="111"/>
    </row>
    <row r="27" spans="1:41" s="80" customFormat="1" ht="24.95" customHeight="1">
      <c r="A27" s="73" t="s">
        <v>46</v>
      </c>
      <c r="B27" s="255"/>
      <c r="C27" s="231" t="s">
        <v>105</v>
      </c>
      <c r="D27" s="177" t="s">
        <v>35</v>
      </c>
      <c r="E27" s="153" t="s">
        <v>72</v>
      </c>
      <c r="F27" s="158"/>
      <c r="G27" s="154">
        <v>17290000</v>
      </c>
      <c r="H27" s="172">
        <f t="shared" si="9"/>
        <v>14529411.764705883</v>
      </c>
      <c r="I27" s="152"/>
      <c r="J27" s="149">
        <v>1500000</v>
      </c>
      <c r="K27" s="83">
        <f>IF(J27/2&gt;G27*$M$7,G27*$M$7,J27/2)</f>
        <v>432250</v>
      </c>
      <c r="L27" s="83">
        <f>J27-K27</f>
        <v>1067750</v>
      </c>
      <c r="M27" s="139">
        <f>+$G27-J27</f>
        <v>15790000</v>
      </c>
      <c r="N27" s="144"/>
      <c r="O27" s="149">
        <v>3300000</v>
      </c>
      <c r="P27" s="83">
        <f t="shared" si="10"/>
        <v>432250</v>
      </c>
      <c r="Q27" s="83">
        <f t="shared" si="10"/>
        <v>1067750</v>
      </c>
      <c r="R27" s="83">
        <f>O27-P27-Q27</f>
        <v>1800000</v>
      </c>
      <c r="S27" s="139">
        <f>+G27-O27</f>
        <v>13990000</v>
      </c>
      <c r="T27" s="144"/>
      <c r="U27" s="149">
        <v>4000000</v>
      </c>
      <c r="V27" s="83">
        <f>K27</f>
        <v>432250</v>
      </c>
      <c r="W27" s="83">
        <f>Q27</f>
        <v>1067750</v>
      </c>
      <c r="X27" s="83">
        <f>U27-V27-W27</f>
        <v>2500000</v>
      </c>
      <c r="Y27" s="139">
        <f>G27-U27</f>
        <v>13290000</v>
      </c>
      <c r="Z27" s="146"/>
      <c r="AA27" s="140" t="str">
        <f>IFERROR(IF(G27-VLOOKUP($A27,[1]PASAJEROS!$A:$AB,COLUMNS([1]PASAJEROS!$A$39:$G$39),0)=0,"ISO",G27-VLOOKUP($A27,[1]PASAJEROS!$A:$AB,COLUMNS([1]PASAJEROS!$A$39:$G$39),0)),"N/A")</f>
        <v>ISO</v>
      </c>
      <c r="AB27" s="140" t="str">
        <f>IFERROR(IF(M27-VLOOKUP($A27,[1]PASAJEROS!$A:$AB,COLUMNS([1]PASAJEROS!$A$39:$M$39),0)=0,"ISO",M27-VLOOKUP($A27,[1]PASAJEROS!$A:$AB,COLUMNS([1]PASAJEROS!$A$39:$M$39),0)),"N/A")</f>
        <v>ISO</v>
      </c>
      <c r="AC27" s="140" t="str">
        <f>IFERROR(+IF(S27-VLOOKUP($A27,[1]PASAJEROS!$A:$AB,COLUMNS([1]PASAJEROS!$A$39:$S$39),0)=0,"ISO",S27-VLOOKUP($A27,[1]PASAJEROS!$A:$AB,COLUMNS([1]PASAJEROS!$A$39:$S$39),0)),"N/A")</f>
        <v>ISO</v>
      </c>
      <c r="AD27" s="140" t="str">
        <f>IFERROR(IF(Y27-VLOOKUP($A27,[1]PASAJEROS!$A:$AB,COLUMNS([1]PASAJEROS!$A$39:$Y$39),0)=0,"ISO",Y27-VLOOKUP($A27,[1]PASAJEROS!$A:$AB,COLUMNS([1]PASAJEROS!$A$39:$Y$39),0)),"N/A")</f>
        <v>ISO</v>
      </c>
      <c r="AE27" s="82"/>
      <c r="AF27" s="84">
        <v>0.09</v>
      </c>
      <c r="AG27" s="93">
        <f>G27*(100%-AF27)</f>
        <v>15733900</v>
      </c>
      <c r="AH27" s="93">
        <f t="shared" si="11"/>
        <v>13221764.705882354</v>
      </c>
      <c r="AI27" s="79"/>
      <c r="AK27" s="81"/>
      <c r="AL27" s="81"/>
      <c r="AO27" s="111"/>
    </row>
    <row r="28" spans="1:41" s="80" customFormat="1" ht="24.95" customHeight="1">
      <c r="A28" s="73" t="s">
        <v>47</v>
      </c>
      <c r="B28" s="255"/>
      <c r="C28" s="231" t="s">
        <v>106</v>
      </c>
      <c r="D28" s="177" t="s">
        <v>36</v>
      </c>
      <c r="E28" s="153" t="s">
        <v>44</v>
      </c>
      <c r="F28" s="158"/>
      <c r="G28" s="154">
        <v>16790000</v>
      </c>
      <c r="H28" s="172">
        <f t="shared" si="9"/>
        <v>14109243.697478993</v>
      </c>
      <c r="I28" s="152"/>
      <c r="J28" s="149">
        <v>1800000</v>
      </c>
      <c r="K28" s="83">
        <f>IF(J28/2&gt;G28*$M$7,G28*$M$7,J28/2)</f>
        <v>419750</v>
      </c>
      <c r="L28" s="83">
        <f>J28-K28</f>
        <v>1380250</v>
      </c>
      <c r="M28" s="139">
        <f>+$G28-J28</f>
        <v>14990000</v>
      </c>
      <c r="N28" s="144"/>
      <c r="O28" s="149">
        <v>3100000</v>
      </c>
      <c r="P28" s="83">
        <f t="shared" si="10"/>
        <v>419750</v>
      </c>
      <c r="Q28" s="83">
        <f t="shared" si="10"/>
        <v>1380250</v>
      </c>
      <c r="R28" s="83">
        <f>O28-P28-Q28</f>
        <v>1300000</v>
      </c>
      <c r="S28" s="139">
        <f>+G28-O28</f>
        <v>13690000</v>
      </c>
      <c r="T28" s="144"/>
      <c r="U28" s="149">
        <v>3600000</v>
      </c>
      <c r="V28" s="83">
        <f>K28</f>
        <v>419750</v>
      </c>
      <c r="W28" s="83">
        <f>Q28</f>
        <v>1380250</v>
      </c>
      <c r="X28" s="83">
        <f>U28-V28-W28</f>
        <v>1800000</v>
      </c>
      <c r="Y28" s="139">
        <f>G28-U28</f>
        <v>13190000</v>
      </c>
      <c r="Z28" s="146"/>
      <c r="AA28" s="140" t="str">
        <f>IFERROR(IF(G28-VLOOKUP($A28,[1]PASAJEROS!$A:$AB,COLUMNS([1]PASAJEROS!$A$39:$G$39),0)=0,"ISO",G28-VLOOKUP($A28,[1]PASAJEROS!$A:$AB,COLUMNS([1]PASAJEROS!$A$39:$G$39),0)),"N/A")</f>
        <v>ISO</v>
      </c>
      <c r="AB28" s="140" t="str">
        <f>IFERROR(IF(M28-VLOOKUP($A28,[1]PASAJEROS!$A:$AB,COLUMNS([1]PASAJEROS!$A$39:$M$39),0)=0,"ISO",M28-VLOOKUP($A28,[1]PASAJEROS!$A:$AB,COLUMNS([1]PASAJEROS!$A$39:$M$39),0)),"N/A")</f>
        <v>ISO</v>
      </c>
      <c r="AC28" s="140" t="str">
        <f>IFERROR(+IF(S28-VLOOKUP($A28,[1]PASAJEROS!$A:$AB,COLUMNS([1]PASAJEROS!$A$39:$S$39),0)=0,"ISO",S28-VLOOKUP($A28,[1]PASAJEROS!$A:$AB,COLUMNS([1]PASAJEROS!$A$39:$S$39),0)),"N/A")</f>
        <v>ISO</v>
      </c>
      <c r="AD28" s="140" t="str">
        <f>IFERROR(IF(Y28-VLOOKUP($A28,[1]PASAJEROS!$A:$AB,COLUMNS([1]PASAJEROS!$A$39:$Y$39),0)=0,"ISO",Y28-VLOOKUP($A28,[1]PASAJEROS!$A:$AB,COLUMNS([1]PASAJEROS!$A$39:$Y$39),0)),"N/A")</f>
        <v>ISO</v>
      </c>
      <c r="AE28" s="82"/>
      <c r="AF28" s="84">
        <v>0.09</v>
      </c>
      <c r="AG28" s="93">
        <f>G28*(100%-AF28)</f>
        <v>15278900</v>
      </c>
      <c r="AH28" s="93">
        <f t="shared" si="11"/>
        <v>12839411.764705883</v>
      </c>
      <c r="AI28" s="79"/>
      <c r="AK28" s="81"/>
      <c r="AL28" s="81"/>
      <c r="AO28" s="111"/>
    </row>
    <row r="29" spans="1:41" s="80" customFormat="1" ht="24.95" customHeight="1">
      <c r="A29" s="73" t="s">
        <v>67</v>
      </c>
      <c r="B29" s="255"/>
      <c r="C29" s="231" t="s">
        <v>107</v>
      </c>
      <c r="D29" s="177" t="s">
        <v>54</v>
      </c>
      <c r="E29" s="153" t="s">
        <v>57</v>
      </c>
      <c r="F29" s="158"/>
      <c r="G29" s="154">
        <v>19390000</v>
      </c>
      <c r="H29" s="172">
        <f t="shared" si="9"/>
        <v>16294117.647058824</v>
      </c>
      <c r="I29" s="152"/>
      <c r="J29" s="149">
        <v>1700000</v>
      </c>
      <c r="K29" s="83">
        <f>IF(J29/2&gt;G29*$M$7,G29*$M$7,J29/2)</f>
        <v>484750</v>
      </c>
      <c r="L29" s="83">
        <f>J29-K29</f>
        <v>1215250</v>
      </c>
      <c r="M29" s="139">
        <f>+$G29-J29</f>
        <v>17690000</v>
      </c>
      <c r="N29" s="144"/>
      <c r="O29" s="149">
        <v>3000000</v>
      </c>
      <c r="P29" s="83">
        <f t="shared" si="10"/>
        <v>484750</v>
      </c>
      <c r="Q29" s="83">
        <f t="shared" si="10"/>
        <v>1215250</v>
      </c>
      <c r="R29" s="83">
        <f>O29-P29-Q29</f>
        <v>1300000</v>
      </c>
      <c r="S29" s="139">
        <f>+G29-O29</f>
        <v>16390000</v>
      </c>
      <c r="T29" s="144"/>
      <c r="U29" s="149">
        <v>3500000</v>
      </c>
      <c r="V29" s="83">
        <f>K29</f>
        <v>484750</v>
      </c>
      <c r="W29" s="83">
        <f>Q29</f>
        <v>1215250</v>
      </c>
      <c r="X29" s="83">
        <f>U29-V29-W29</f>
        <v>1800000</v>
      </c>
      <c r="Y29" s="139">
        <f>G29-U29</f>
        <v>15890000</v>
      </c>
      <c r="Z29" s="146"/>
      <c r="AA29" s="140" t="str">
        <f>IFERROR(IF(G29-VLOOKUP($A29,[1]PASAJEROS!$A:$AB,COLUMNS([1]PASAJEROS!$A$39:$G$39),0)=0,"ISO",G29-VLOOKUP($A29,[1]PASAJEROS!$A:$AB,COLUMNS([1]PASAJEROS!$A$39:$G$39),0)),"N/A")</f>
        <v>ISO</v>
      </c>
      <c r="AB29" s="140" t="str">
        <f>IFERROR(IF(M29-VLOOKUP($A29,[1]PASAJEROS!$A:$AB,COLUMNS([1]PASAJEROS!$A$39:$M$39),0)=0,"ISO",M29-VLOOKUP($A29,[1]PASAJEROS!$A:$AB,COLUMNS([1]PASAJEROS!$A$39:$M$39),0)),"N/A")</f>
        <v>ISO</v>
      </c>
      <c r="AC29" s="140" t="str">
        <f>IFERROR(+IF(S29-VLOOKUP($A29,[1]PASAJEROS!$A:$AB,COLUMNS([1]PASAJEROS!$A$39:$S$39),0)=0,"ISO",S29-VLOOKUP($A29,[1]PASAJEROS!$A:$AB,COLUMNS([1]PASAJEROS!$A$39:$S$39),0)),"N/A")</f>
        <v>ISO</v>
      </c>
      <c r="AD29" s="140" t="str">
        <f>IFERROR(IF(Y29-VLOOKUP($A29,[1]PASAJEROS!$A:$AB,COLUMNS([1]PASAJEROS!$A$39:$Y$39),0)=0,"ISO",Y29-VLOOKUP($A29,[1]PASAJEROS!$A:$AB,COLUMNS([1]PASAJEROS!$A$39:$Y$39),0)),"N/A")</f>
        <v>ISO</v>
      </c>
      <c r="AE29" s="82"/>
      <c r="AF29" s="84">
        <v>0.09</v>
      </c>
      <c r="AG29" s="93">
        <f>G29*(100%-AF29)</f>
        <v>17644900</v>
      </c>
      <c r="AH29" s="93">
        <f t="shared" si="11"/>
        <v>14827647.05882353</v>
      </c>
      <c r="AI29" s="79"/>
      <c r="AK29" s="81"/>
      <c r="AL29" s="81"/>
      <c r="AO29" s="111"/>
    </row>
    <row r="30" spans="1:41" s="80" customFormat="1" ht="24.95" customHeight="1">
      <c r="A30" s="73" t="s">
        <v>68</v>
      </c>
      <c r="B30" s="255"/>
      <c r="C30" s="231" t="s">
        <v>108</v>
      </c>
      <c r="D30" s="177" t="s">
        <v>55</v>
      </c>
      <c r="E30" s="153" t="s">
        <v>43</v>
      </c>
      <c r="F30" s="158"/>
      <c r="G30" s="154">
        <v>20490000</v>
      </c>
      <c r="H30" s="172">
        <f t="shared" si="9"/>
        <v>17218487.394957986</v>
      </c>
      <c r="I30" s="152"/>
      <c r="J30" s="149">
        <v>1700000</v>
      </c>
      <c r="K30" s="83">
        <f>IF(J30/2&gt;G30*$M$7,G30*$M$7,J30/2)</f>
        <v>512250</v>
      </c>
      <c r="L30" s="83">
        <f>J30-K30</f>
        <v>1187750</v>
      </c>
      <c r="M30" s="139">
        <f>+$G30-J30</f>
        <v>18790000</v>
      </c>
      <c r="N30" s="144"/>
      <c r="O30" s="149">
        <v>3500000</v>
      </c>
      <c r="P30" s="83">
        <f t="shared" si="10"/>
        <v>512250</v>
      </c>
      <c r="Q30" s="83">
        <f t="shared" si="10"/>
        <v>1187750</v>
      </c>
      <c r="R30" s="83">
        <f>O30-P30-Q30</f>
        <v>1800000</v>
      </c>
      <c r="S30" s="139">
        <f>+G30-O30</f>
        <v>16990000</v>
      </c>
      <c r="T30" s="144"/>
      <c r="U30" s="149">
        <v>4200000</v>
      </c>
      <c r="V30" s="83">
        <f>K30</f>
        <v>512250</v>
      </c>
      <c r="W30" s="83">
        <f>Q30</f>
        <v>1187750</v>
      </c>
      <c r="X30" s="83">
        <f>U30-V30-W30</f>
        <v>2500000</v>
      </c>
      <c r="Y30" s="139">
        <f>G30-U30</f>
        <v>16290000</v>
      </c>
      <c r="Z30" s="146"/>
      <c r="AA30" s="140" t="str">
        <f>IFERROR(IF(G30-VLOOKUP($A30,[1]PASAJEROS!$A:$AB,COLUMNS([1]PASAJEROS!$A$39:$G$39),0)=0,"ISO",G30-VLOOKUP($A30,[1]PASAJEROS!$A:$AB,COLUMNS([1]PASAJEROS!$A$39:$G$39),0)),"N/A")</f>
        <v>ISO</v>
      </c>
      <c r="AB30" s="140" t="str">
        <f>IFERROR(IF(M30-VLOOKUP($A30,[1]PASAJEROS!$A:$AB,COLUMNS([1]PASAJEROS!$A$39:$M$39),0)=0,"ISO",M30-VLOOKUP($A30,[1]PASAJEROS!$A:$AB,COLUMNS([1]PASAJEROS!$A$39:$M$39),0)),"N/A")</f>
        <v>ISO</v>
      </c>
      <c r="AC30" s="140" t="str">
        <f>IFERROR(+IF(S30-VLOOKUP($A30,[1]PASAJEROS!$A:$AB,COLUMNS([1]PASAJEROS!$A$39:$S$39),0)=0,"ISO",S30-VLOOKUP($A30,[1]PASAJEROS!$A:$AB,COLUMNS([1]PASAJEROS!$A$39:$S$39),0)),"N/A")</f>
        <v>ISO</v>
      </c>
      <c r="AD30" s="140" t="str">
        <f>IFERROR(IF(Y30-VLOOKUP($A30,[1]PASAJEROS!$A:$AB,COLUMNS([1]PASAJEROS!$A$39:$Y$39),0)=0,"ISO",Y30-VLOOKUP($A30,[1]PASAJEROS!$A:$AB,COLUMNS([1]PASAJEROS!$A$39:$Y$39),0)),"N/A")</f>
        <v>ISO</v>
      </c>
      <c r="AE30" s="82"/>
      <c r="AF30" s="84">
        <v>0.09</v>
      </c>
      <c r="AG30" s="93">
        <f>G30*(100%-AF30)</f>
        <v>18645900</v>
      </c>
      <c r="AH30" s="93">
        <f t="shared" si="11"/>
        <v>15668823.529411765</v>
      </c>
      <c r="AI30" s="79"/>
      <c r="AK30" s="81"/>
      <c r="AL30" s="81"/>
      <c r="AO30" s="111"/>
    </row>
    <row r="31" spans="1:41" s="80" customFormat="1" ht="24.95" customHeight="1" thickBot="1">
      <c r="A31" s="73"/>
      <c r="B31" s="255"/>
      <c r="C31" s="86"/>
      <c r="D31" s="87"/>
      <c r="E31" s="87"/>
      <c r="F31" s="159"/>
      <c r="G31" s="258"/>
      <c r="H31" s="89"/>
      <c r="I31" s="132"/>
      <c r="J31" s="89"/>
      <c r="K31" s="89"/>
      <c r="L31" s="89"/>
      <c r="M31" s="88"/>
      <c r="N31" s="145"/>
      <c r="O31" s="89"/>
      <c r="P31" s="89"/>
      <c r="Q31" s="89"/>
      <c r="R31" s="89"/>
      <c r="S31" s="88"/>
      <c r="T31" s="145"/>
      <c r="U31" s="89"/>
      <c r="V31" s="89"/>
      <c r="W31" s="89"/>
      <c r="X31" s="89"/>
      <c r="Y31" s="88"/>
      <c r="Z31" s="145"/>
      <c r="AA31" s="90"/>
      <c r="AB31" s="91"/>
      <c r="AC31" s="91"/>
      <c r="AD31" s="91"/>
      <c r="AE31" s="76"/>
      <c r="AF31" s="92"/>
      <c r="AG31" s="89"/>
      <c r="AH31" s="89"/>
      <c r="AI31" s="79"/>
      <c r="AK31" s="81"/>
      <c r="AL31" s="81"/>
    </row>
    <row r="32" spans="1:41" s="80" customFormat="1" ht="24.95" customHeight="1" thickBot="1">
      <c r="A32" s="73"/>
      <c r="B32" s="255"/>
      <c r="C32" s="277" t="s">
        <v>28</v>
      </c>
      <c r="D32" s="278"/>
      <c r="E32" s="279"/>
      <c r="F32" s="128"/>
      <c r="G32" s="75"/>
      <c r="H32" s="170"/>
      <c r="I32" s="132"/>
      <c r="J32" s="77"/>
      <c r="K32" s="77"/>
      <c r="L32" s="77"/>
      <c r="M32" s="77"/>
      <c r="N32" s="143"/>
      <c r="O32" s="77"/>
      <c r="P32" s="77"/>
      <c r="Q32" s="77"/>
      <c r="R32" s="77"/>
      <c r="S32" s="77"/>
      <c r="T32" s="143"/>
      <c r="U32" s="77"/>
      <c r="V32" s="77"/>
      <c r="W32" s="77"/>
      <c r="X32" s="77"/>
      <c r="Y32" s="77"/>
      <c r="Z32" s="143"/>
      <c r="AA32" s="77">
        <v>0</v>
      </c>
      <c r="AB32" s="78"/>
      <c r="AC32" s="78"/>
      <c r="AD32" s="78"/>
      <c r="AE32" s="76"/>
      <c r="AF32" s="77">
        <v>0</v>
      </c>
      <c r="AG32" s="77"/>
      <c r="AH32" s="77">
        <v>0</v>
      </c>
      <c r="AI32" s="79"/>
      <c r="AK32" s="81"/>
      <c r="AL32" s="81"/>
    </row>
    <row r="33" spans="1:38" s="80" customFormat="1" ht="24.95" customHeight="1">
      <c r="A33" s="73"/>
      <c r="B33" s="255"/>
      <c r="C33" s="231" t="s">
        <v>109</v>
      </c>
      <c r="D33" s="177" t="s">
        <v>58</v>
      </c>
      <c r="E33" s="153" t="s">
        <v>1</v>
      </c>
      <c r="F33" s="158"/>
      <c r="G33" s="155">
        <v>26990000</v>
      </c>
      <c r="H33" s="172">
        <f>G33/1.19</f>
        <v>22680672.268907566</v>
      </c>
      <c r="I33" s="152"/>
      <c r="J33" s="150">
        <f>+J34</f>
        <v>1000000</v>
      </c>
      <c r="K33" s="83">
        <f>IF(J33/2&gt;G33*$M$7,G33*$M$7,J33/2)</f>
        <v>500000</v>
      </c>
      <c r="L33" s="83">
        <f>J33-K33</f>
        <v>500000</v>
      </c>
      <c r="M33" s="139">
        <f>+$G33-J33</f>
        <v>25990000</v>
      </c>
      <c r="N33" s="146"/>
      <c r="O33" s="150">
        <f>+O34</f>
        <v>1900000</v>
      </c>
      <c r="P33" s="83">
        <f t="shared" ref="P33:Q34" si="12">K33</f>
        <v>500000</v>
      </c>
      <c r="Q33" s="83">
        <f t="shared" si="12"/>
        <v>500000</v>
      </c>
      <c r="R33" s="83">
        <f>O33-P33-Q33</f>
        <v>900000</v>
      </c>
      <c r="S33" s="139">
        <f>+G33-O33</f>
        <v>25090000</v>
      </c>
      <c r="T33" s="146"/>
      <c r="U33" s="150">
        <f>+U34</f>
        <v>2300000</v>
      </c>
      <c r="V33" s="83">
        <f>K33</f>
        <v>500000</v>
      </c>
      <c r="W33" s="83">
        <f>Q33</f>
        <v>500000</v>
      </c>
      <c r="X33" s="83">
        <f>U33-V33-W33</f>
        <v>1300000</v>
      </c>
      <c r="Y33" s="139">
        <f>G33-U33</f>
        <v>24690000</v>
      </c>
      <c r="Z33" s="146"/>
      <c r="AA33" s="140" t="s">
        <v>156</v>
      </c>
      <c r="AB33" s="140" t="s">
        <v>156</v>
      </c>
      <c r="AC33" s="140" t="s">
        <v>156</v>
      </c>
      <c r="AD33" s="140" t="s">
        <v>156</v>
      </c>
      <c r="AE33" s="82"/>
      <c r="AF33" s="84">
        <v>0.09</v>
      </c>
      <c r="AG33" s="93">
        <f>G33*(100%-AF33)</f>
        <v>24560900</v>
      </c>
      <c r="AH33" s="93">
        <f t="shared" ref="AH33:AH34" si="13">AG33/1.19</f>
        <v>20639411.764705881</v>
      </c>
      <c r="AI33" s="79"/>
      <c r="AK33" s="81"/>
      <c r="AL33" s="81"/>
    </row>
    <row r="34" spans="1:38" s="80" customFormat="1" ht="24.95" customHeight="1">
      <c r="A34" s="73"/>
      <c r="B34" s="255"/>
      <c r="C34" s="231" t="s">
        <v>110</v>
      </c>
      <c r="D34" s="177" t="s">
        <v>37</v>
      </c>
      <c r="E34" s="153" t="s">
        <v>1</v>
      </c>
      <c r="F34" s="158"/>
      <c r="G34" s="154">
        <v>30990000</v>
      </c>
      <c r="H34" s="172">
        <f>G34/1.19</f>
        <v>26042016.806722689</v>
      </c>
      <c r="I34" s="152"/>
      <c r="J34" s="149">
        <v>1000000</v>
      </c>
      <c r="K34" s="83">
        <f>IF(J34/2&gt;G34*$M$7,G34*$M$7,J34/2)</f>
        <v>500000</v>
      </c>
      <c r="L34" s="83">
        <f>J34-K34</f>
        <v>500000</v>
      </c>
      <c r="M34" s="139">
        <f>+$G34-J34</f>
        <v>29990000</v>
      </c>
      <c r="N34" s="144"/>
      <c r="O34" s="149">
        <v>1900000</v>
      </c>
      <c r="P34" s="83">
        <f t="shared" si="12"/>
        <v>500000</v>
      </c>
      <c r="Q34" s="83">
        <f t="shared" si="12"/>
        <v>500000</v>
      </c>
      <c r="R34" s="83">
        <f>O34-P34-Q34</f>
        <v>900000</v>
      </c>
      <c r="S34" s="139">
        <f>+G34-O34</f>
        <v>29090000</v>
      </c>
      <c r="T34" s="144"/>
      <c r="U34" s="149">
        <v>2300000</v>
      </c>
      <c r="V34" s="83">
        <f>K34</f>
        <v>500000</v>
      </c>
      <c r="W34" s="83">
        <f>Q34</f>
        <v>500000</v>
      </c>
      <c r="X34" s="83">
        <f>U34-V34-W34</f>
        <v>1300000</v>
      </c>
      <c r="Y34" s="139">
        <f>G34-U34</f>
        <v>28690000</v>
      </c>
      <c r="Z34" s="146"/>
      <c r="AA34" s="140" t="s">
        <v>156</v>
      </c>
      <c r="AB34" s="140" t="s">
        <v>156</v>
      </c>
      <c r="AC34" s="140" t="s">
        <v>156</v>
      </c>
      <c r="AD34" s="140" t="s">
        <v>156</v>
      </c>
      <c r="AE34" s="82"/>
      <c r="AF34" s="84">
        <v>0.09</v>
      </c>
      <c r="AG34" s="93">
        <f>G34*(100%-AF34)</f>
        <v>28200900</v>
      </c>
      <c r="AH34" s="93">
        <f t="shared" si="13"/>
        <v>23698235.294117648</v>
      </c>
      <c r="AI34" s="79"/>
      <c r="AK34" s="81"/>
      <c r="AL34" s="81"/>
    </row>
    <row r="35" spans="1:38" s="80" customFormat="1" ht="24.95" customHeight="1" thickBot="1">
      <c r="A35" s="73"/>
      <c r="B35" s="255"/>
      <c r="C35" s="86"/>
      <c r="D35" s="87"/>
      <c r="E35" s="87"/>
      <c r="F35" s="159"/>
      <c r="G35" s="88"/>
      <c r="H35" s="89"/>
      <c r="I35" s="132"/>
      <c r="J35" s="89"/>
      <c r="K35" s="89"/>
      <c r="L35" s="89"/>
      <c r="M35" s="88"/>
      <c r="N35" s="145"/>
      <c r="O35" s="89"/>
      <c r="P35" s="89"/>
      <c r="Q35" s="89"/>
      <c r="R35" s="89"/>
      <c r="S35" s="88"/>
      <c r="T35" s="145"/>
      <c r="U35" s="89"/>
      <c r="V35" s="89"/>
      <c r="W35" s="89"/>
      <c r="X35" s="89"/>
      <c r="Y35" s="88"/>
      <c r="Z35" s="145"/>
      <c r="AA35" s="90"/>
      <c r="AB35" s="91"/>
      <c r="AC35" s="91"/>
      <c r="AD35" s="91"/>
      <c r="AE35" s="76"/>
      <c r="AF35" s="92"/>
      <c r="AG35" s="89"/>
      <c r="AH35" s="89"/>
      <c r="AI35" s="79"/>
      <c r="AK35" s="81"/>
      <c r="AL35" s="81"/>
    </row>
    <row r="36" spans="1:38" s="80" customFormat="1" ht="24.95" customHeight="1" thickBot="1">
      <c r="A36" s="73"/>
      <c r="B36" s="255"/>
      <c r="C36" s="277" t="s">
        <v>38</v>
      </c>
      <c r="D36" s="278"/>
      <c r="E36" s="279"/>
      <c r="F36" s="128"/>
      <c r="G36" s="75"/>
      <c r="H36" s="170"/>
      <c r="I36" s="132"/>
      <c r="J36" s="259"/>
      <c r="K36" s="77"/>
      <c r="L36" s="77"/>
      <c r="M36" s="77"/>
      <c r="N36" s="143"/>
      <c r="O36" s="77"/>
      <c r="P36" s="77"/>
      <c r="Q36" s="77"/>
      <c r="R36" s="77"/>
      <c r="S36" s="77"/>
      <c r="T36" s="143"/>
      <c r="U36" s="77"/>
      <c r="V36" s="77"/>
      <c r="W36" s="77"/>
      <c r="X36" s="77"/>
      <c r="Y36" s="98"/>
      <c r="Z36" s="143"/>
      <c r="AA36" s="77">
        <v>0</v>
      </c>
      <c r="AB36" s="78"/>
      <c r="AC36" s="78"/>
      <c r="AD36" s="78"/>
      <c r="AE36" s="76"/>
      <c r="AF36" s="77">
        <v>0</v>
      </c>
      <c r="AG36" s="77"/>
      <c r="AH36" s="77">
        <v>0</v>
      </c>
      <c r="AI36" s="79"/>
      <c r="AK36" s="81"/>
      <c r="AL36" s="81"/>
    </row>
    <row r="37" spans="1:38" s="80" customFormat="1" ht="24.95" customHeight="1">
      <c r="A37" s="73" t="s">
        <v>69</v>
      </c>
      <c r="B37" s="255"/>
      <c r="C37" s="231" t="s">
        <v>111</v>
      </c>
      <c r="D37" s="178" t="s">
        <v>59</v>
      </c>
      <c r="E37" s="153" t="s">
        <v>4</v>
      </c>
      <c r="F37" s="158"/>
      <c r="G37" s="154">
        <v>23090000</v>
      </c>
      <c r="H37" s="172">
        <f t="shared" ref="H37:H38" si="14">G37/1.19</f>
        <v>19403361.344537817</v>
      </c>
      <c r="I37" s="152"/>
      <c r="J37" s="149">
        <v>2100000</v>
      </c>
      <c r="K37" s="83">
        <f>IF(J37/2&gt;G37*$M$7,G37*$M$7,J37/2)</f>
        <v>577250</v>
      </c>
      <c r="L37" s="83">
        <f>J37-K37</f>
        <v>1522750</v>
      </c>
      <c r="M37" s="139">
        <f>+$G37-J37</f>
        <v>20990000</v>
      </c>
      <c r="N37" s="144"/>
      <c r="O37" s="149">
        <v>3200000</v>
      </c>
      <c r="P37" s="83">
        <f>K37</f>
        <v>577250</v>
      </c>
      <c r="Q37" s="83">
        <f>L37</f>
        <v>1522750</v>
      </c>
      <c r="R37" s="83">
        <f>O37-P37-Q37</f>
        <v>1100000</v>
      </c>
      <c r="S37" s="139">
        <f>+G37-O37</f>
        <v>19890000</v>
      </c>
      <c r="T37" s="144"/>
      <c r="U37" s="149">
        <v>3600000</v>
      </c>
      <c r="V37" s="83">
        <f>K37</f>
        <v>577250</v>
      </c>
      <c r="W37" s="83">
        <f>Q37</f>
        <v>1522750</v>
      </c>
      <c r="X37" s="83">
        <f>U37-V37-W37</f>
        <v>1500000</v>
      </c>
      <c r="Y37" s="139">
        <f>G37-U37</f>
        <v>19490000</v>
      </c>
      <c r="Z37" s="144"/>
      <c r="AA37" s="140" t="str">
        <f>IFERROR(IF(G37-VLOOKUP($A37,[1]PASAJEROS!$A:$AB,COLUMNS([1]PASAJEROS!$A$39:$G$39),0)=0,"ISO",G37-VLOOKUP($A37,[1]PASAJEROS!$A:$AB,COLUMNS([1]PASAJEROS!$A$39:$G$39),0)),"N/A")</f>
        <v>ISO</v>
      </c>
      <c r="AB37" s="140" t="str">
        <f>IFERROR(IF(M37-VLOOKUP($A37,[1]PASAJEROS!$A:$AB,COLUMNS([1]PASAJEROS!$A$39:$M$39),0)=0,"ISO",M37-VLOOKUP($A37,[1]PASAJEROS!$A:$AB,COLUMNS([1]PASAJEROS!$A$39:$M$39),0)),"N/A")</f>
        <v>ISO</v>
      </c>
      <c r="AC37" s="140" t="str">
        <f>IFERROR(+IF(S37-VLOOKUP($A37,[1]PASAJEROS!$A:$AB,COLUMNS([1]PASAJEROS!$A$39:$S$39),0)=0,"ISO",S37-VLOOKUP($A37,[1]PASAJEROS!$A:$AB,COLUMNS([1]PASAJEROS!$A$39:$S$39),0)),"N/A")</f>
        <v>ISO</v>
      </c>
      <c r="AD37" s="140" t="str">
        <f>IFERROR(IF(Y37-VLOOKUP($A37,[1]PASAJEROS!$A:$AB,COLUMNS([1]PASAJEROS!$A$39:$Y$39),0)=0,"ISO",Y37-VLOOKUP($A37,[1]PASAJEROS!$A:$AB,COLUMNS([1]PASAJEROS!$A$39:$Y$39),0)),"N/A")</f>
        <v>ISO</v>
      </c>
      <c r="AE37" s="82"/>
      <c r="AF37" s="84">
        <v>0.09</v>
      </c>
      <c r="AG37" s="83">
        <f>G37*(100%-AF37)</f>
        <v>21011900</v>
      </c>
      <c r="AH37" s="83">
        <f t="shared" ref="AH37:AH38" si="15">AG37/1.19</f>
        <v>17657058.823529411</v>
      </c>
      <c r="AI37" s="79"/>
      <c r="AK37" s="81"/>
      <c r="AL37" s="81"/>
    </row>
    <row r="38" spans="1:38" s="80" customFormat="1" ht="24.95" customHeight="1" thickBot="1">
      <c r="A38" s="73" t="s">
        <v>70</v>
      </c>
      <c r="B38" s="255"/>
      <c r="C38" s="231" t="s">
        <v>112</v>
      </c>
      <c r="D38" s="178" t="s">
        <v>60</v>
      </c>
      <c r="E38" s="153" t="s">
        <v>5</v>
      </c>
      <c r="F38" s="160"/>
      <c r="G38" s="154">
        <v>25090000</v>
      </c>
      <c r="H38" s="172">
        <f t="shared" si="14"/>
        <v>21084033.613445379</v>
      </c>
      <c r="I38" s="152"/>
      <c r="J38" s="149">
        <v>2100000</v>
      </c>
      <c r="K38" s="83">
        <f>IF(J38/2&gt;G38*$M$7,G38*$M$7,J38/2)</f>
        <v>627250</v>
      </c>
      <c r="L38" s="83">
        <f>J38-K38</f>
        <v>1472750</v>
      </c>
      <c r="M38" s="139">
        <f>+$G38-J38</f>
        <v>22990000</v>
      </c>
      <c r="N38" s="144"/>
      <c r="O38" s="149">
        <v>3200000</v>
      </c>
      <c r="P38" s="83">
        <f>K38</f>
        <v>627250</v>
      </c>
      <c r="Q38" s="83">
        <f>L38</f>
        <v>1472750</v>
      </c>
      <c r="R38" s="83">
        <f>O38-P38-Q38</f>
        <v>1100000</v>
      </c>
      <c r="S38" s="139">
        <f>+G38-O38</f>
        <v>21890000</v>
      </c>
      <c r="T38" s="144"/>
      <c r="U38" s="149">
        <v>3600000</v>
      </c>
      <c r="V38" s="83">
        <f>K38</f>
        <v>627250</v>
      </c>
      <c r="W38" s="83">
        <f>Q38</f>
        <v>1472750</v>
      </c>
      <c r="X38" s="83">
        <f>U38-V38-W38</f>
        <v>1500000</v>
      </c>
      <c r="Y38" s="139">
        <f>G38-U38</f>
        <v>21490000</v>
      </c>
      <c r="Z38" s="148"/>
      <c r="AA38" s="140" t="str">
        <f>IFERROR(IF(G38-VLOOKUP($A38,[1]PASAJEROS!$A:$AB,COLUMNS([1]PASAJEROS!$A$39:$G$39),0)=0,"ISO",G38-VLOOKUP($A38,[1]PASAJEROS!$A:$AB,COLUMNS([1]PASAJEROS!$A$39:$G$39),0)),"N/A")</f>
        <v>ISO</v>
      </c>
      <c r="AB38" s="140" t="str">
        <f>IFERROR(IF(M38-VLOOKUP($A38,[1]PASAJEROS!$A:$AB,COLUMNS([1]PASAJEROS!$A$39:$M$39),0)=0,"ISO",M38-VLOOKUP($A38,[1]PASAJEROS!$A:$AB,COLUMNS([1]PASAJEROS!$A$39:$M$39),0)),"N/A")</f>
        <v>ISO</v>
      </c>
      <c r="AC38" s="140" t="str">
        <f>IFERROR(+IF(S38-VLOOKUP($A38,[1]PASAJEROS!$A:$AB,COLUMNS([1]PASAJEROS!$A$39:$S$39),0)=0,"ISO",S38-VLOOKUP($A38,[1]PASAJEROS!$A:$AB,COLUMNS([1]PASAJEROS!$A$39:$S$39),0)),"N/A")</f>
        <v>ISO</v>
      </c>
      <c r="AD38" s="140" t="str">
        <f>IFERROR(IF(Y38-VLOOKUP($A38,[1]PASAJEROS!$A:$AB,COLUMNS([1]PASAJEROS!$A$39:$Y$39),0)=0,"ISO",Y38-VLOOKUP($A38,[1]PASAJEROS!$A:$AB,COLUMNS([1]PASAJEROS!$A$39:$Y$39),0)),"N/A")</f>
        <v>ISO</v>
      </c>
      <c r="AE38" s="82"/>
      <c r="AF38" s="84">
        <v>0.09</v>
      </c>
      <c r="AG38" s="83">
        <f>G38*(100%-AF38)</f>
        <v>22831900</v>
      </c>
      <c r="AH38" s="83">
        <f t="shared" si="15"/>
        <v>19186470.588235296</v>
      </c>
      <c r="AI38" s="79"/>
      <c r="AK38" s="81"/>
      <c r="AL38" s="81"/>
    </row>
    <row r="39" spans="1:38" s="80" customFormat="1" ht="24.95" customHeight="1">
      <c r="A39" s="73"/>
      <c r="B39" s="256"/>
      <c r="C39" s="181"/>
      <c r="D39" s="182"/>
      <c r="E39" s="182"/>
      <c r="F39" s="182"/>
      <c r="G39" s="183"/>
      <c r="H39" s="183"/>
      <c r="I39" s="184"/>
      <c r="J39" s="184"/>
      <c r="K39" s="184"/>
      <c r="L39" s="184"/>
      <c r="M39" s="185"/>
      <c r="N39" s="184"/>
      <c r="O39" s="184"/>
      <c r="P39" s="184"/>
      <c r="Q39" s="184"/>
      <c r="R39" s="184"/>
      <c r="S39" s="185"/>
      <c r="T39" s="184"/>
      <c r="U39" s="184"/>
      <c r="V39" s="184"/>
      <c r="W39" s="184"/>
      <c r="X39" s="184"/>
      <c r="Y39" s="185"/>
      <c r="Z39" s="184"/>
      <c r="AA39" s="184"/>
      <c r="AB39" s="186"/>
      <c r="AC39" s="186"/>
      <c r="AD39" s="186"/>
      <c r="AE39" s="184"/>
      <c r="AF39" s="184"/>
      <c r="AG39" s="184"/>
      <c r="AH39" s="184"/>
      <c r="AI39" s="187"/>
      <c r="AK39" s="81"/>
      <c r="AL39" s="81"/>
    </row>
    <row r="40" spans="1:38" ht="24.95" customHeight="1">
      <c r="G40" s="69"/>
      <c r="H40" s="69"/>
      <c r="J40" s="61"/>
      <c r="K40" s="39"/>
      <c r="L40" s="39"/>
      <c r="M40" s="61"/>
      <c r="O40" s="39"/>
      <c r="P40" s="39"/>
      <c r="Q40" s="61"/>
      <c r="R40" s="39"/>
      <c r="S40" s="61"/>
      <c r="U40" s="39"/>
      <c r="V40" s="39"/>
      <c r="W40" s="39"/>
      <c r="X40" s="39"/>
      <c r="Y40" s="61"/>
    </row>
    <row r="41" spans="1:38" ht="24.95" customHeight="1">
      <c r="G41" s="69"/>
      <c r="H41" s="69"/>
      <c r="J41" s="39"/>
      <c r="K41" s="39"/>
      <c r="L41" s="39"/>
      <c r="M41" s="39"/>
      <c r="O41" s="39"/>
      <c r="P41" s="39"/>
      <c r="Q41" s="39"/>
      <c r="R41" s="39"/>
      <c r="S41" s="39"/>
      <c r="U41" s="39"/>
      <c r="V41" s="39"/>
      <c r="W41" s="39"/>
      <c r="X41" s="39"/>
      <c r="Y41" s="39"/>
    </row>
    <row r="42" spans="1:38" ht="24.95" customHeight="1">
      <c r="C42" s="63"/>
      <c r="D42" s="64"/>
      <c r="E42" s="64"/>
      <c r="F42" s="64"/>
      <c r="G42" s="70"/>
      <c r="H42" s="70"/>
      <c r="J42" s="39"/>
      <c r="K42" s="39"/>
      <c r="L42" s="39"/>
      <c r="M42" s="39"/>
      <c r="O42" s="39"/>
      <c r="P42" s="39"/>
      <c r="Q42" s="39"/>
      <c r="R42" s="39"/>
      <c r="S42" s="39"/>
      <c r="U42" s="39"/>
      <c r="V42" s="39"/>
      <c r="W42" s="39"/>
      <c r="X42" s="39"/>
      <c r="Y42" s="39"/>
    </row>
    <row r="43" spans="1:38" ht="24.95" customHeight="1">
      <c r="C43" s="63"/>
      <c r="D43" s="64"/>
      <c r="E43" s="64"/>
      <c r="F43" s="64"/>
      <c r="G43" s="70"/>
      <c r="H43" s="70"/>
      <c r="J43" s="39"/>
      <c r="K43" s="39"/>
      <c r="L43" s="39"/>
      <c r="M43" s="39"/>
      <c r="O43" s="39"/>
      <c r="P43" s="39"/>
      <c r="Q43" s="39"/>
      <c r="R43" s="39"/>
      <c r="S43" s="39"/>
      <c r="U43" s="39"/>
      <c r="V43" s="39"/>
      <c r="W43" s="39"/>
      <c r="X43" s="39"/>
      <c r="Y43" s="39"/>
    </row>
    <row r="44" spans="1:38" ht="24.95" customHeight="1">
      <c r="C44" s="63"/>
      <c r="D44" s="64"/>
      <c r="E44" s="64"/>
      <c r="F44" s="64"/>
    </row>
    <row r="45" spans="1:38" ht="24.95" customHeight="1">
      <c r="C45" s="63"/>
      <c r="D45" s="64"/>
      <c r="E45" s="64"/>
      <c r="F45" s="64"/>
    </row>
    <row r="46" spans="1:38" ht="24.95" customHeight="1">
      <c r="C46" s="63"/>
      <c r="D46" s="64"/>
      <c r="E46" s="64"/>
      <c r="F46" s="64"/>
    </row>
    <row r="47" spans="1:38" ht="24.95" customHeight="1">
      <c r="C47" s="63"/>
      <c r="D47" s="64"/>
      <c r="E47" s="64"/>
      <c r="F47" s="64"/>
    </row>
  </sheetData>
  <dataConsolidate link="1"/>
  <mergeCells count="22">
    <mergeCell ref="C36:E36"/>
    <mergeCell ref="C25:E25"/>
    <mergeCell ref="C21:E21"/>
    <mergeCell ref="C18:E18"/>
    <mergeCell ref="C11:E11"/>
    <mergeCell ref="C32:E32"/>
    <mergeCell ref="C8:C9"/>
    <mergeCell ref="E8:E9"/>
    <mergeCell ref="D8:D9"/>
    <mergeCell ref="G8:H8"/>
    <mergeCell ref="J8:M8"/>
    <mergeCell ref="AF8:AF9"/>
    <mergeCell ref="AG8:AG9"/>
    <mergeCell ref="AH8:AH9"/>
    <mergeCell ref="E3:G3"/>
    <mergeCell ref="E4:G4"/>
    <mergeCell ref="O8:S8"/>
    <mergeCell ref="U8:Y8"/>
    <mergeCell ref="AA8:AA9"/>
    <mergeCell ref="AD8:AD9"/>
    <mergeCell ref="AC8:AC9"/>
    <mergeCell ref="AB8:AB9"/>
  </mergeCells>
  <conditionalFormatting sqref="D1:E10 D12:E17 D19:E20 D22:E24 D26:E31 D33:E35 D37:E1048576">
    <cfRule type="containsText" dxfId="5" priority="1" operator="containsText" text="PENDIENTE">
      <formula>NOT(ISERROR(SEARCH("PENDIENTE",D1)))</formula>
    </cfRule>
  </conditionalFormatting>
  <conditionalFormatting sqref="E12:E17 E19:E20 E22:E24 E26:E31 E33:E35 E37:E38">
    <cfRule type="cellIs" dxfId="4" priority="7" operator="equal">
      <formula>"PENDIENTE"</formula>
    </cfRule>
  </conditionalFormatting>
  <printOptions horizontalCentered="1" verticalCentered="1"/>
  <pageMargins left="0.25" right="0.25" top="0.75" bottom="0.75" header="0.3" footer="0.3"/>
  <pageSetup paperSize="9" scale="50" orientation="landscape" r:id="rId1"/>
  <ignoredErrors>
    <ignoredError sqref="K33:N33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CEE6E-205A-4049-BA0F-F70E28E5F314}">
  <sheetPr>
    <pageSetUpPr fitToPage="1"/>
  </sheetPr>
  <dimension ref="A1:AU34"/>
  <sheetViews>
    <sheetView showGridLines="0" tabSelected="1" zoomScale="70" zoomScaleNormal="70" workbookViewId="0">
      <pane xSplit="5" ySplit="9" topLeftCell="F11" activePane="bottomRight" state="frozen"/>
      <selection activeCell="B1" sqref="B1"/>
      <selection pane="topRight" activeCell="F1" sqref="F1"/>
      <selection pane="bottomLeft" activeCell="B10" sqref="B10"/>
      <selection pane="bottomRight" activeCell="R30" sqref="R30"/>
    </sheetView>
  </sheetViews>
  <sheetFormatPr baseColWidth="10" defaultColWidth="2.7109375" defaultRowHeight="24.95" customHeight="1" outlineLevelCol="1"/>
  <cols>
    <col min="1" max="1" width="38.28515625" style="24" hidden="1" customWidth="1" outlineLevel="1"/>
    <col min="2" max="2" width="2.7109375" style="4" customWidth="1" collapsed="1"/>
    <col min="3" max="3" width="65.7109375" style="4" customWidth="1"/>
    <col min="4" max="4" width="35.7109375" style="6" hidden="1" customWidth="1" outlineLevel="1"/>
    <col min="5" max="5" width="35.7109375" style="6" customWidth="1" collapsed="1"/>
    <col min="6" max="6" width="2.7109375" style="6" customWidth="1"/>
    <col min="7" max="7" width="25.7109375" style="169" customWidth="1" outlineLevel="1"/>
    <col min="8" max="8" width="25.7109375" style="169" customWidth="1"/>
    <col min="9" max="9" width="2.7109375" style="4" customWidth="1"/>
    <col min="10" max="10" width="20.7109375" style="10" customWidth="1" outlineLevel="1"/>
    <col min="11" max="11" width="25.7109375" style="10" customWidth="1"/>
    <col min="12" max="13" width="25.7109375" style="10" customWidth="1" outlineLevel="1"/>
    <col min="14" max="14" width="25.7109375" style="169" customWidth="1" outlineLevel="1"/>
    <col min="15" max="15" width="25.7109375" style="169" customWidth="1"/>
    <col min="16" max="16" width="2.7109375" style="7" customWidth="1"/>
    <col min="17" max="17" width="20.7109375" style="10" customWidth="1" outlineLevel="1"/>
    <col min="18" max="18" width="25.7109375" style="10" customWidth="1"/>
    <col min="19" max="21" width="25.7109375" style="10" customWidth="1" outlineLevel="1"/>
    <col min="22" max="22" width="25.7109375" style="169" customWidth="1" outlineLevel="1"/>
    <col min="23" max="23" width="25.7109375" style="169" customWidth="1"/>
    <col min="24" max="24" width="2.7109375" style="7" customWidth="1"/>
    <col min="25" max="25" width="20.7109375" style="10" hidden="1" customWidth="1" outlineLevel="1"/>
    <col min="26" max="26" width="25.7109375" style="10" customWidth="1" collapsed="1"/>
    <col min="27" max="29" width="25.7109375" style="10" hidden="1" customWidth="1" outlineLevel="1"/>
    <col min="30" max="30" width="25.7109375" style="169" hidden="1" customWidth="1" outlineLevel="1"/>
    <col min="31" max="31" width="25.7109375" style="169" customWidth="1" collapsed="1"/>
    <col min="32" max="32" width="2.7109375" style="7" customWidth="1"/>
    <col min="33" max="35" width="20.7109375" style="4" customWidth="1"/>
    <col min="36" max="36" width="2.7109375" style="4" hidden="1" customWidth="1" outlineLevel="1"/>
    <col min="37" max="37" width="15.7109375" style="4" hidden="1" customWidth="1" outlineLevel="1"/>
    <col min="38" max="39" width="20.7109375" style="4" hidden="1" customWidth="1" outlineLevel="1"/>
    <col min="40" max="40" width="2.42578125" style="4" customWidth="1" collapsed="1"/>
    <col min="41" max="41" width="3.5703125" style="4" customWidth="1"/>
    <col min="42" max="45" width="13" style="6" hidden="1" customWidth="1" outlineLevel="1"/>
    <col min="46" max="46" width="2.7109375" style="4" collapsed="1"/>
    <col min="47" max="16384" width="2.7109375" style="4"/>
  </cols>
  <sheetData>
    <row r="1" spans="1:47" ht="24.95" customHeight="1">
      <c r="B1" s="11"/>
      <c r="C1" s="12"/>
      <c r="D1" s="174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3"/>
      <c r="AH1" s="13"/>
      <c r="AI1" s="13"/>
      <c r="AJ1" s="13"/>
      <c r="AK1" s="13"/>
      <c r="AL1" s="13"/>
      <c r="AM1" s="13"/>
      <c r="AN1" s="190"/>
    </row>
    <row r="2" spans="1:47" ht="24.95" customHeight="1">
      <c r="B2" s="14"/>
      <c r="C2" s="15"/>
      <c r="D2" s="17"/>
      <c r="E2" s="72" t="s">
        <v>7</v>
      </c>
      <c r="F2" s="72"/>
      <c r="G2" s="72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16"/>
      <c r="Y2" s="2"/>
      <c r="Z2" s="2"/>
      <c r="AA2" s="2"/>
      <c r="AB2" s="2"/>
      <c r="AC2" s="2"/>
      <c r="AD2" s="164"/>
      <c r="AE2" s="164"/>
      <c r="AF2" s="16"/>
      <c r="AG2" s="15"/>
      <c r="AH2" s="15"/>
      <c r="AI2" s="15"/>
      <c r="AJ2" s="15"/>
      <c r="AK2" s="15"/>
      <c r="AL2" s="15"/>
      <c r="AM2" s="15"/>
      <c r="AN2" s="190"/>
    </row>
    <row r="3" spans="1:47" ht="24.95" customHeight="1">
      <c r="B3" s="14"/>
      <c r="C3" s="18"/>
      <c r="D3" s="18"/>
      <c r="E3" s="266" t="str">
        <f>+PASAJEROS!E3</f>
        <v>Nº 06 - 2026</v>
      </c>
      <c r="F3" s="266"/>
      <c r="G3" s="266"/>
      <c r="H3" s="66"/>
      <c r="I3" s="15"/>
      <c r="J3" s="2"/>
      <c r="K3" s="2"/>
      <c r="L3" s="2"/>
      <c r="M3" s="2"/>
      <c r="N3" s="164"/>
      <c r="O3" s="164"/>
      <c r="P3" s="16"/>
      <c r="Q3" s="2"/>
      <c r="R3" s="2"/>
      <c r="S3" s="2"/>
      <c r="T3" s="2"/>
      <c r="U3" s="2"/>
      <c r="V3" s="164"/>
      <c r="W3" s="164"/>
      <c r="X3" s="16"/>
      <c r="Y3" s="2"/>
      <c r="Z3" s="2"/>
      <c r="AA3" s="2"/>
      <c r="AB3" s="2"/>
      <c r="AC3" s="2"/>
      <c r="AD3" s="164"/>
      <c r="AE3" s="164"/>
      <c r="AF3" s="16"/>
      <c r="AG3" s="15"/>
      <c r="AH3" s="15"/>
      <c r="AI3" s="15"/>
      <c r="AJ3" s="15"/>
      <c r="AK3" s="15"/>
      <c r="AL3" s="15"/>
      <c r="AM3" s="15"/>
      <c r="AN3" s="190"/>
    </row>
    <row r="4" spans="1:47" ht="24.95" customHeight="1">
      <c r="B4" s="14"/>
      <c r="C4" s="19"/>
      <c r="D4" s="19"/>
      <c r="E4" s="267">
        <f>+PASAJEROS!E4</f>
        <v>46174</v>
      </c>
      <c r="F4" s="267"/>
      <c r="G4" s="267"/>
      <c r="H4" s="67"/>
      <c r="I4" s="20"/>
      <c r="J4" s="2"/>
      <c r="K4" s="2"/>
      <c r="L4" s="2"/>
      <c r="M4" s="2"/>
      <c r="N4" s="164"/>
      <c r="O4" s="164"/>
      <c r="P4" s="16"/>
      <c r="Q4" s="2"/>
      <c r="R4" s="2"/>
      <c r="S4" s="2"/>
      <c r="T4" s="2"/>
      <c r="U4" s="2"/>
      <c r="V4" s="164"/>
      <c r="W4" s="164"/>
      <c r="X4" s="16"/>
      <c r="Y4" s="2"/>
      <c r="Z4" s="2"/>
      <c r="AA4" s="2"/>
      <c r="AB4" s="2"/>
      <c r="AC4" s="2"/>
      <c r="AD4" s="164"/>
      <c r="AE4" s="164"/>
      <c r="AF4" s="16"/>
      <c r="AG4" s="15"/>
      <c r="AH4" s="15"/>
      <c r="AI4" s="15"/>
      <c r="AJ4" s="15"/>
      <c r="AK4" s="15"/>
      <c r="AL4" s="15"/>
      <c r="AM4" s="15"/>
      <c r="AN4" s="190"/>
    </row>
    <row r="5" spans="1:47" ht="24.95" customHeight="1">
      <c r="B5" s="14"/>
      <c r="C5" s="15"/>
      <c r="D5" s="17"/>
      <c r="E5" s="17"/>
      <c r="F5" s="17"/>
      <c r="G5" s="1"/>
      <c r="H5" s="1"/>
      <c r="I5" s="15"/>
      <c r="J5" s="2"/>
      <c r="K5" s="2"/>
      <c r="L5" s="2"/>
      <c r="M5" s="2"/>
      <c r="N5" s="164"/>
      <c r="O5" s="164"/>
      <c r="P5" s="16"/>
      <c r="Q5" s="21"/>
      <c r="R5" s="21"/>
      <c r="S5" s="21"/>
      <c r="T5" s="2"/>
      <c r="U5" s="2"/>
      <c r="V5" s="164"/>
      <c r="W5" s="164"/>
      <c r="X5" s="16"/>
      <c r="Y5" s="2"/>
      <c r="Z5" s="2"/>
      <c r="AA5" s="2"/>
      <c r="AB5" s="2"/>
      <c r="AC5" s="2"/>
      <c r="AD5" s="164"/>
      <c r="AE5" s="164"/>
      <c r="AF5" s="16"/>
      <c r="AG5" s="15"/>
      <c r="AH5" s="15"/>
      <c r="AI5" s="15"/>
      <c r="AJ5" s="15"/>
      <c r="AK5" s="15"/>
      <c r="AL5" s="15"/>
      <c r="AM5" s="15"/>
      <c r="AN5" s="190"/>
    </row>
    <row r="6" spans="1:47" ht="24.95" customHeight="1" thickBot="1">
      <c r="B6" s="14"/>
      <c r="C6" s="15"/>
      <c r="D6" s="17"/>
      <c r="E6" s="17"/>
      <c r="F6" s="17"/>
      <c r="G6" s="1"/>
      <c r="H6" s="1"/>
      <c r="I6" s="15"/>
      <c r="J6" s="2"/>
      <c r="K6" s="2"/>
      <c r="L6" s="2"/>
      <c r="M6" s="2"/>
      <c r="N6" s="164"/>
      <c r="O6" s="164"/>
      <c r="P6" s="16"/>
      <c r="Q6" s="21"/>
      <c r="R6" s="21"/>
      <c r="S6" s="21"/>
      <c r="T6" s="2"/>
      <c r="U6" s="2"/>
      <c r="V6" s="164"/>
      <c r="W6" s="164"/>
      <c r="X6" s="16"/>
      <c r="Y6" s="2"/>
      <c r="Z6" s="2"/>
      <c r="AA6" s="2"/>
      <c r="AB6" s="2"/>
      <c r="AC6" s="2"/>
      <c r="AD6" s="164"/>
      <c r="AE6" s="164"/>
      <c r="AF6" s="16"/>
      <c r="AG6" s="15"/>
      <c r="AH6" s="15"/>
      <c r="AI6" s="15"/>
      <c r="AJ6" s="15"/>
      <c r="AK6" s="15"/>
      <c r="AL6" s="15"/>
      <c r="AM6" s="15"/>
      <c r="AN6" s="190"/>
    </row>
    <row r="7" spans="1:47" ht="24.95" customHeight="1" thickBot="1">
      <c r="B7" s="14"/>
      <c r="C7"/>
      <c r="D7" s="25"/>
      <c r="E7" s="17"/>
      <c r="F7" s="17"/>
      <c r="G7" s="164"/>
      <c r="H7" s="164"/>
      <c r="I7" s="233"/>
      <c r="J7" s="234"/>
      <c r="K7" s="240" t="s">
        <v>25</v>
      </c>
      <c r="L7" s="241"/>
      <c r="M7" s="242"/>
      <c r="N7" s="243"/>
      <c r="O7" s="244">
        <f>+PASAJEROS!M7</f>
        <v>2.5000000000000001E-2</v>
      </c>
      <c r="P7" s="235"/>
      <c r="Q7"/>
      <c r="R7"/>
      <c r="S7"/>
      <c r="T7"/>
      <c r="U7"/>
      <c r="V7" s="165"/>
      <c r="W7" s="165"/>
      <c r="X7"/>
      <c r="Y7"/>
      <c r="Z7"/>
      <c r="AA7"/>
      <c r="AB7"/>
      <c r="AC7"/>
      <c r="AD7" s="165"/>
      <c r="AE7" s="165"/>
      <c r="AF7"/>
      <c r="AG7" s="15"/>
      <c r="AH7" s="15"/>
      <c r="AI7" s="15"/>
      <c r="AJ7" s="162"/>
      <c r="AK7" s="15"/>
      <c r="AL7" s="15"/>
      <c r="AM7" s="15"/>
      <c r="AN7" s="190"/>
    </row>
    <row r="8" spans="1:47" s="119" customFormat="1" ht="24.95" customHeight="1">
      <c r="A8" s="112"/>
      <c r="B8" s="113"/>
      <c r="C8" s="271" t="s">
        <v>26</v>
      </c>
      <c r="D8" s="273" t="s">
        <v>8</v>
      </c>
      <c r="E8" s="272" t="s">
        <v>0</v>
      </c>
      <c r="F8" s="227"/>
      <c r="G8" s="260" t="s">
        <v>48</v>
      </c>
      <c r="H8" s="264"/>
      <c r="I8" s="228"/>
      <c r="J8" s="268" t="s">
        <v>49</v>
      </c>
      <c r="K8" s="268"/>
      <c r="L8" s="268"/>
      <c r="M8" s="268"/>
      <c r="N8" s="268"/>
      <c r="O8" s="268"/>
      <c r="P8" s="239"/>
      <c r="Q8" s="281" t="s">
        <v>50</v>
      </c>
      <c r="R8" s="268"/>
      <c r="S8" s="268"/>
      <c r="T8" s="268"/>
      <c r="U8" s="268"/>
      <c r="V8" s="268"/>
      <c r="W8" s="282"/>
      <c r="X8" s="141"/>
      <c r="Y8" s="268" t="s">
        <v>51</v>
      </c>
      <c r="Z8" s="268"/>
      <c r="AA8" s="268"/>
      <c r="AB8" s="268"/>
      <c r="AC8" s="268"/>
      <c r="AD8" s="268"/>
      <c r="AE8" s="268"/>
      <c r="AF8" s="141"/>
      <c r="AG8" s="269" t="s">
        <v>151</v>
      </c>
      <c r="AH8" s="262" t="s">
        <v>152</v>
      </c>
      <c r="AI8" s="262" t="s">
        <v>153</v>
      </c>
      <c r="AJ8" s="138"/>
      <c r="AK8" s="260" t="s">
        <v>155</v>
      </c>
      <c r="AL8" s="262" t="s">
        <v>11</v>
      </c>
      <c r="AM8" s="264" t="s">
        <v>12</v>
      </c>
      <c r="AN8" s="118"/>
      <c r="AP8" s="280" t="s">
        <v>138</v>
      </c>
      <c r="AQ8" s="280"/>
      <c r="AR8" s="280"/>
      <c r="AS8" s="280"/>
    </row>
    <row r="9" spans="1:47" s="225" customFormat="1" ht="35.1" customHeight="1" thickBot="1">
      <c r="A9" s="214" t="s">
        <v>9</v>
      </c>
      <c r="B9" s="215"/>
      <c r="C9" s="271"/>
      <c r="D9" s="273"/>
      <c r="E9" s="272"/>
      <c r="F9" s="125"/>
      <c r="G9" s="207" t="s">
        <v>139</v>
      </c>
      <c r="H9" s="208" t="s">
        <v>140</v>
      </c>
      <c r="I9" s="236"/>
      <c r="J9" s="219" t="s">
        <v>141</v>
      </c>
      <c r="K9" s="219" t="s">
        <v>146</v>
      </c>
      <c r="L9" s="220" t="s">
        <v>147</v>
      </c>
      <c r="M9" s="220" t="s">
        <v>143</v>
      </c>
      <c r="N9" s="221" t="s">
        <v>148</v>
      </c>
      <c r="O9" s="221" t="s">
        <v>149</v>
      </c>
      <c r="P9" s="237"/>
      <c r="Q9" s="219" t="s">
        <v>141</v>
      </c>
      <c r="R9" s="219" t="s">
        <v>146</v>
      </c>
      <c r="S9" s="220" t="s">
        <v>147</v>
      </c>
      <c r="T9" s="220" t="s">
        <v>143</v>
      </c>
      <c r="U9" s="220" t="s">
        <v>145</v>
      </c>
      <c r="V9" s="221" t="s">
        <v>148</v>
      </c>
      <c r="W9" s="221" t="s">
        <v>149</v>
      </c>
      <c r="X9" s="222" t="s">
        <v>150</v>
      </c>
      <c r="Y9" s="219" t="s">
        <v>141</v>
      </c>
      <c r="Z9" s="219" t="s">
        <v>146</v>
      </c>
      <c r="AA9" s="220" t="s">
        <v>147</v>
      </c>
      <c r="AB9" s="220" t="s">
        <v>143</v>
      </c>
      <c r="AC9" s="220" t="s">
        <v>145</v>
      </c>
      <c r="AD9" s="221" t="s">
        <v>148</v>
      </c>
      <c r="AE9" s="221" t="s">
        <v>149</v>
      </c>
      <c r="AF9" s="222"/>
      <c r="AG9" s="270"/>
      <c r="AH9" s="263"/>
      <c r="AI9" s="263"/>
      <c r="AJ9" s="138"/>
      <c r="AK9" s="261"/>
      <c r="AL9" s="263"/>
      <c r="AM9" s="265"/>
      <c r="AN9" s="224"/>
      <c r="AP9" s="238" t="s">
        <v>41</v>
      </c>
      <c r="AQ9" s="238" t="s">
        <v>39</v>
      </c>
      <c r="AR9" s="238" t="s">
        <v>42</v>
      </c>
      <c r="AS9" s="238" t="s">
        <v>40</v>
      </c>
    </row>
    <row r="10" spans="1:47" s="5" customFormat="1" ht="15" customHeight="1" thickBot="1">
      <c r="A10" s="23"/>
      <c r="B10" s="22"/>
      <c r="C10" s="3"/>
      <c r="D10" s="3"/>
      <c r="E10" s="3"/>
      <c r="F10" s="127"/>
      <c r="G10" s="209"/>
      <c r="H10" s="27"/>
      <c r="I10" s="131"/>
      <c r="J10" s="28"/>
      <c r="K10" s="28"/>
      <c r="L10" s="28"/>
      <c r="M10" s="28"/>
      <c r="N10" s="28"/>
      <c r="O10" s="28"/>
      <c r="P10" s="133"/>
      <c r="Q10" s="28"/>
      <c r="R10" s="28"/>
      <c r="S10" s="28"/>
      <c r="T10" s="28"/>
      <c r="U10" s="28"/>
      <c r="V10" s="28"/>
      <c r="W10" s="28"/>
      <c r="X10" s="133"/>
      <c r="Y10" s="28"/>
      <c r="Z10" s="28"/>
      <c r="AA10" s="28"/>
      <c r="AB10" s="28"/>
      <c r="AC10" s="28"/>
      <c r="AD10" s="28"/>
      <c r="AE10" s="28"/>
      <c r="AF10" s="133"/>
      <c r="AG10" s="29"/>
      <c r="AH10" s="31"/>
      <c r="AI10" s="31"/>
      <c r="AJ10" s="163"/>
      <c r="AK10" s="27"/>
      <c r="AL10" s="27"/>
      <c r="AM10" s="27"/>
      <c r="AN10" s="191"/>
    </row>
    <row r="11" spans="1:47" s="80" customFormat="1" ht="24.95" customHeight="1" thickBot="1">
      <c r="A11" s="73"/>
      <c r="B11" s="74"/>
      <c r="C11" s="277" t="s">
        <v>65</v>
      </c>
      <c r="D11" s="278"/>
      <c r="E11" s="279"/>
      <c r="F11" s="128"/>
      <c r="G11" s="75"/>
      <c r="H11" s="75"/>
      <c r="I11" s="132"/>
      <c r="J11" s="99"/>
      <c r="K11" s="99"/>
      <c r="L11" s="99"/>
      <c r="M11" s="99"/>
      <c r="N11" s="166"/>
      <c r="O11" s="166"/>
      <c r="P11" s="134"/>
      <c r="Q11" s="99"/>
      <c r="R11" s="99"/>
      <c r="S11" s="99"/>
      <c r="T11" s="99"/>
      <c r="U11" s="99"/>
      <c r="V11" s="166"/>
      <c r="W11" s="166"/>
      <c r="X11" s="134"/>
      <c r="Y11" s="99"/>
      <c r="Z11" s="99"/>
      <c r="AA11" s="99"/>
      <c r="AB11" s="99"/>
      <c r="AC11" s="99"/>
      <c r="AD11" s="166"/>
      <c r="AE11" s="166"/>
      <c r="AF11" s="134"/>
      <c r="AG11" s="99">
        <v>0</v>
      </c>
      <c r="AH11" s="100"/>
      <c r="AI11" s="100"/>
      <c r="AJ11" s="132"/>
      <c r="AK11" s="77">
        <v>0</v>
      </c>
      <c r="AL11" s="77"/>
      <c r="AM11" s="77">
        <v>0</v>
      </c>
      <c r="AN11" s="79"/>
      <c r="AP11" s="101"/>
      <c r="AQ11" s="101"/>
      <c r="AR11" s="101"/>
      <c r="AS11" s="101"/>
    </row>
    <row r="12" spans="1:47" s="80" customFormat="1" ht="24.95" customHeight="1">
      <c r="A12" s="73" t="s">
        <v>63</v>
      </c>
      <c r="B12" s="14"/>
      <c r="C12" s="232" t="s">
        <v>113</v>
      </c>
      <c r="D12" s="173" t="s">
        <v>53</v>
      </c>
      <c r="E12" s="102" t="s">
        <v>71</v>
      </c>
      <c r="F12" s="129"/>
      <c r="G12" s="171">
        <f>H12*1.19</f>
        <v>23074100</v>
      </c>
      <c r="H12" s="106">
        <v>19390000</v>
      </c>
      <c r="I12" s="132"/>
      <c r="J12" s="104">
        <f>K12*1.19</f>
        <v>2975000</v>
      </c>
      <c r="K12" s="104">
        <v>2500000</v>
      </c>
      <c r="L12" s="105">
        <f>IF(K12/2&gt;H12*$O$7,H12*$O$7,K12/2)</f>
        <v>484750</v>
      </c>
      <c r="M12" s="105">
        <f>K12-L12</f>
        <v>2015250</v>
      </c>
      <c r="N12" s="106">
        <f>G12-J12</f>
        <v>20099100</v>
      </c>
      <c r="O12" s="106">
        <f>$H12-K12</f>
        <v>16890000</v>
      </c>
      <c r="P12" s="135"/>
      <c r="Q12" s="104">
        <f>R12*1.19</f>
        <v>3570000</v>
      </c>
      <c r="R12" s="104">
        <v>3000000</v>
      </c>
      <c r="S12" s="105">
        <f t="shared" ref="S12:T12" si="0">L12</f>
        <v>484750</v>
      </c>
      <c r="T12" s="105">
        <f t="shared" si="0"/>
        <v>2015250</v>
      </c>
      <c r="U12" s="105">
        <f>R12-S12-T12</f>
        <v>500000</v>
      </c>
      <c r="V12" s="106">
        <f t="shared" ref="V12:W13" si="1">G12-Q12</f>
        <v>19504100</v>
      </c>
      <c r="W12" s="106">
        <f t="shared" si="1"/>
        <v>16390000</v>
      </c>
      <c r="X12" s="135"/>
      <c r="Y12" s="104">
        <v>0</v>
      </c>
      <c r="Z12" s="104" t="s">
        <v>27</v>
      </c>
      <c r="AA12" s="105">
        <v>0</v>
      </c>
      <c r="AB12" s="105">
        <v>0</v>
      </c>
      <c r="AC12" s="105">
        <v>0</v>
      </c>
      <c r="AD12" s="106">
        <v>0</v>
      </c>
      <c r="AE12" s="106">
        <f>+AD12/1.19</f>
        <v>0</v>
      </c>
      <c r="AF12" s="135"/>
      <c r="AG12" s="107" t="str">
        <f>+IF(H12-VLOOKUP($A12,[1]COMERCIALES!$A:$AM,COLUMNS([1]COMERCIALES!$A$12:$H$12),0)=0,"ISO",H12-VLOOKUP($A12,[1]COMERCIALES!$A:$AM,COLUMNS([1]COMERCIALES!$A$12:$H$12),0))</f>
        <v>ISO</v>
      </c>
      <c r="AH12" s="107">
        <f>+IF(O12-VLOOKUP($A12,[1]COMERCIALES!$A:$AM,COLUMNS([1]COMERCIALES!$A$12:$O$12),0)=0,"ISO",O12-VLOOKUP($A12,[1]COMERCIALES!$A:$AM,COLUMNS([1]COMERCIALES!$A$12:$O$12),0))</f>
        <v>-400000</v>
      </c>
      <c r="AI12" s="107">
        <f>+IF(W12-VLOOKUP($A12,[1]COMERCIALES!$A:$AM,COLUMNS([1]COMERCIALES!$A$12:$W$12),0)=0,"ISO",W12-VLOOKUP($A12,[1]COMERCIALES!$A:$AM,COLUMNS([1]COMERCIALES!$A$12:$W$12),0))</f>
        <v>-400000</v>
      </c>
      <c r="AJ12" s="132"/>
      <c r="AK12" s="108">
        <v>0.1</v>
      </c>
      <c r="AL12" s="105">
        <f>G12*(100%-AK12)</f>
        <v>20766690</v>
      </c>
      <c r="AM12" s="103">
        <f t="shared" ref="AM12:AM13" si="2">+AL12/1.19</f>
        <v>17451000</v>
      </c>
      <c r="AN12" s="79"/>
      <c r="AP12" s="109">
        <f>1-O12/H12</f>
        <v>0.12893243940175347</v>
      </c>
      <c r="AQ12" s="110">
        <v>0.14000000000000001</v>
      </c>
      <c r="AR12" s="109">
        <f>1-W12/H12</f>
        <v>0.15471892728210412</v>
      </c>
      <c r="AS12" s="110">
        <v>0.18</v>
      </c>
      <c r="AT12" s="111"/>
      <c r="AU12" s="111"/>
    </row>
    <row r="13" spans="1:47" s="80" customFormat="1" ht="24.95" customHeight="1">
      <c r="A13" s="73" t="s">
        <v>64</v>
      </c>
      <c r="B13" s="14"/>
      <c r="C13" s="232" t="s">
        <v>114</v>
      </c>
      <c r="D13" s="102" t="s">
        <v>56</v>
      </c>
      <c r="E13" s="102" t="s">
        <v>77</v>
      </c>
      <c r="F13" s="129"/>
      <c r="G13" s="171">
        <f>H13*1.19</f>
        <v>24026100</v>
      </c>
      <c r="H13" s="106">
        <v>20190000</v>
      </c>
      <c r="I13" s="132"/>
      <c r="J13" s="104">
        <f>K13*1.19</f>
        <v>2975000</v>
      </c>
      <c r="K13" s="104">
        <v>2500000</v>
      </c>
      <c r="L13" s="105">
        <f>IF(K13/2&gt;H13*$O$7,H13*$O$7,K13/2)</f>
        <v>504750</v>
      </c>
      <c r="M13" s="105">
        <f>K13-L13</f>
        <v>1995250</v>
      </c>
      <c r="N13" s="106">
        <f>G13-J13</f>
        <v>21051100</v>
      </c>
      <c r="O13" s="106">
        <f>$H13-K13</f>
        <v>17690000</v>
      </c>
      <c r="P13" s="135"/>
      <c r="Q13" s="104">
        <f>R13*1.19</f>
        <v>3570000</v>
      </c>
      <c r="R13" s="104">
        <v>3000000</v>
      </c>
      <c r="S13" s="105">
        <f t="shared" ref="S13" si="3">L13</f>
        <v>504750</v>
      </c>
      <c r="T13" s="105">
        <f t="shared" ref="T13" si="4">M13</f>
        <v>1995250</v>
      </c>
      <c r="U13" s="105">
        <f>R13-S13-T13</f>
        <v>500000</v>
      </c>
      <c r="V13" s="106">
        <f t="shared" si="1"/>
        <v>20456100</v>
      </c>
      <c r="W13" s="106">
        <f t="shared" si="1"/>
        <v>17190000</v>
      </c>
      <c r="X13" s="135"/>
      <c r="Y13" s="104">
        <v>0</v>
      </c>
      <c r="Z13" s="104" t="s">
        <v>27</v>
      </c>
      <c r="AA13" s="105">
        <v>0</v>
      </c>
      <c r="AB13" s="105">
        <v>0</v>
      </c>
      <c r="AC13" s="105">
        <v>0</v>
      </c>
      <c r="AD13" s="106">
        <v>0</v>
      </c>
      <c r="AE13" s="106">
        <f>+AD13/1.19</f>
        <v>0</v>
      </c>
      <c r="AF13" s="135"/>
      <c r="AG13" s="107" t="str">
        <f>+IF(H13-VLOOKUP($A13,[1]COMERCIALES!$A:$AM,COLUMNS([1]COMERCIALES!$A$12:$H$12),0)=0,"ISO",H13-VLOOKUP($A13,[1]COMERCIALES!$A:$AM,COLUMNS([1]COMERCIALES!$A$12:$H$12),0))</f>
        <v>ISO</v>
      </c>
      <c r="AH13" s="107">
        <f>+IF(O13-VLOOKUP($A13,[1]COMERCIALES!$A:$AM,COLUMNS([1]COMERCIALES!$A$12:$O$12),0)=0,"ISO",O13-VLOOKUP($A13,[1]COMERCIALES!$A:$AM,COLUMNS([1]COMERCIALES!$A$12:$O$12),0))</f>
        <v>-400000</v>
      </c>
      <c r="AI13" s="107">
        <f>+IF(W13-VLOOKUP($A13,[1]COMERCIALES!$A:$AM,COLUMNS([1]COMERCIALES!$A$12:$W$12),0)=0,"ISO",W13-VLOOKUP($A13,[1]COMERCIALES!$A:$AM,COLUMNS([1]COMERCIALES!$A$12:$W$12),0))</f>
        <v>-400000</v>
      </c>
      <c r="AJ13" s="132"/>
      <c r="AK13" s="108">
        <v>0.1</v>
      </c>
      <c r="AL13" s="105">
        <f>G13*(100%-AK13)</f>
        <v>21623490</v>
      </c>
      <c r="AM13" s="103">
        <f t="shared" si="2"/>
        <v>18171000</v>
      </c>
      <c r="AN13" s="79"/>
      <c r="AP13" s="109">
        <f>1-O13/H13</f>
        <v>0.12382367508667658</v>
      </c>
      <c r="AQ13" s="110">
        <v>0.14000000000000001</v>
      </c>
      <c r="AR13" s="109">
        <f>1-W13/H13</f>
        <v>0.14858841010401191</v>
      </c>
      <c r="AS13" s="110">
        <v>0.18</v>
      </c>
      <c r="AT13" s="111"/>
      <c r="AU13" s="111"/>
    </row>
    <row r="14" spans="1:47" s="119" customFormat="1" ht="24.95" customHeight="1" thickBot="1">
      <c r="A14" s="112"/>
      <c r="B14" s="14"/>
      <c r="C14" s="114"/>
      <c r="D14" s="114"/>
      <c r="E14" s="114"/>
      <c r="F14" s="130"/>
      <c r="G14" s="115"/>
      <c r="H14" s="115"/>
      <c r="I14" s="132"/>
      <c r="J14" s="115"/>
      <c r="K14" s="115"/>
      <c r="L14" s="115"/>
      <c r="M14" s="115"/>
      <c r="N14" s="115"/>
      <c r="O14" s="115"/>
      <c r="P14" s="136"/>
      <c r="Q14" s="115"/>
      <c r="R14" s="115"/>
      <c r="S14" s="115"/>
      <c r="T14" s="115"/>
      <c r="U14" s="115"/>
      <c r="V14" s="116"/>
      <c r="W14" s="115"/>
      <c r="X14" s="136"/>
      <c r="Y14" s="115"/>
      <c r="Z14" s="115"/>
      <c r="AA14" s="115"/>
      <c r="AB14" s="115"/>
      <c r="AC14" s="115"/>
      <c r="AD14" s="115"/>
      <c r="AE14" s="115"/>
      <c r="AF14" s="136"/>
      <c r="AG14" s="115"/>
      <c r="AH14" s="117">
        <v>700000</v>
      </c>
      <c r="AI14" s="117">
        <v>700000</v>
      </c>
      <c r="AJ14" s="138"/>
      <c r="AK14" s="115"/>
      <c r="AL14" s="115"/>
      <c r="AM14" s="115"/>
      <c r="AN14" s="118"/>
      <c r="AP14" s="120"/>
      <c r="AR14" s="120"/>
    </row>
    <row r="15" spans="1:47" s="80" customFormat="1" ht="24.95" customHeight="1" thickBot="1">
      <c r="A15" s="73"/>
      <c r="B15" s="14"/>
      <c r="C15" s="277" t="s">
        <v>73</v>
      </c>
      <c r="D15" s="278"/>
      <c r="E15" s="279"/>
      <c r="F15" s="128"/>
      <c r="G15" s="75"/>
      <c r="H15" s="75"/>
      <c r="I15" s="132"/>
      <c r="J15" s="99"/>
      <c r="K15" s="99"/>
      <c r="L15" s="99"/>
      <c r="M15" s="99"/>
      <c r="N15" s="166"/>
      <c r="O15" s="166"/>
      <c r="P15" s="134"/>
      <c r="Q15" s="99"/>
      <c r="R15" s="99"/>
      <c r="S15" s="99"/>
      <c r="T15" s="99"/>
      <c r="U15" s="99"/>
      <c r="V15" s="166"/>
      <c r="W15" s="166"/>
      <c r="X15" s="134"/>
      <c r="Y15" s="99"/>
      <c r="Z15" s="99"/>
      <c r="AA15" s="99"/>
      <c r="AB15" s="99"/>
      <c r="AC15" s="99"/>
      <c r="AD15" s="166"/>
      <c r="AE15" s="166"/>
      <c r="AF15" s="134"/>
      <c r="AG15" s="99"/>
      <c r="AH15" s="100"/>
      <c r="AI15" s="100"/>
      <c r="AJ15" s="132"/>
      <c r="AK15" s="77"/>
      <c r="AL15" s="77"/>
      <c r="AM15" s="77"/>
      <c r="AN15" s="79"/>
      <c r="AP15" s="121"/>
      <c r="AQ15" s="101"/>
      <c r="AR15" s="121"/>
      <c r="AS15" s="101"/>
    </row>
    <row r="16" spans="1:47" s="80" customFormat="1" ht="24.95" customHeight="1">
      <c r="A16" s="73" t="s">
        <v>74</v>
      </c>
      <c r="B16" s="14"/>
      <c r="C16" s="232" t="s">
        <v>115</v>
      </c>
      <c r="D16" s="173" t="s">
        <v>75</v>
      </c>
      <c r="E16" s="102" t="s">
        <v>76</v>
      </c>
      <c r="F16" s="129"/>
      <c r="G16" s="171">
        <f>H16*1.19</f>
        <v>31404100</v>
      </c>
      <c r="H16" s="106">
        <v>26390000</v>
      </c>
      <c r="I16" s="132"/>
      <c r="J16" s="104">
        <f>K16*1.19</f>
        <v>3927000</v>
      </c>
      <c r="K16" s="104">
        <v>3300000</v>
      </c>
      <c r="L16" s="105">
        <f>IF(K16/2&gt;H16*$O$7,H16*$O$7,K16/2)</f>
        <v>659750</v>
      </c>
      <c r="M16" s="105">
        <f>K16-L16</f>
        <v>2640250</v>
      </c>
      <c r="N16" s="106">
        <f>G16-J16</f>
        <v>27477100</v>
      </c>
      <c r="O16" s="106">
        <f>$H16-K16</f>
        <v>23090000</v>
      </c>
      <c r="P16" s="135"/>
      <c r="Q16" s="104">
        <f>R16*1.19</f>
        <v>4522000</v>
      </c>
      <c r="R16" s="104">
        <v>3800000</v>
      </c>
      <c r="S16" s="105">
        <f t="shared" ref="S16" si="5">L16</f>
        <v>659750</v>
      </c>
      <c r="T16" s="105">
        <f t="shared" ref="T16" si="6">M16</f>
        <v>2640250</v>
      </c>
      <c r="U16" s="105">
        <f>R16-S16-T16</f>
        <v>500000</v>
      </c>
      <c r="V16" s="106">
        <f>G16-Q16</f>
        <v>26882100</v>
      </c>
      <c r="W16" s="106">
        <f>H16-R16</f>
        <v>22590000</v>
      </c>
      <c r="X16" s="135"/>
      <c r="Y16" s="104">
        <v>0</v>
      </c>
      <c r="Z16" s="104" t="s">
        <v>27</v>
      </c>
      <c r="AA16" s="105">
        <v>0</v>
      </c>
      <c r="AB16" s="105">
        <v>0</v>
      </c>
      <c r="AC16" s="105">
        <v>0</v>
      </c>
      <c r="AD16" s="106">
        <v>0</v>
      </c>
      <c r="AE16" s="106">
        <f>+AD16/1.19</f>
        <v>0</v>
      </c>
      <c r="AF16" s="135"/>
      <c r="AG16" s="107" t="str">
        <f>+IF(H16-VLOOKUP($A16,[1]COMERCIALES!$A:$AM,COLUMNS([1]COMERCIALES!$A$12:$H$12),0)=0,"ISO",H16-VLOOKUP($A16,[1]COMERCIALES!$A:$AM,COLUMNS([1]COMERCIALES!$A$12:$H$12),0))</f>
        <v>ISO</v>
      </c>
      <c r="AH16" s="107" t="str">
        <f>+IF(O16-VLOOKUP($A16,[1]COMERCIALES!$A:$AM,COLUMNS([1]COMERCIALES!$A$12:$O$12),0)=0,"ISO",O16-VLOOKUP($A16,[1]COMERCIALES!$A:$AM,COLUMNS([1]COMERCIALES!$A$12:$O$12),0))</f>
        <v>ISO</v>
      </c>
      <c r="AI16" s="107" t="str">
        <f>+IF(W16-VLOOKUP($A16,[1]COMERCIALES!$A:$AM,COLUMNS([1]COMERCIALES!$A$12:$W$12),0)=0,"ISO",W16-VLOOKUP($A16,[1]COMERCIALES!$A:$AM,COLUMNS([1]COMERCIALES!$A$12:$W$12),0))</f>
        <v>ISO</v>
      </c>
      <c r="AJ16" s="132"/>
      <c r="AK16" s="108">
        <v>0.1</v>
      </c>
      <c r="AL16" s="105">
        <f>G16*(100%-AK16)</f>
        <v>28263690</v>
      </c>
      <c r="AM16" s="103">
        <f>+AL16/1.19</f>
        <v>23751000</v>
      </c>
      <c r="AN16" s="79"/>
      <c r="AP16" s="109">
        <f>1-O16/H16</f>
        <v>0.1250473664266768</v>
      </c>
      <c r="AQ16" s="110">
        <v>0.14000000000000001</v>
      </c>
      <c r="AR16" s="109">
        <f>1-W16/H16</f>
        <v>0.14399393709738539</v>
      </c>
      <c r="AS16" s="110">
        <v>0.14000000000000001</v>
      </c>
      <c r="AT16" s="111"/>
      <c r="AU16" s="111"/>
    </row>
    <row r="17" spans="1:47" s="119" customFormat="1" ht="24.95" customHeight="1" thickBot="1">
      <c r="A17" s="112"/>
      <c r="B17" s="14"/>
      <c r="C17" s="114"/>
      <c r="D17" s="114"/>
      <c r="E17" s="114"/>
      <c r="F17" s="130"/>
      <c r="G17" s="115"/>
      <c r="H17" s="115"/>
      <c r="I17" s="132"/>
      <c r="J17" s="115"/>
      <c r="K17" s="115">
        <f>2%*H16</f>
        <v>527800</v>
      </c>
      <c r="L17" s="115"/>
      <c r="M17" s="115"/>
      <c r="N17" s="115"/>
      <c r="O17" s="115"/>
      <c r="P17" s="136"/>
      <c r="Q17" s="115"/>
      <c r="R17" s="115"/>
      <c r="S17" s="115"/>
      <c r="T17" s="115"/>
      <c r="U17" s="115"/>
      <c r="V17" s="116"/>
      <c r="W17" s="116"/>
      <c r="X17" s="136"/>
      <c r="Y17" s="115"/>
      <c r="Z17" s="115"/>
      <c r="AA17" s="115"/>
      <c r="AB17" s="115"/>
      <c r="AC17" s="115"/>
      <c r="AD17" s="115"/>
      <c r="AE17" s="115"/>
      <c r="AF17" s="136"/>
      <c r="AG17" s="115"/>
      <c r="AH17" s="117">
        <v>700000</v>
      </c>
      <c r="AI17" s="117">
        <v>700000</v>
      </c>
      <c r="AJ17" s="138"/>
      <c r="AK17" s="115"/>
      <c r="AL17" s="115"/>
      <c r="AM17" s="115"/>
      <c r="AN17" s="118"/>
      <c r="AP17" s="120"/>
      <c r="AR17" s="120"/>
    </row>
    <row r="18" spans="1:47" s="80" customFormat="1" ht="24.95" customHeight="1" thickBot="1">
      <c r="A18" s="73"/>
      <c r="B18" s="14"/>
      <c r="C18" s="277" t="s">
        <v>78</v>
      </c>
      <c r="D18" s="278"/>
      <c r="E18" s="279"/>
      <c r="F18" s="128"/>
      <c r="G18" s="75"/>
      <c r="H18" s="75"/>
      <c r="I18" s="132"/>
      <c r="J18" s="99"/>
      <c r="K18" s="99"/>
      <c r="L18" s="99"/>
      <c r="M18" s="99"/>
      <c r="N18" s="166"/>
      <c r="O18" s="166"/>
      <c r="P18" s="134"/>
      <c r="Q18" s="99"/>
      <c r="R18" s="99"/>
      <c r="S18" s="99"/>
      <c r="T18" s="99"/>
      <c r="U18" s="99"/>
      <c r="V18" s="166"/>
      <c r="W18" s="180"/>
      <c r="X18" s="134"/>
      <c r="Y18" s="99"/>
      <c r="Z18" s="99"/>
      <c r="AA18" s="99"/>
      <c r="AB18" s="99"/>
      <c r="AC18" s="99"/>
      <c r="AD18" s="166"/>
      <c r="AE18" s="166"/>
      <c r="AF18" s="134"/>
      <c r="AG18" s="99"/>
      <c r="AH18" s="100"/>
      <c r="AI18" s="100"/>
      <c r="AJ18" s="132"/>
      <c r="AK18" s="77"/>
      <c r="AL18" s="77"/>
      <c r="AM18" s="77"/>
      <c r="AN18" s="79"/>
      <c r="AP18" s="121"/>
      <c r="AQ18" s="101"/>
      <c r="AR18" s="121"/>
      <c r="AS18" s="101"/>
    </row>
    <row r="19" spans="1:47" s="80" customFormat="1" ht="24.95" customHeight="1">
      <c r="A19" s="73" t="s">
        <v>79</v>
      </c>
      <c r="B19" s="14"/>
      <c r="C19" s="232" t="s">
        <v>116</v>
      </c>
      <c r="D19" s="173" t="s">
        <v>83</v>
      </c>
      <c r="E19" s="102" t="s">
        <v>81</v>
      </c>
      <c r="F19" s="129"/>
      <c r="G19" s="171">
        <f>H19*1.19</f>
        <v>36640100</v>
      </c>
      <c r="H19" s="106">
        <v>30790000</v>
      </c>
      <c r="I19" s="132"/>
      <c r="J19" s="104">
        <f>K19*1.19</f>
        <v>4998000</v>
      </c>
      <c r="K19" s="104">
        <v>4200000</v>
      </c>
      <c r="L19" s="105">
        <f>IF(K19/2&gt;H19*$O$7,H19*$O$7,K19/2)</f>
        <v>769750</v>
      </c>
      <c r="M19" s="105">
        <f>K19-L19</f>
        <v>3430250</v>
      </c>
      <c r="N19" s="106">
        <f>G19-J19</f>
        <v>31642100</v>
      </c>
      <c r="O19" s="106">
        <f>$H19-K19</f>
        <v>26590000</v>
      </c>
      <c r="P19" s="135"/>
      <c r="Q19" s="104">
        <f>R19*1.19</f>
        <v>5593000</v>
      </c>
      <c r="R19" s="104">
        <v>4700000</v>
      </c>
      <c r="S19" s="105">
        <f t="shared" ref="S19" si="7">L19</f>
        <v>769750</v>
      </c>
      <c r="T19" s="105">
        <f t="shared" ref="T19" si="8">M19</f>
        <v>3430250</v>
      </c>
      <c r="U19" s="105">
        <f>R19-S19-T19</f>
        <v>500000</v>
      </c>
      <c r="V19" s="106">
        <f>G19-Q19</f>
        <v>31047100</v>
      </c>
      <c r="W19" s="106">
        <f>H19-R19</f>
        <v>26090000</v>
      </c>
      <c r="X19" s="135"/>
      <c r="Y19" s="104">
        <v>0</v>
      </c>
      <c r="Z19" s="104" t="s">
        <v>27</v>
      </c>
      <c r="AA19" s="105">
        <v>0</v>
      </c>
      <c r="AB19" s="105">
        <v>0</v>
      </c>
      <c r="AC19" s="105">
        <v>0</v>
      </c>
      <c r="AD19" s="106">
        <v>0</v>
      </c>
      <c r="AE19" s="106">
        <f t="shared" ref="AE19:AE20" si="9">+AD19/1.19</f>
        <v>0</v>
      </c>
      <c r="AF19" s="135"/>
      <c r="AG19" s="107" t="str">
        <f>+IF(H19-VLOOKUP($A19,[1]COMERCIALES!$A:$AM,COLUMNS([1]COMERCIALES!$A$12:$H$12),0)=0,"ISO",H19-VLOOKUP($A19,[1]COMERCIALES!$A:$AM,COLUMNS([1]COMERCIALES!$A$12:$H$12),0))</f>
        <v>ISO</v>
      </c>
      <c r="AH19" s="107" t="str">
        <f>+IF(O19-VLOOKUP($A19,[1]COMERCIALES!$A:$AM,COLUMNS([1]COMERCIALES!$A$12:$O$12),0)=0,"ISO",O19-VLOOKUP($A19,[1]COMERCIALES!$A:$AM,COLUMNS([1]COMERCIALES!$A$12:$O$12),0))</f>
        <v>ISO</v>
      </c>
      <c r="AI19" s="107" t="str">
        <f>+IF(W19-VLOOKUP($A19,[1]COMERCIALES!$A:$AM,COLUMNS([1]COMERCIALES!$A$12:$W$12),0)=0,"ISO",W19-VLOOKUP($A19,[1]COMERCIALES!$A:$AM,COLUMNS([1]COMERCIALES!$A$12:$W$12),0))</f>
        <v>ISO</v>
      </c>
      <c r="AJ19" s="132"/>
      <c r="AK19" s="108">
        <v>0.1</v>
      </c>
      <c r="AL19" s="105">
        <f>G19*(100%-AK19)</f>
        <v>32976090</v>
      </c>
      <c r="AM19" s="103">
        <f>+AL19/1.19</f>
        <v>27711000</v>
      </c>
      <c r="AN19" s="79"/>
      <c r="AP19" s="109">
        <f>1-O19/H19</f>
        <v>0.13640792465086071</v>
      </c>
      <c r="AQ19" s="110">
        <v>0.14000000000000001</v>
      </c>
      <c r="AR19" s="109">
        <f>1-W19/H19</f>
        <v>0.15264696329977268</v>
      </c>
      <c r="AS19" s="110">
        <v>0.14000000000000001</v>
      </c>
      <c r="AT19" s="111"/>
      <c r="AU19" s="111"/>
    </row>
    <row r="20" spans="1:47" s="80" customFormat="1" ht="24.95" customHeight="1">
      <c r="A20" s="73" t="s">
        <v>80</v>
      </c>
      <c r="B20" s="14"/>
      <c r="C20" s="232" t="s">
        <v>117</v>
      </c>
      <c r="D20" s="173" t="s">
        <v>84</v>
      </c>
      <c r="E20" s="102" t="s">
        <v>82</v>
      </c>
      <c r="F20" s="129"/>
      <c r="G20" s="171">
        <f>H20*1.19</f>
        <v>36759100</v>
      </c>
      <c r="H20" s="106">
        <v>30890000</v>
      </c>
      <c r="I20" s="132"/>
      <c r="J20" s="104">
        <f>K20*1.19</f>
        <v>4998000</v>
      </c>
      <c r="K20" s="104">
        <v>4200000</v>
      </c>
      <c r="L20" s="105">
        <f>IF(K20/2&gt;H20*$O$7,H20*$O$7,K20/2)</f>
        <v>772250</v>
      </c>
      <c r="M20" s="105">
        <f>K20-L20</f>
        <v>3427750</v>
      </c>
      <c r="N20" s="106">
        <f>G20-J20</f>
        <v>31761100</v>
      </c>
      <c r="O20" s="106">
        <f>$H20-K20</f>
        <v>26690000</v>
      </c>
      <c r="P20" s="135"/>
      <c r="Q20" s="104">
        <f>R20*1.19</f>
        <v>5593000</v>
      </c>
      <c r="R20" s="104">
        <v>4700000</v>
      </c>
      <c r="S20" s="105">
        <f t="shared" ref="S20" si="10">L20</f>
        <v>772250</v>
      </c>
      <c r="T20" s="105">
        <f t="shared" ref="T20" si="11">M20</f>
        <v>3427750</v>
      </c>
      <c r="U20" s="105">
        <f>R20-S20-T20</f>
        <v>500000</v>
      </c>
      <c r="V20" s="106">
        <f>G20-Q20</f>
        <v>31166100</v>
      </c>
      <c r="W20" s="106">
        <f>H20-R20</f>
        <v>26190000</v>
      </c>
      <c r="X20" s="135"/>
      <c r="Y20" s="104">
        <v>0</v>
      </c>
      <c r="Z20" s="104" t="s">
        <v>27</v>
      </c>
      <c r="AA20" s="105">
        <v>0</v>
      </c>
      <c r="AB20" s="105">
        <v>0</v>
      </c>
      <c r="AC20" s="105">
        <v>0</v>
      </c>
      <c r="AD20" s="106">
        <v>0</v>
      </c>
      <c r="AE20" s="106">
        <f t="shared" si="9"/>
        <v>0</v>
      </c>
      <c r="AF20" s="135"/>
      <c r="AG20" s="107" t="str">
        <f>+IF(H20-VLOOKUP($A20,[1]COMERCIALES!$A:$AM,COLUMNS([1]COMERCIALES!$A$12:$H$12),0)=0,"ISO",H20-VLOOKUP($A20,[1]COMERCIALES!$A:$AM,COLUMNS([1]COMERCIALES!$A$12:$H$12),0))</f>
        <v>ISO</v>
      </c>
      <c r="AH20" s="107" t="str">
        <f>+IF(O20-VLOOKUP($A20,[1]COMERCIALES!$A:$AM,COLUMNS([1]COMERCIALES!$A$12:$O$12),0)=0,"ISO",O20-VLOOKUP($A20,[1]COMERCIALES!$A:$AM,COLUMNS([1]COMERCIALES!$A$12:$O$12),0))</f>
        <v>ISO</v>
      </c>
      <c r="AI20" s="107" t="str">
        <f>+IF(W20-VLOOKUP($A20,[1]COMERCIALES!$A:$AM,COLUMNS([1]COMERCIALES!$A$12:$W$12),0)=0,"ISO",W20-VLOOKUP($A20,[1]COMERCIALES!$A:$AM,COLUMNS([1]COMERCIALES!$A$12:$W$12),0))</f>
        <v>ISO</v>
      </c>
      <c r="AJ20" s="132"/>
      <c r="AK20" s="108">
        <v>0.1</v>
      </c>
      <c r="AL20" s="105">
        <f>G20*(100%-AK20)</f>
        <v>33083190</v>
      </c>
      <c r="AM20" s="103">
        <f>+AL20/1.19</f>
        <v>27801000</v>
      </c>
      <c r="AN20" s="79"/>
      <c r="AP20" s="109">
        <f>1-O20/H20</f>
        <v>0.1359663321463257</v>
      </c>
      <c r="AQ20" s="110">
        <v>0.14000000000000001</v>
      </c>
      <c r="AR20" s="109">
        <f>1-W20/H20</f>
        <v>0.15215280025898348</v>
      </c>
      <c r="AS20" s="110">
        <v>0.14000000000000001</v>
      </c>
      <c r="AT20" s="111"/>
      <c r="AU20" s="111"/>
    </row>
    <row r="21" spans="1:47" s="119" customFormat="1" ht="24.95" customHeight="1" thickBot="1">
      <c r="A21" s="112"/>
      <c r="B21" s="14"/>
      <c r="C21" s="114"/>
      <c r="D21" s="114"/>
      <c r="E21" s="114"/>
      <c r="F21" s="130"/>
      <c r="G21" s="115"/>
      <c r="H21" s="179"/>
      <c r="I21" s="132"/>
      <c r="J21" s="115"/>
      <c r="K21" s="179"/>
      <c r="L21" s="115"/>
      <c r="M21" s="115"/>
      <c r="N21" s="115"/>
      <c r="O21" s="115"/>
      <c r="P21" s="136"/>
      <c r="Q21" s="115"/>
      <c r="R21" s="115"/>
      <c r="S21" s="115"/>
      <c r="T21" s="115"/>
      <c r="U21" s="115"/>
      <c r="V21" s="116"/>
      <c r="W21" s="115"/>
      <c r="X21" s="136"/>
      <c r="Y21" s="115"/>
      <c r="Z21" s="115"/>
      <c r="AA21" s="115"/>
      <c r="AB21" s="115"/>
      <c r="AC21" s="115"/>
      <c r="AD21" s="115"/>
      <c r="AE21" s="115"/>
      <c r="AF21" s="136"/>
      <c r="AG21" s="115"/>
      <c r="AH21" s="117"/>
      <c r="AI21" s="117"/>
      <c r="AJ21" s="138"/>
      <c r="AK21" s="115"/>
      <c r="AL21" s="115"/>
      <c r="AM21" s="115"/>
      <c r="AN21" s="118"/>
      <c r="AP21" s="120"/>
      <c r="AR21" s="120"/>
    </row>
    <row r="22" spans="1:47" s="80" customFormat="1" ht="24.95" customHeight="1" thickBot="1">
      <c r="A22" s="73"/>
      <c r="B22" s="14"/>
      <c r="C22" s="277" t="s">
        <v>119</v>
      </c>
      <c r="D22" s="278"/>
      <c r="E22" s="279"/>
      <c r="F22" s="128"/>
      <c r="G22" s="75"/>
      <c r="H22" s="192"/>
      <c r="I22" s="132"/>
      <c r="J22" s="99"/>
      <c r="K22" s="99"/>
      <c r="L22" s="99"/>
      <c r="M22" s="99"/>
      <c r="N22" s="166"/>
      <c r="O22" s="192"/>
      <c r="P22" s="134"/>
      <c r="Q22" s="99"/>
      <c r="R22" s="99"/>
      <c r="S22" s="99"/>
      <c r="T22" s="99"/>
      <c r="U22" s="99"/>
      <c r="V22" s="166"/>
      <c r="W22" s="192"/>
      <c r="X22" s="134"/>
      <c r="Y22" s="99"/>
      <c r="Z22" s="99"/>
      <c r="AA22" s="99"/>
      <c r="AB22" s="99"/>
      <c r="AC22" s="99"/>
      <c r="AD22" s="166"/>
      <c r="AE22" s="166"/>
      <c r="AF22" s="134"/>
      <c r="AG22" s="99"/>
      <c r="AH22" s="100"/>
      <c r="AI22" s="100"/>
      <c r="AJ22" s="132"/>
      <c r="AK22" s="77">
        <v>0</v>
      </c>
      <c r="AL22" s="77"/>
      <c r="AM22" s="77">
        <v>0</v>
      </c>
      <c r="AN22" s="79"/>
      <c r="AP22" s="121"/>
      <c r="AQ22" s="101"/>
      <c r="AR22" s="121"/>
      <c r="AS22" s="101"/>
    </row>
    <row r="23" spans="1:47" s="80" customFormat="1" ht="24.95" customHeight="1">
      <c r="A23" s="73" t="s">
        <v>120</v>
      </c>
      <c r="B23" s="14"/>
      <c r="C23" s="232" t="s">
        <v>128</v>
      </c>
      <c r="D23" s="178" t="s">
        <v>129</v>
      </c>
      <c r="E23" s="102" t="s">
        <v>127</v>
      </c>
      <c r="F23" s="129"/>
      <c r="G23" s="171">
        <f t="shared" ref="G23:G25" si="12">H23*1.19</f>
        <v>36640100</v>
      </c>
      <c r="H23" s="106">
        <v>30790000</v>
      </c>
      <c r="I23" s="132"/>
      <c r="J23" s="104">
        <f t="shared" ref="J23:J25" si="13">K23*1.19</f>
        <v>5593000</v>
      </c>
      <c r="K23" s="104">
        <v>4700000</v>
      </c>
      <c r="L23" s="105">
        <f>IF(K23/2&gt;H23*$O$7,H23*$O$7,K23/2)</f>
        <v>769750</v>
      </c>
      <c r="M23" s="105">
        <f>K23-L23</f>
        <v>3930250</v>
      </c>
      <c r="N23" s="106">
        <f>G23-J23</f>
        <v>31047100</v>
      </c>
      <c r="O23" s="106">
        <f>$H23-K23</f>
        <v>26090000</v>
      </c>
      <c r="P23" s="135"/>
      <c r="Q23" s="104">
        <f t="shared" ref="Q23:Q25" si="14">R23*1.19</f>
        <v>6188000</v>
      </c>
      <c r="R23" s="104">
        <v>5200000</v>
      </c>
      <c r="S23" s="105">
        <f t="shared" ref="S23:S25" si="15">L23</f>
        <v>769750</v>
      </c>
      <c r="T23" s="105">
        <f t="shared" ref="T23:T25" si="16">M23</f>
        <v>3930250</v>
      </c>
      <c r="U23" s="105">
        <f t="shared" ref="U23:U25" si="17">R23-S23-T23</f>
        <v>500000</v>
      </c>
      <c r="V23" s="106">
        <f t="shared" ref="V23:V25" si="18">G23-Q23</f>
        <v>30452100</v>
      </c>
      <c r="W23" s="106">
        <f t="shared" ref="W23:W25" si="19">H23-R23</f>
        <v>25590000</v>
      </c>
      <c r="X23" s="135"/>
      <c r="Y23" s="104">
        <v>0</v>
      </c>
      <c r="Z23" s="104" t="s">
        <v>27</v>
      </c>
      <c r="AA23" s="105">
        <v>0</v>
      </c>
      <c r="AB23" s="105">
        <v>0</v>
      </c>
      <c r="AC23" s="105">
        <v>0</v>
      </c>
      <c r="AD23" s="106">
        <v>0</v>
      </c>
      <c r="AE23" s="106">
        <f t="shared" ref="AE23:AE25" si="20">+AD23/1.19</f>
        <v>0</v>
      </c>
      <c r="AF23" s="135"/>
      <c r="AG23" s="107" t="str">
        <f>+IF(H23-VLOOKUP($A23,[1]COMERCIALES!$A:$AM,COLUMNS([1]COMERCIALES!$A$12:$H$12),0)=0,"ISO",H23-VLOOKUP($A23,[1]COMERCIALES!$A:$AM,COLUMNS([1]COMERCIALES!$A$12:$H$12),0))</f>
        <v>ISO</v>
      </c>
      <c r="AH23" s="107" t="str">
        <f>+IF(O23-VLOOKUP($A23,[1]COMERCIALES!$A:$AM,COLUMNS([1]COMERCIALES!$A$12:$O$12),0)=0,"ISO",O23-VLOOKUP($A23,[1]COMERCIALES!$A:$AM,COLUMNS([1]COMERCIALES!$A$12:$O$12),0))</f>
        <v>ISO</v>
      </c>
      <c r="AI23" s="107" t="str">
        <f>+IF(W23-VLOOKUP($A23,[1]COMERCIALES!$A:$AM,COLUMNS([1]COMERCIALES!$A$12:$W$12),0)=0,"ISO",W23-VLOOKUP($A23,[1]COMERCIALES!$A:$AM,COLUMNS([1]COMERCIALES!$A$12:$W$12),0))</f>
        <v>ISO</v>
      </c>
      <c r="AJ23" s="132"/>
      <c r="AK23" s="108">
        <v>0.1</v>
      </c>
      <c r="AL23" s="105">
        <f>G23*(100%-AK23)</f>
        <v>32976090</v>
      </c>
      <c r="AM23" s="103">
        <f t="shared" ref="AM23:AM25" si="21">+AL23/1.19</f>
        <v>27711000</v>
      </c>
      <c r="AN23" s="79"/>
      <c r="AP23" s="109">
        <f>1-O23/H23</f>
        <v>0.15264696329977268</v>
      </c>
      <c r="AQ23" s="110">
        <v>0.15</v>
      </c>
      <c r="AR23" s="109">
        <f>1-W23/H23</f>
        <v>0.16888600194868464</v>
      </c>
      <c r="AS23" s="110">
        <v>0.17</v>
      </c>
      <c r="AT23" s="111"/>
      <c r="AU23" s="111"/>
    </row>
    <row r="24" spans="1:47" s="80" customFormat="1" ht="24.95" customHeight="1">
      <c r="A24" s="73" t="s">
        <v>121</v>
      </c>
      <c r="B24" s="14"/>
      <c r="C24" s="232" t="s">
        <v>123</v>
      </c>
      <c r="D24" s="178" t="s">
        <v>130</v>
      </c>
      <c r="E24" s="102" t="s">
        <v>126</v>
      </c>
      <c r="F24" s="129"/>
      <c r="G24" s="171">
        <f t="shared" si="12"/>
        <v>37949100</v>
      </c>
      <c r="H24" s="106">
        <v>31890000</v>
      </c>
      <c r="I24" s="132"/>
      <c r="J24" s="104">
        <f t="shared" si="13"/>
        <v>5236000</v>
      </c>
      <c r="K24" s="104">
        <v>4400000</v>
      </c>
      <c r="L24" s="105">
        <f>IF(K24/2&gt;H24*$O$7,H24*$O$7,K24/2)</f>
        <v>797250</v>
      </c>
      <c r="M24" s="105">
        <f>K24-L24</f>
        <v>3602750</v>
      </c>
      <c r="N24" s="106">
        <f>G24-J24</f>
        <v>32713100</v>
      </c>
      <c r="O24" s="106">
        <f>$H24-K24</f>
        <v>27490000</v>
      </c>
      <c r="P24" s="135"/>
      <c r="Q24" s="104">
        <f t="shared" si="14"/>
        <v>5831000</v>
      </c>
      <c r="R24" s="104">
        <v>4900000</v>
      </c>
      <c r="S24" s="105">
        <f t="shared" si="15"/>
        <v>797250</v>
      </c>
      <c r="T24" s="105">
        <f t="shared" si="16"/>
        <v>3602750</v>
      </c>
      <c r="U24" s="105">
        <f t="shared" si="17"/>
        <v>500000</v>
      </c>
      <c r="V24" s="106">
        <f t="shared" si="18"/>
        <v>32118100</v>
      </c>
      <c r="W24" s="106">
        <f t="shared" si="19"/>
        <v>26990000</v>
      </c>
      <c r="X24" s="135"/>
      <c r="Y24" s="104">
        <v>0</v>
      </c>
      <c r="Z24" s="104" t="s">
        <v>27</v>
      </c>
      <c r="AA24" s="105">
        <v>0</v>
      </c>
      <c r="AB24" s="105">
        <v>0</v>
      </c>
      <c r="AC24" s="105">
        <v>0</v>
      </c>
      <c r="AD24" s="106">
        <v>0</v>
      </c>
      <c r="AE24" s="106">
        <f t="shared" si="20"/>
        <v>0</v>
      </c>
      <c r="AF24" s="135"/>
      <c r="AG24" s="107" t="str">
        <f>+IF(H24-VLOOKUP($A24,[1]COMERCIALES!$A:$AM,COLUMNS([1]COMERCIALES!$A$12:$H$12),0)=0,"ISO",H24-VLOOKUP($A24,[1]COMERCIALES!$A:$AM,COLUMNS([1]COMERCIALES!$A$12:$H$12),0))</f>
        <v>ISO</v>
      </c>
      <c r="AH24" s="107" t="str">
        <f>+IF(O24-VLOOKUP($A24,[1]COMERCIALES!$A:$AM,COLUMNS([1]COMERCIALES!$A$12:$O$12),0)=0,"ISO",O24-VLOOKUP($A24,[1]COMERCIALES!$A:$AM,COLUMNS([1]COMERCIALES!$A$12:$O$12),0))</f>
        <v>ISO</v>
      </c>
      <c r="AI24" s="107" t="str">
        <f>+IF(W24-VLOOKUP($A24,[1]COMERCIALES!$A:$AM,COLUMNS([1]COMERCIALES!$A$12:$W$12),0)=0,"ISO",W24-VLOOKUP($A24,[1]COMERCIALES!$A:$AM,COLUMNS([1]COMERCIALES!$A$12:$W$12),0))</f>
        <v>ISO</v>
      </c>
      <c r="AJ24" s="132"/>
      <c r="AK24" s="108">
        <v>0.1</v>
      </c>
      <c r="AL24" s="105">
        <f>G24*(100%-AK24)</f>
        <v>34154190</v>
      </c>
      <c r="AM24" s="103">
        <f t="shared" si="21"/>
        <v>28701000</v>
      </c>
      <c r="AN24" s="79"/>
      <c r="AP24" s="109">
        <f>1-O24/H24</f>
        <v>0.1379742866102226</v>
      </c>
      <c r="AQ24" s="110">
        <v>0.14000000000000001</v>
      </c>
      <c r="AR24" s="109">
        <f>1-W24/H24</f>
        <v>0.15365318281592977</v>
      </c>
      <c r="AS24" s="110">
        <v>0.16</v>
      </c>
      <c r="AT24" s="111"/>
      <c r="AU24" s="111"/>
    </row>
    <row r="25" spans="1:47" s="80" customFormat="1" ht="24.95" customHeight="1" thickBot="1">
      <c r="A25" s="73" t="s">
        <v>122</v>
      </c>
      <c r="B25" s="14"/>
      <c r="C25" s="232" t="s">
        <v>124</v>
      </c>
      <c r="D25" s="178" t="s">
        <v>131</v>
      </c>
      <c r="E25" s="102" t="s">
        <v>125</v>
      </c>
      <c r="F25" s="161"/>
      <c r="G25" s="171">
        <f t="shared" si="12"/>
        <v>39139100</v>
      </c>
      <c r="H25" s="106">
        <v>32890000</v>
      </c>
      <c r="I25" s="132"/>
      <c r="J25" s="104">
        <f t="shared" si="13"/>
        <v>4522000</v>
      </c>
      <c r="K25" s="104">
        <v>3800000</v>
      </c>
      <c r="L25" s="105">
        <f>IF(K25/2&gt;H25*$O$7,H25*$O$7,K25/2)</f>
        <v>822250</v>
      </c>
      <c r="M25" s="105">
        <f>K25-L25</f>
        <v>2977750</v>
      </c>
      <c r="N25" s="106">
        <f>G25-J25</f>
        <v>34617100</v>
      </c>
      <c r="O25" s="106">
        <f>$H25-K25</f>
        <v>29090000</v>
      </c>
      <c r="P25" s="135"/>
      <c r="Q25" s="104">
        <f t="shared" si="14"/>
        <v>5117000</v>
      </c>
      <c r="R25" s="104">
        <v>4300000</v>
      </c>
      <c r="S25" s="105">
        <f t="shared" si="15"/>
        <v>822250</v>
      </c>
      <c r="T25" s="105">
        <f t="shared" si="16"/>
        <v>2977750</v>
      </c>
      <c r="U25" s="105">
        <f t="shared" si="17"/>
        <v>500000</v>
      </c>
      <c r="V25" s="106">
        <f t="shared" si="18"/>
        <v>34022100</v>
      </c>
      <c r="W25" s="106">
        <f t="shared" si="19"/>
        <v>28590000</v>
      </c>
      <c r="X25" s="137"/>
      <c r="Y25" s="104">
        <v>0</v>
      </c>
      <c r="Z25" s="104" t="s">
        <v>27</v>
      </c>
      <c r="AA25" s="105">
        <v>0</v>
      </c>
      <c r="AB25" s="105">
        <v>0</v>
      </c>
      <c r="AC25" s="105">
        <v>0</v>
      </c>
      <c r="AD25" s="106">
        <v>0</v>
      </c>
      <c r="AE25" s="106">
        <f t="shared" si="20"/>
        <v>0</v>
      </c>
      <c r="AF25" s="137"/>
      <c r="AG25" s="107" t="str">
        <f>+IF(H25-VLOOKUP($A25,[1]COMERCIALES!$A:$AM,COLUMNS([1]COMERCIALES!$A$12:$H$12),0)=0,"ISO",H25-VLOOKUP($A25,[1]COMERCIALES!$A:$AM,COLUMNS([1]COMERCIALES!$A$12:$H$12),0))</f>
        <v>ISO</v>
      </c>
      <c r="AH25" s="107" t="str">
        <f>+IF(O25-VLOOKUP($A25,[1]COMERCIALES!$A:$AM,COLUMNS([1]COMERCIALES!$A$12:$O$12),0)=0,"ISO",O25-VLOOKUP($A25,[1]COMERCIALES!$A:$AM,COLUMNS([1]COMERCIALES!$A$12:$O$12),0))</f>
        <v>ISO</v>
      </c>
      <c r="AI25" s="107" t="str">
        <f>+IF(W25-VLOOKUP($A25,[1]COMERCIALES!$A:$AM,COLUMNS([1]COMERCIALES!$A$12:$W$12),0)=0,"ISO",W25-VLOOKUP($A25,[1]COMERCIALES!$A:$AM,COLUMNS([1]COMERCIALES!$A$12:$W$12),0))</f>
        <v>ISO</v>
      </c>
      <c r="AJ25" s="126"/>
      <c r="AK25" s="108">
        <v>0.1</v>
      </c>
      <c r="AL25" s="105">
        <f>G25*(100%-AK25)</f>
        <v>35225190</v>
      </c>
      <c r="AM25" s="103">
        <f t="shared" si="21"/>
        <v>29601000</v>
      </c>
      <c r="AN25" s="79"/>
      <c r="AP25" s="109">
        <f>1-O25/H25</f>
        <v>0.11553663727576768</v>
      </c>
      <c r="AQ25" s="110">
        <v>0.14000000000000001</v>
      </c>
      <c r="AR25" s="109">
        <f>1-W25/H25</f>
        <v>0.13073882639100032</v>
      </c>
      <c r="AS25" s="110">
        <v>0.16</v>
      </c>
      <c r="AT25" s="111"/>
      <c r="AU25" s="111"/>
    </row>
    <row r="26" spans="1:47" s="80" customFormat="1" ht="24.95" customHeight="1">
      <c r="A26" s="73"/>
      <c r="B26" s="184"/>
      <c r="C26" s="181"/>
      <c r="D26" s="182"/>
      <c r="E26" s="182"/>
      <c r="F26" s="182"/>
      <c r="G26" s="183"/>
      <c r="H26" s="183"/>
      <c r="I26" s="184"/>
      <c r="J26" s="184"/>
      <c r="K26" s="184"/>
      <c r="L26" s="184"/>
      <c r="M26" s="184"/>
      <c r="N26" s="188"/>
      <c r="O26" s="189"/>
      <c r="P26" s="184"/>
      <c r="Q26" s="184"/>
      <c r="R26" s="184"/>
      <c r="S26" s="184"/>
      <c r="T26" s="184"/>
      <c r="U26" s="184"/>
      <c r="V26" s="188"/>
      <c r="W26" s="189"/>
      <c r="X26" s="184"/>
      <c r="Y26" s="184"/>
      <c r="Z26" s="184"/>
      <c r="AA26" s="184"/>
      <c r="AB26" s="184"/>
      <c r="AC26" s="184"/>
      <c r="AD26" s="188"/>
      <c r="AE26" s="189"/>
      <c r="AF26" s="184"/>
      <c r="AG26" s="184"/>
      <c r="AH26" s="184"/>
      <c r="AI26" s="184"/>
      <c r="AJ26" s="184"/>
      <c r="AK26" s="184"/>
      <c r="AL26" s="184"/>
      <c r="AM26" s="184"/>
      <c r="AN26" s="187"/>
      <c r="AP26" s="101"/>
      <c r="AQ26" s="101"/>
      <c r="AR26" s="101"/>
      <c r="AS26" s="101"/>
    </row>
    <row r="27" spans="1:47" ht="24.95" customHeight="1">
      <c r="G27" s="168"/>
      <c r="H27" s="168"/>
      <c r="J27" s="32"/>
      <c r="K27" s="32"/>
      <c r="L27" s="4"/>
      <c r="M27" s="4"/>
      <c r="N27" s="167"/>
      <c r="O27" s="168"/>
      <c r="Q27" s="4"/>
      <c r="R27" s="4"/>
      <c r="S27" s="4"/>
      <c r="T27" s="32"/>
      <c r="U27" s="4"/>
      <c r="V27" s="167"/>
      <c r="W27" s="168"/>
      <c r="Y27" s="4"/>
      <c r="Z27" s="4"/>
      <c r="AA27" s="4"/>
      <c r="AB27" s="4"/>
      <c r="AC27" s="4"/>
      <c r="AD27" s="167"/>
      <c r="AE27" s="168"/>
    </row>
    <row r="28" spans="1:47" ht="24.95" customHeight="1">
      <c r="G28" s="168"/>
      <c r="H28" s="168"/>
      <c r="J28" s="4"/>
      <c r="K28" s="4"/>
      <c r="L28" s="4"/>
      <c r="M28" s="4"/>
      <c r="N28" s="167"/>
      <c r="O28" s="167"/>
      <c r="Q28" s="4"/>
      <c r="R28" s="4"/>
      <c r="S28" s="4"/>
      <c r="T28" s="4"/>
      <c r="U28" s="4"/>
      <c r="V28" s="167"/>
      <c r="W28" s="167"/>
      <c r="Y28" s="4"/>
      <c r="Z28" s="4"/>
      <c r="AA28" s="4"/>
      <c r="AB28" s="4"/>
      <c r="AC28" s="4"/>
      <c r="AD28" s="167"/>
      <c r="AE28" s="167"/>
    </row>
    <row r="29" spans="1:47" s="7" customFormat="1" ht="24.95" customHeight="1">
      <c r="A29" s="24"/>
      <c r="B29" s="4"/>
      <c r="C29" s="8"/>
      <c r="D29" s="9"/>
      <c r="E29" s="9"/>
      <c r="F29" s="9"/>
      <c r="G29" s="167"/>
      <c r="H29" s="167"/>
      <c r="I29" s="4"/>
      <c r="J29" s="4"/>
      <c r="K29" s="4"/>
      <c r="L29" s="4"/>
      <c r="M29" s="4"/>
      <c r="N29" s="167"/>
      <c r="O29" s="167"/>
      <c r="Q29" s="4"/>
      <c r="R29" s="4"/>
      <c r="S29" s="4"/>
      <c r="T29" s="4"/>
      <c r="U29" s="4"/>
      <c r="V29" s="167"/>
      <c r="W29" s="167"/>
      <c r="Y29" s="4"/>
      <c r="Z29" s="4"/>
      <c r="AA29" s="4"/>
      <c r="AB29" s="4"/>
      <c r="AC29" s="4"/>
      <c r="AD29" s="167"/>
      <c r="AE29" s="167"/>
      <c r="AG29" s="4"/>
      <c r="AH29" s="4"/>
      <c r="AI29" s="4"/>
      <c r="AJ29" s="4"/>
      <c r="AK29" s="4"/>
      <c r="AL29" s="4"/>
      <c r="AM29" s="4"/>
      <c r="AN29" s="4"/>
      <c r="AP29" s="30"/>
      <c r="AQ29" s="30"/>
      <c r="AR29" s="30"/>
      <c r="AS29" s="30"/>
    </row>
    <row r="30" spans="1:47" s="7" customFormat="1" ht="24.95" customHeight="1">
      <c r="A30" s="24"/>
      <c r="B30" s="4"/>
      <c r="C30" s="8"/>
      <c r="D30" s="9"/>
      <c r="E30" s="9"/>
      <c r="F30" s="9"/>
      <c r="G30" s="167"/>
      <c r="H30" s="167"/>
      <c r="I30" s="4"/>
      <c r="J30" s="4"/>
      <c r="K30" s="4"/>
      <c r="L30" s="4"/>
      <c r="M30" s="4"/>
      <c r="N30" s="167"/>
      <c r="O30" s="167"/>
      <c r="Q30" s="4"/>
      <c r="R30" s="4"/>
      <c r="S30" s="4"/>
      <c r="T30" s="4"/>
      <c r="U30" s="4"/>
      <c r="V30" s="167"/>
      <c r="W30" s="167"/>
      <c r="Y30" s="4"/>
      <c r="Z30" s="4"/>
      <c r="AA30" s="4"/>
      <c r="AB30" s="4"/>
      <c r="AC30" s="4"/>
      <c r="AD30" s="167"/>
      <c r="AE30" s="167"/>
      <c r="AG30" s="4"/>
      <c r="AH30" s="4"/>
      <c r="AI30" s="4"/>
      <c r="AJ30" s="4"/>
      <c r="AK30" s="4"/>
      <c r="AL30" s="4"/>
      <c r="AM30" s="4"/>
      <c r="AN30" s="4"/>
      <c r="AP30" s="30"/>
      <c r="AQ30" s="30"/>
      <c r="AR30" s="30"/>
      <c r="AS30" s="30"/>
    </row>
    <row r="31" spans="1:47" s="7" customFormat="1" ht="24.95" customHeight="1">
      <c r="A31" s="24"/>
      <c r="B31" s="4"/>
      <c r="C31" s="8"/>
      <c r="D31" s="9"/>
      <c r="E31" s="9"/>
      <c r="F31" s="9"/>
      <c r="G31" s="169"/>
      <c r="H31" s="169"/>
      <c r="I31" s="4"/>
      <c r="J31" s="10"/>
      <c r="K31" s="10"/>
      <c r="L31" s="10"/>
      <c r="M31" s="10"/>
      <c r="N31" s="169"/>
      <c r="O31" s="169"/>
      <c r="Q31" s="10"/>
      <c r="R31" s="10"/>
      <c r="S31" s="10"/>
      <c r="T31" s="10"/>
      <c r="U31" s="10"/>
      <c r="V31" s="169"/>
      <c r="W31" s="169"/>
      <c r="Y31" s="10"/>
      <c r="Z31" s="10"/>
      <c r="AA31" s="10"/>
      <c r="AB31" s="10"/>
      <c r="AC31" s="10"/>
      <c r="AD31" s="169"/>
      <c r="AE31" s="169"/>
      <c r="AG31" s="4"/>
      <c r="AH31" s="4"/>
      <c r="AI31" s="4"/>
      <c r="AJ31" s="4"/>
      <c r="AK31" s="4"/>
      <c r="AL31" s="4"/>
      <c r="AM31" s="4"/>
      <c r="AN31" s="4"/>
      <c r="AP31" s="30"/>
      <c r="AQ31" s="30"/>
      <c r="AR31" s="30"/>
      <c r="AS31" s="30"/>
    </row>
    <row r="32" spans="1:47" s="7" customFormat="1" ht="24.95" customHeight="1">
      <c r="A32" s="24"/>
      <c r="B32" s="4"/>
      <c r="C32" s="8"/>
      <c r="D32" s="9"/>
      <c r="E32" s="9"/>
      <c r="F32" s="9"/>
      <c r="G32" s="169"/>
      <c r="H32" s="169"/>
      <c r="I32" s="4"/>
      <c r="J32" s="10"/>
      <c r="K32" s="10"/>
      <c r="L32" s="10"/>
      <c r="M32" s="10"/>
      <c r="N32" s="169"/>
      <c r="O32" s="169"/>
      <c r="Q32" s="10"/>
      <c r="R32" s="10"/>
      <c r="S32" s="10"/>
      <c r="T32" s="10"/>
      <c r="U32" s="10"/>
      <c r="V32" s="169"/>
      <c r="W32" s="169"/>
      <c r="Y32" s="10"/>
      <c r="Z32" s="10"/>
      <c r="AA32" s="10"/>
      <c r="AB32" s="10"/>
      <c r="AC32" s="10"/>
      <c r="AD32" s="169"/>
      <c r="AE32" s="169"/>
      <c r="AG32" s="4"/>
      <c r="AH32" s="4"/>
      <c r="AI32" s="4"/>
      <c r="AJ32" s="4"/>
      <c r="AK32" s="4"/>
      <c r="AL32" s="4"/>
      <c r="AM32" s="4"/>
      <c r="AN32" s="4"/>
      <c r="AP32" s="30"/>
      <c r="AQ32" s="30"/>
      <c r="AR32" s="30"/>
      <c r="AS32" s="30"/>
    </row>
    <row r="33" spans="1:45" s="7" customFormat="1" ht="24.95" customHeight="1">
      <c r="A33" s="24"/>
      <c r="B33" s="4"/>
      <c r="C33" s="8"/>
      <c r="D33" s="9"/>
      <c r="E33" s="9"/>
      <c r="F33" s="9"/>
      <c r="G33" s="169"/>
      <c r="H33" s="169"/>
      <c r="I33" s="4"/>
      <c r="J33" s="10"/>
      <c r="K33" s="10"/>
      <c r="L33" s="10"/>
      <c r="M33" s="10"/>
      <c r="N33" s="169"/>
      <c r="O33" s="169"/>
      <c r="Q33" s="10"/>
      <c r="R33" s="10"/>
      <c r="S33" s="10"/>
      <c r="T33" s="10"/>
      <c r="U33" s="10"/>
      <c r="V33" s="169"/>
      <c r="W33" s="169"/>
      <c r="Y33" s="10"/>
      <c r="Z33" s="10"/>
      <c r="AA33" s="10"/>
      <c r="AB33" s="10"/>
      <c r="AC33" s="10"/>
      <c r="AD33" s="169"/>
      <c r="AE33" s="169"/>
      <c r="AG33" s="4"/>
      <c r="AH33" s="4"/>
      <c r="AI33" s="4"/>
      <c r="AJ33" s="4"/>
      <c r="AK33" s="4"/>
      <c r="AL33" s="4"/>
      <c r="AM33" s="4"/>
      <c r="AN33" s="4"/>
      <c r="AP33" s="30"/>
      <c r="AQ33" s="30"/>
      <c r="AR33" s="30"/>
      <c r="AS33" s="30"/>
    </row>
    <row r="34" spans="1:45" s="7" customFormat="1" ht="24.95" customHeight="1">
      <c r="A34" s="24"/>
      <c r="B34" s="4"/>
      <c r="C34" s="8"/>
      <c r="D34" s="9"/>
      <c r="E34" s="9"/>
      <c r="F34" s="9"/>
      <c r="G34" s="169"/>
      <c r="H34" s="169"/>
      <c r="I34" s="4"/>
      <c r="J34" s="10"/>
      <c r="K34" s="10"/>
      <c r="L34" s="10"/>
      <c r="M34" s="10"/>
      <c r="N34" s="169"/>
      <c r="O34" s="169"/>
      <c r="Q34" s="10"/>
      <c r="R34" s="10"/>
      <c r="S34" s="10"/>
      <c r="T34" s="10"/>
      <c r="U34" s="10"/>
      <c r="V34" s="169"/>
      <c r="W34" s="169"/>
      <c r="Y34" s="10"/>
      <c r="Z34" s="10"/>
      <c r="AA34" s="10"/>
      <c r="AB34" s="10"/>
      <c r="AC34" s="10"/>
      <c r="AD34" s="169"/>
      <c r="AE34" s="169"/>
      <c r="AG34" s="4"/>
      <c r="AH34" s="4"/>
      <c r="AI34" s="4"/>
      <c r="AJ34" s="4"/>
      <c r="AK34" s="4"/>
      <c r="AL34" s="4"/>
      <c r="AM34" s="4"/>
      <c r="AN34" s="4"/>
      <c r="AP34" s="30"/>
      <c r="AQ34" s="30"/>
      <c r="AR34" s="30"/>
      <c r="AS34" s="30"/>
    </row>
  </sheetData>
  <dataConsolidate link="1"/>
  <mergeCells count="20">
    <mergeCell ref="C11:E11"/>
    <mergeCell ref="C15:E15"/>
    <mergeCell ref="C18:E18"/>
    <mergeCell ref="C22:E22"/>
    <mergeCell ref="AP8:AS8"/>
    <mergeCell ref="AM8:AM9"/>
    <mergeCell ref="J8:O8"/>
    <mergeCell ref="Q8:W8"/>
    <mergeCell ref="Y8:AE8"/>
    <mergeCell ref="AG8:AG9"/>
    <mergeCell ref="AK8:AK9"/>
    <mergeCell ref="AL8:AL9"/>
    <mergeCell ref="AI8:AI9"/>
    <mergeCell ref="AH8:AH9"/>
    <mergeCell ref="E3:G3"/>
    <mergeCell ref="E4:G4"/>
    <mergeCell ref="C8:C9"/>
    <mergeCell ref="D8:D9"/>
    <mergeCell ref="E8:E9"/>
    <mergeCell ref="G8:H8"/>
  </mergeCells>
  <conditionalFormatting sqref="D1:E10 D12:E14 D16:E17 D19:E21 D23:E1048576">
    <cfRule type="containsText" dxfId="3" priority="3" operator="containsText" text="PENDIENTE">
      <formula>NOT(ISERROR(SEARCH("PENDIENTE",D1)))</formula>
    </cfRule>
  </conditionalFormatting>
  <conditionalFormatting sqref="AP10:AS26">
    <cfRule type="cellIs" dxfId="2" priority="1" operator="greaterThan">
      <formula>0</formula>
    </cfRule>
  </conditionalFormatting>
  <printOptions horizontalCentered="1" verticalCentered="1"/>
  <pageMargins left="0.25" right="0.25" top="0.75" bottom="0.75" header="0.3" footer="0.3"/>
  <pageSetup paperSize="9" scale="5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FC7C8-F8B5-424E-A2C3-1553B4A5E957}">
  <sheetPr>
    <tabColor rgb="FF8196AE"/>
    <pageSetUpPr fitToPage="1"/>
  </sheetPr>
  <dimension ref="A1:AC33"/>
  <sheetViews>
    <sheetView showGridLines="0" zoomScale="70" zoomScaleNormal="70" workbookViewId="0">
      <pane xSplit="4" ySplit="9" topLeftCell="E10" activePane="bottomRight" state="frozen"/>
      <selection activeCell="B1" sqref="B1"/>
      <selection pane="topRight" activeCell="F1" sqref="F1"/>
      <selection pane="bottomLeft" activeCell="B10" sqref="B10"/>
      <selection pane="bottomRight" activeCell="H26" sqref="H26"/>
    </sheetView>
  </sheetViews>
  <sheetFormatPr baseColWidth="10" defaultColWidth="3.5703125" defaultRowHeight="24.95" customHeight="1" outlineLevelCol="1"/>
  <cols>
    <col min="1" max="1" width="2.7109375" style="39" customWidth="1"/>
    <col min="2" max="2" width="67.42578125" style="39" bestFit="1" customWidth="1"/>
    <col min="3" max="3" width="35.7109375" style="60" hidden="1" customWidth="1" outlineLevel="1"/>
    <col min="4" max="4" width="35.7109375" style="60" customWidth="1" collapsed="1"/>
    <col min="5" max="5" width="2.7109375" style="60" customWidth="1"/>
    <col min="6" max="8" width="25.7109375" style="65" customWidth="1"/>
    <col min="9" max="9" width="2.7109375" style="39" customWidth="1"/>
    <col min="10" max="10" width="25.7109375" style="65" customWidth="1"/>
    <col min="11" max="11" width="0.85546875" style="39" customWidth="1"/>
    <col min="12" max="16384" width="3.5703125" style="39"/>
  </cols>
  <sheetData>
    <row r="1" spans="1:11" ht="24.95" customHeight="1">
      <c r="A1" s="34"/>
      <c r="B1" s="35"/>
      <c r="C1" s="175"/>
      <c r="D1" s="35"/>
      <c r="E1" s="35"/>
      <c r="F1" s="35"/>
      <c r="G1" s="35"/>
      <c r="H1" s="35"/>
      <c r="I1" s="35"/>
      <c r="J1" s="35"/>
      <c r="K1" s="199"/>
    </row>
    <row r="2" spans="1:11" ht="24.95" customHeight="1">
      <c r="A2" s="41"/>
      <c r="B2" s="42"/>
      <c r="C2" s="50"/>
      <c r="D2" s="72" t="s">
        <v>132</v>
      </c>
      <c r="E2" s="72"/>
      <c r="F2" s="43"/>
      <c r="G2" s="43"/>
      <c r="H2" s="43"/>
      <c r="I2" s="42"/>
      <c r="J2" s="44"/>
      <c r="K2" s="199"/>
    </row>
    <row r="3" spans="1:11" ht="24.95" customHeight="1">
      <c r="A3" s="41"/>
      <c r="B3" s="47"/>
      <c r="C3" s="47"/>
      <c r="D3" s="266"/>
      <c r="E3" s="266"/>
      <c r="F3" s="44"/>
      <c r="G3" s="44"/>
      <c r="H3" s="44"/>
      <c r="I3" s="42"/>
      <c r="J3" s="44"/>
      <c r="K3" s="199"/>
    </row>
    <row r="4" spans="1:11" ht="24.95" customHeight="1">
      <c r="A4" s="41"/>
      <c r="B4" s="48"/>
      <c r="C4" s="48"/>
      <c r="D4" s="267"/>
      <c r="E4" s="267"/>
      <c r="F4" s="44"/>
      <c r="G4" s="44"/>
      <c r="H4" s="44"/>
      <c r="I4" s="42"/>
      <c r="J4" s="44"/>
      <c r="K4" s="199"/>
    </row>
    <row r="5" spans="1:11" ht="24.95" customHeight="1">
      <c r="A5" s="41"/>
      <c r="B5" s="42"/>
      <c r="C5" s="50"/>
      <c r="D5" s="50"/>
      <c r="E5" s="50"/>
      <c r="F5" s="44"/>
      <c r="G5" s="52"/>
      <c r="H5" s="52"/>
      <c r="I5" s="42"/>
      <c r="J5" s="44"/>
      <c r="K5" s="199"/>
    </row>
    <row r="6" spans="1:11" ht="24.95" customHeight="1" thickBot="1">
      <c r="A6" s="41"/>
      <c r="B6" s="42"/>
      <c r="C6" s="50"/>
      <c r="D6" s="50"/>
      <c r="E6" s="50"/>
      <c r="F6" s="44"/>
      <c r="G6" s="44"/>
      <c r="H6" s="44"/>
      <c r="I6" s="42"/>
      <c r="J6" s="44"/>
      <c r="K6" s="199"/>
    </row>
    <row r="7" spans="1:11" ht="24.95" customHeight="1" thickBot="1">
      <c r="A7" s="41"/>
      <c r="B7" s="53"/>
      <c r="C7" s="176"/>
      <c r="D7" s="50"/>
      <c r="E7" s="50"/>
      <c r="F7" s="286" t="s">
        <v>136</v>
      </c>
      <c r="G7" s="287"/>
      <c r="H7" s="287"/>
      <c r="I7" s="249"/>
      <c r="J7" s="53"/>
      <c r="K7" s="200"/>
    </row>
    <row r="8" spans="1:11" s="119" customFormat="1" ht="24.95" customHeight="1">
      <c r="A8" s="113"/>
      <c r="B8" s="271" t="s">
        <v>6</v>
      </c>
      <c r="C8" s="273" t="s">
        <v>8</v>
      </c>
      <c r="D8" s="272" t="s">
        <v>0</v>
      </c>
      <c r="E8" s="247"/>
      <c r="F8" s="283" t="s">
        <v>133</v>
      </c>
      <c r="G8" s="283" t="s">
        <v>134</v>
      </c>
      <c r="H8" s="284" t="s">
        <v>137</v>
      </c>
      <c r="I8" s="239"/>
      <c r="J8" s="285" t="s">
        <v>135</v>
      </c>
      <c r="K8" s="245"/>
    </row>
    <row r="9" spans="1:11" s="119" customFormat="1" ht="35.1" customHeight="1">
      <c r="A9" s="113"/>
      <c r="B9" s="271"/>
      <c r="C9" s="273"/>
      <c r="D9" s="272"/>
      <c r="E9" s="248"/>
      <c r="F9" s="283"/>
      <c r="G9" s="283"/>
      <c r="H9" s="284"/>
      <c r="I9" s="250"/>
      <c r="J9" s="285"/>
      <c r="K9" s="201"/>
    </row>
    <row r="10" spans="1:11" ht="15" customHeight="1" thickBot="1">
      <c r="A10" s="41"/>
      <c r="B10" s="54"/>
      <c r="C10" s="50"/>
      <c r="D10" s="50"/>
      <c r="E10" s="156"/>
      <c r="F10" s="55"/>
      <c r="G10" s="55"/>
      <c r="H10" s="55"/>
      <c r="I10" s="142"/>
      <c r="J10" s="55"/>
      <c r="K10" s="202"/>
    </row>
    <row r="11" spans="1:11" s="80" customFormat="1" ht="24.95" customHeight="1" thickBot="1">
      <c r="A11" s="74"/>
      <c r="B11" s="246" t="s">
        <v>30</v>
      </c>
      <c r="C11" s="124"/>
      <c r="D11" s="75"/>
      <c r="E11" s="157"/>
      <c r="F11" s="77"/>
      <c r="G11" s="77"/>
      <c r="H11" s="77"/>
      <c r="I11" s="143"/>
      <c r="J11" s="77"/>
      <c r="K11" s="203"/>
    </row>
    <row r="12" spans="1:11" s="80" customFormat="1" ht="24.95" customHeight="1">
      <c r="A12" s="74"/>
      <c r="B12" s="230" t="s">
        <v>98</v>
      </c>
      <c r="C12" s="177" t="s">
        <v>32</v>
      </c>
      <c r="D12" s="153" t="s">
        <v>2</v>
      </c>
      <c r="E12" s="158"/>
      <c r="F12" s="149">
        <v>82230</v>
      </c>
      <c r="G12" s="149">
        <v>218428.61075343116</v>
      </c>
      <c r="H12" s="149">
        <v>36030</v>
      </c>
      <c r="I12" s="144"/>
      <c r="J12" s="149">
        <v>30500</v>
      </c>
      <c r="K12" s="204"/>
    </row>
    <row r="13" spans="1:11" s="80" customFormat="1" ht="24.95" customHeight="1">
      <c r="A13" s="74"/>
      <c r="B13" s="231" t="s">
        <v>99</v>
      </c>
      <c r="C13" s="177" t="s">
        <v>31</v>
      </c>
      <c r="D13" s="153" t="s">
        <v>2</v>
      </c>
      <c r="E13" s="158"/>
      <c r="F13" s="149">
        <v>82230</v>
      </c>
      <c r="G13" s="149">
        <v>231985.08283270549</v>
      </c>
      <c r="H13" s="149">
        <v>36030</v>
      </c>
      <c r="I13" s="144"/>
      <c r="J13" s="149">
        <v>30500</v>
      </c>
      <c r="K13" s="204"/>
    </row>
    <row r="14" spans="1:11" s="80" customFormat="1" ht="24.95" customHeight="1">
      <c r="A14" s="74"/>
      <c r="B14" s="231" t="s">
        <v>100</v>
      </c>
      <c r="C14" s="177" t="s">
        <v>33</v>
      </c>
      <c r="D14" s="153" t="s">
        <v>3</v>
      </c>
      <c r="E14" s="158"/>
      <c r="F14" s="149">
        <v>82230</v>
      </c>
      <c r="G14" s="149">
        <v>263930.16533873609</v>
      </c>
      <c r="H14" s="149">
        <v>36030</v>
      </c>
      <c r="I14" s="144"/>
      <c r="J14" s="149">
        <v>30500</v>
      </c>
      <c r="K14" s="204"/>
    </row>
    <row r="15" spans="1:11" s="80" customFormat="1" ht="24.95" customHeight="1">
      <c r="A15" s="74"/>
      <c r="B15" s="231" t="s">
        <v>101</v>
      </c>
      <c r="C15" s="177" t="s">
        <v>96</v>
      </c>
      <c r="D15" s="153" t="s">
        <v>97</v>
      </c>
      <c r="E15" s="158"/>
      <c r="F15" s="149">
        <v>82230</v>
      </c>
      <c r="G15" s="149">
        <v>400077.7482591563</v>
      </c>
      <c r="H15" s="149">
        <v>36030</v>
      </c>
      <c r="I15" s="144"/>
      <c r="J15" s="149">
        <v>30500</v>
      </c>
      <c r="K15" s="204"/>
    </row>
    <row r="16" spans="1:11" s="80" customFormat="1" ht="24.95" customHeight="1" thickBot="1">
      <c r="A16" s="74"/>
      <c r="B16" s="86"/>
      <c r="C16" s="87"/>
      <c r="D16" s="87"/>
      <c r="E16" s="159"/>
      <c r="F16" s="95"/>
      <c r="G16" s="95"/>
      <c r="H16" s="95"/>
      <c r="I16" s="147"/>
      <c r="J16" s="95"/>
      <c r="K16" s="205"/>
    </row>
    <row r="17" spans="1:29" s="80" customFormat="1" ht="24.95" customHeight="1" thickBot="1">
      <c r="A17" s="74"/>
      <c r="B17" s="246" t="s">
        <v>86</v>
      </c>
      <c r="C17" s="124"/>
      <c r="D17" s="75"/>
      <c r="E17" s="157"/>
      <c r="F17" s="77"/>
      <c r="G17" s="77"/>
      <c r="H17" s="77"/>
      <c r="I17" s="143"/>
      <c r="J17" s="77"/>
      <c r="K17" s="203"/>
    </row>
    <row r="18" spans="1:29" s="80" customFormat="1" ht="24.95" customHeight="1">
      <c r="A18" s="74"/>
      <c r="B18" s="230" t="s">
        <v>102</v>
      </c>
      <c r="C18" s="177" t="s">
        <v>91</v>
      </c>
      <c r="D18" s="153" t="s">
        <v>90</v>
      </c>
      <c r="E18" s="158"/>
      <c r="F18" s="149">
        <v>82230</v>
      </c>
      <c r="G18" s="149">
        <v>515088.88547227794</v>
      </c>
      <c r="H18" s="149">
        <v>36030</v>
      </c>
      <c r="I18" s="144"/>
      <c r="J18" s="149">
        <v>30500</v>
      </c>
      <c r="K18" s="204"/>
    </row>
    <row r="19" spans="1:29" s="80" customFormat="1" ht="24.95" customHeight="1" thickBot="1">
      <c r="A19" s="74"/>
      <c r="B19" s="86"/>
      <c r="C19" s="87"/>
      <c r="D19" s="87"/>
      <c r="E19" s="159"/>
      <c r="F19" s="95"/>
      <c r="G19" s="95"/>
      <c r="H19" s="95"/>
      <c r="I19" s="147"/>
      <c r="J19" s="95"/>
      <c r="K19" s="205"/>
    </row>
    <row r="20" spans="1:29" s="80" customFormat="1" ht="24.95" customHeight="1" thickBot="1">
      <c r="A20" s="74"/>
      <c r="B20" s="246" t="s">
        <v>29</v>
      </c>
      <c r="C20" s="124"/>
      <c r="D20" s="124"/>
      <c r="E20" s="128"/>
      <c r="F20" s="77"/>
      <c r="G20" s="77"/>
      <c r="H20" s="77"/>
      <c r="I20" s="143"/>
      <c r="J20" s="77"/>
      <c r="K20" s="203"/>
    </row>
    <row r="21" spans="1:29" s="80" customFormat="1" ht="24.95" customHeight="1">
      <c r="A21" s="74"/>
      <c r="B21" s="230" t="s">
        <v>104</v>
      </c>
      <c r="C21" s="177" t="s">
        <v>34</v>
      </c>
      <c r="D21" s="153" t="s">
        <v>44</v>
      </c>
      <c r="E21" s="158"/>
      <c r="F21" s="149">
        <v>82230</v>
      </c>
      <c r="G21" s="149">
        <v>228525.02522429606</v>
      </c>
      <c r="H21" s="149">
        <v>36030</v>
      </c>
      <c r="I21" s="144"/>
      <c r="J21" s="149">
        <v>30500</v>
      </c>
      <c r="K21" s="204"/>
    </row>
    <row r="22" spans="1:29" s="80" customFormat="1" ht="24.95" customHeight="1">
      <c r="A22" s="74"/>
      <c r="B22" s="231" t="s">
        <v>105</v>
      </c>
      <c r="C22" s="177" t="s">
        <v>35</v>
      </c>
      <c r="D22" s="153" t="s">
        <v>72</v>
      </c>
      <c r="E22" s="158"/>
      <c r="F22" s="149">
        <v>82230</v>
      </c>
      <c r="G22" s="149">
        <v>244051.7284157715</v>
      </c>
      <c r="H22" s="149">
        <v>36030</v>
      </c>
      <c r="I22" s="144"/>
      <c r="J22" s="149">
        <v>30500</v>
      </c>
      <c r="K22" s="204"/>
    </row>
    <row r="23" spans="1:29" s="80" customFormat="1" ht="24.95" customHeight="1">
      <c r="A23" s="74"/>
      <c r="B23" s="231" t="s">
        <v>106</v>
      </c>
      <c r="C23" s="177" t="s">
        <v>36</v>
      </c>
      <c r="D23" s="153" t="s">
        <v>44</v>
      </c>
      <c r="E23" s="158"/>
      <c r="F23" s="149">
        <v>82230</v>
      </c>
      <c r="G23" s="149">
        <v>236994.13147498717</v>
      </c>
      <c r="H23" s="149">
        <v>36030</v>
      </c>
      <c r="I23" s="144"/>
      <c r="J23" s="149">
        <v>30500</v>
      </c>
      <c r="K23" s="204"/>
    </row>
    <row r="24" spans="1:29" s="80" customFormat="1" ht="24.95" customHeight="1">
      <c r="A24" s="74"/>
      <c r="B24" s="231" t="s">
        <v>107</v>
      </c>
      <c r="C24" s="177" t="s">
        <v>54</v>
      </c>
      <c r="D24" s="153" t="s">
        <v>57</v>
      </c>
      <c r="E24" s="158"/>
      <c r="F24" s="149">
        <v>82230</v>
      </c>
      <c r="G24" s="149">
        <v>337134.44442877662</v>
      </c>
      <c r="H24" s="149">
        <v>36030</v>
      </c>
      <c r="I24" s="144"/>
      <c r="J24" s="149">
        <v>30500</v>
      </c>
      <c r="K24" s="204"/>
    </row>
    <row r="25" spans="1:29" s="80" customFormat="1" ht="24.95" customHeight="1">
      <c r="A25" s="74"/>
      <c r="B25" s="231" t="s">
        <v>108</v>
      </c>
      <c r="C25" s="177" t="s">
        <v>55</v>
      </c>
      <c r="D25" s="153" t="s">
        <v>43</v>
      </c>
      <c r="E25" s="158"/>
      <c r="F25" s="149">
        <v>82230</v>
      </c>
      <c r="G25" s="149">
        <v>356260.1577237327</v>
      </c>
      <c r="H25" s="149">
        <v>36030</v>
      </c>
      <c r="I25" s="144"/>
      <c r="J25" s="149">
        <v>30500</v>
      </c>
      <c r="K25" s="204"/>
    </row>
    <row r="26" spans="1:29" s="80" customFormat="1" ht="24.95" customHeight="1">
      <c r="A26" s="193"/>
      <c r="B26" s="194"/>
      <c r="C26" s="195"/>
      <c r="D26" s="195"/>
      <c r="E26" s="196"/>
      <c r="F26" s="197"/>
      <c r="G26" s="197"/>
      <c r="H26" s="197"/>
      <c r="I26" s="198"/>
      <c r="J26" s="197"/>
      <c r="K26" s="206"/>
    </row>
    <row r="27" spans="1:29" ht="24.95" customHeight="1">
      <c r="F27" s="39"/>
      <c r="G27" s="39"/>
      <c r="H27" s="39"/>
      <c r="J27" s="39"/>
    </row>
    <row r="28" spans="1:29" ht="24.95" customHeight="1">
      <c r="B28" s="63"/>
      <c r="C28" s="64"/>
      <c r="D28" s="64"/>
      <c r="E28" s="64"/>
      <c r="F28" s="39"/>
      <c r="G28" s="39"/>
      <c r="H28" s="39"/>
      <c r="J28" s="39"/>
    </row>
    <row r="29" spans="1:29" ht="24.95" customHeight="1">
      <c r="B29" s="63"/>
      <c r="C29" s="64"/>
      <c r="D29" s="64"/>
      <c r="E29" s="64"/>
      <c r="F29" s="39"/>
      <c r="G29" s="39"/>
      <c r="H29" s="39"/>
      <c r="J29" s="39"/>
    </row>
    <row r="30" spans="1:29" ht="24.95" customHeight="1">
      <c r="B30" s="63"/>
      <c r="C30" s="64"/>
      <c r="D30" s="64"/>
      <c r="E30" s="64"/>
    </row>
    <row r="31" spans="1:29" s="71" customFormat="1" ht="24.95" customHeight="1">
      <c r="A31" s="39"/>
      <c r="B31" s="63"/>
      <c r="C31" s="64"/>
      <c r="D31" s="64"/>
      <c r="E31" s="64"/>
      <c r="F31" s="65"/>
      <c r="G31" s="65"/>
      <c r="H31" s="65"/>
      <c r="I31" s="39"/>
      <c r="J31" s="65"/>
      <c r="K31" s="39"/>
      <c r="AC31" s="39"/>
    </row>
    <row r="32" spans="1:29" s="71" customFormat="1" ht="24.95" customHeight="1">
      <c r="A32" s="39"/>
      <c r="B32" s="63"/>
      <c r="C32" s="64"/>
      <c r="D32" s="64"/>
      <c r="E32" s="64"/>
      <c r="F32" s="65"/>
      <c r="G32" s="65"/>
      <c r="H32" s="65"/>
      <c r="I32" s="39"/>
      <c r="J32" s="65"/>
      <c r="K32" s="39"/>
      <c r="AC32" s="39"/>
    </row>
    <row r="33" spans="1:11" s="71" customFormat="1" ht="24.95" customHeight="1">
      <c r="A33" s="39"/>
      <c r="B33" s="63"/>
      <c r="C33" s="64"/>
      <c r="D33" s="64"/>
      <c r="E33" s="64"/>
      <c r="F33" s="65"/>
      <c r="G33" s="65"/>
      <c r="H33" s="65"/>
      <c r="I33" s="39"/>
      <c r="J33" s="65"/>
      <c r="K33" s="39"/>
    </row>
  </sheetData>
  <dataConsolidate link="1"/>
  <mergeCells count="10">
    <mergeCell ref="J8:J9"/>
    <mergeCell ref="F7:H7"/>
    <mergeCell ref="D3:E3"/>
    <mergeCell ref="D4:E4"/>
    <mergeCell ref="G8:G9"/>
    <mergeCell ref="B8:B9"/>
    <mergeCell ref="C8:C9"/>
    <mergeCell ref="D8:D9"/>
    <mergeCell ref="F8:F9"/>
    <mergeCell ref="H8:H9"/>
  </mergeCells>
  <conditionalFormatting sqref="C1:D1048576">
    <cfRule type="containsText" dxfId="1" priority="1" operator="containsText" text="PENDIENTE">
      <formula>NOT(ISERROR(SEARCH("PENDIENTE",C1)))</formula>
    </cfRule>
  </conditionalFormatting>
  <conditionalFormatting sqref="D12:D16 D18:D26">
    <cfRule type="cellIs" dxfId="0" priority="2" operator="equal">
      <formula>"PENDIENTE"</formula>
    </cfRule>
  </conditionalFormatting>
  <printOptions horizontalCentered="1" verticalCentered="1"/>
  <pageMargins left="0.25" right="0.25" top="0.75" bottom="0.75" header="0.3" footer="0.3"/>
  <pageSetup paperSize="9" scale="7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2AAA1-87DF-4F21-841E-0F992F3ED12B}">
  <dimension ref="A1:B12"/>
  <sheetViews>
    <sheetView workbookViewId="0">
      <selection activeCell="E6" sqref="E6"/>
    </sheetView>
  </sheetViews>
  <sheetFormatPr baseColWidth="10" defaultRowHeight="15"/>
  <sheetData>
    <row r="1" spans="1:2">
      <c r="A1" s="25">
        <v>1</v>
      </c>
      <c r="B1" s="25" t="s">
        <v>13</v>
      </c>
    </row>
    <row r="2" spans="1:2">
      <c r="A2" s="25">
        <v>2</v>
      </c>
      <c r="B2" s="25" t="s">
        <v>14</v>
      </c>
    </row>
    <row r="3" spans="1:2">
      <c r="A3" s="25">
        <v>3</v>
      </c>
      <c r="B3" s="25" t="s">
        <v>15</v>
      </c>
    </row>
    <row r="4" spans="1:2">
      <c r="A4" s="25">
        <v>4</v>
      </c>
      <c r="B4" s="25" t="s">
        <v>16</v>
      </c>
    </row>
    <row r="5" spans="1:2">
      <c r="A5" s="25">
        <v>5</v>
      </c>
      <c r="B5" s="25" t="s">
        <v>17</v>
      </c>
    </row>
    <row r="6" spans="1:2">
      <c r="A6" s="25">
        <v>6</v>
      </c>
      <c r="B6" s="25" t="s">
        <v>18</v>
      </c>
    </row>
    <row r="7" spans="1:2">
      <c r="A7" s="25">
        <v>7</v>
      </c>
      <c r="B7" s="25" t="s">
        <v>19</v>
      </c>
    </row>
    <row r="8" spans="1:2">
      <c r="A8" s="25">
        <v>8</v>
      </c>
      <c r="B8" s="25" t="s">
        <v>20</v>
      </c>
    </row>
    <row r="9" spans="1:2">
      <c r="A9" s="25">
        <v>9</v>
      </c>
      <c r="B9" s="25" t="s">
        <v>21</v>
      </c>
    </row>
    <row r="10" spans="1:2">
      <c r="A10" s="25">
        <v>10</v>
      </c>
      <c r="B10" s="25" t="s">
        <v>22</v>
      </c>
    </row>
    <row r="11" spans="1:2">
      <c r="A11" s="25">
        <v>11</v>
      </c>
      <c r="B11" s="25" t="s">
        <v>23</v>
      </c>
    </row>
    <row r="12" spans="1:2">
      <c r="A12" s="25">
        <v>12</v>
      </c>
      <c r="B12" s="25" t="s">
        <v>24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16AF0FE4E9F64C9FC9589AA365C574" ma:contentTypeVersion="15" ma:contentTypeDescription="Create a new document." ma:contentTypeScope="" ma:versionID="15ee85c2526433b635e3fcc67f9e76f1">
  <xsd:schema xmlns:xsd="http://www.w3.org/2001/XMLSchema" xmlns:xs="http://www.w3.org/2001/XMLSchema" xmlns:p="http://schemas.microsoft.com/office/2006/metadata/properties" xmlns:ns2="55287ef3-d835-4936-bb6f-381c5a8f8fc4" xmlns:ns3="7c8b3300-50d1-4f26-8e59-ad83ef287955" targetNamespace="http://schemas.microsoft.com/office/2006/metadata/properties" ma:root="true" ma:fieldsID="2f58115d231ae33be98b0677566ae6cb" ns2:_="" ns3:_="">
    <xsd:import namespace="55287ef3-d835-4936-bb6f-381c5a8f8fc4"/>
    <xsd:import namespace="7c8b3300-50d1-4f26-8e59-ad83ef2879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87ef3-d835-4936-bb6f-381c5a8f8f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247bebf-ce0e-4fa1-bae7-748a1283d6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8b3300-50d1-4f26-8e59-ad83ef28795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b4145c4-41c7-4a8b-a70d-51bc93dc9323}" ma:internalName="TaxCatchAll" ma:showField="CatchAllData" ma:web="7c8b3300-50d1-4f26-8e59-ad83ef2879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8b3300-50d1-4f26-8e59-ad83ef287955" xsi:nil="true"/>
    <lcf76f155ced4ddcb4097134ff3c332f xmlns="55287ef3-d835-4936-bb6f-381c5a8f8fc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56C206-4C67-4041-B112-8A75FE9F68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287ef3-d835-4936-bb6f-381c5a8f8fc4"/>
    <ds:schemaRef ds:uri="7c8b3300-50d1-4f26-8e59-ad83ef2879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0CF0EA-5EC6-4CDD-9B39-8F1799D7A3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8A838F-E986-4369-8444-1F780A5A4D4F}">
  <ds:schemaRefs>
    <ds:schemaRef ds:uri="http://purl.org/dc/elements/1.1/"/>
    <ds:schemaRef ds:uri="http://purl.org/dc/terms/"/>
    <ds:schemaRef ds:uri="7c8b3300-50d1-4f26-8e59-ad83ef287955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55287ef3-d835-4936-bb6f-381c5a8f8fc4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PASAJEROS</vt:lpstr>
      <vt:lpstr>COMERCIALES</vt:lpstr>
      <vt:lpstr>Trámites PreInscripciones</vt:lpstr>
      <vt:lpstr>MESES</vt:lpstr>
      <vt:lpstr>COMERCIALES!Área_de_impresión</vt:lpstr>
      <vt:lpstr>PASAJEROS!Área_de_impresión</vt:lpstr>
      <vt:lpstr>'Trámites PreInscripciones'!Área_de_impresión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andres.antileo1@stellantis.com</dc:creator>
  <cp:lastModifiedBy>MAYKOL ARDILES AVALOS</cp:lastModifiedBy>
  <cp:lastPrinted>2024-10-01T20:23:39Z</cp:lastPrinted>
  <dcterms:created xsi:type="dcterms:W3CDTF">2017-09-04T13:56:39Z</dcterms:created>
  <dcterms:modified xsi:type="dcterms:W3CDTF">2026-06-12T19:21:42Z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0x010100EF16AF0FE4E9F64C9FC9589AA365C574</vt:lpwstr>
  </property>
  <property fmtid="{D5CDD505-2E9C-101B-9397-08002B2CF9AE}" pid="3" name="MSIP_Label_725ca717-11da-4935-b601-f527b9741f2e_Enabled">
    <vt:lpwstr>true</vt:lpwstr>
  </property>
  <property fmtid="{D5CDD505-2E9C-101B-9397-08002B2CF9AE}" pid="4" name="MSIP_Label_725ca717-11da-4935-b601-f527b9741f2e_SetDate">
    <vt:lpwstr>2024-11-04T19:07:31Z</vt:lpwstr>
  </property>
  <property fmtid="{D5CDD505-2E9C-101B-9397-08002B2CF9AE}" pid="5" name="MSIP_Label_725ca717-11da-4935-b601-f527b9741f2e_Method">
    <vt:lpwstr>Standard</vt:lpwstr>
  </property>
  <property fmtid="{D5CDD505-2E9C-101B-9397-08002B2CF9AE}" pid="6" name="MSIP_Label_725ca717-11da-4935-b601-f527b9741f2e_Name">
    <vt:lpwstr>C2 - Internal</vt:lpwstr>
  </property>
  <property fmtid="{D5CDD505-2E9C-101B-9397-08002B2CF9AE}" pid="7" name="MSIP_Label_725ca717-11da-4935-b601-f527b9741f2e_SiteId">
    <vt:lpwstr>d852d5cd-724c-4128-8812-ffa5db3f8507</vt:lpwstr>
  </property>
  <property fmtid="{D5CDD505-2E9C-101B-9397-08002B2CF9AE}" pid="8" name="MSIP_Label_725ca717-11da-4935-b601-f527b9741f2e_ActionId">
    <vt:lpwstr>26e714bb-6bd8-4c68-a7ad-7ca96f3056ae</vt:lpwstr>
  </property>
  <property fmtid="{D5CDD505-2E9C-101B-9397-08002B2CF9AE}" pid="9" name="MSIP_Label_725ca717-11da-4935-b601-f527b9741f2e_ContentBits">
    <vt:lpwstr>0</vt:lpwstr>
  </property>
  <property fmtid="{D5CDD505-2E9C-101B-9397-08002B2CF9AE}" pid="10" name="MediaServiceImageTags">
    <vt:lpwstr/>
  </property>
</Properties>
</file>